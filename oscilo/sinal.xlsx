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migbr-my.sharepoint.com/personal/ezequiel_aguiar_cemig_com_br/Documents/"/>
    </mc:Choice>
  </mc:AlternateContent>
  <xr:revisionPtr revIDLastSave="309" documentId="8_{0148BD51-760C-49FF-B328-D137FEC4AAAD}" xr6:coauthVersionLast="47" xr6:coauthVersionMax="47" xr10:uidLastSave="{3A35D1C3-4D3F-4E45-A4C6-27BB46DD2E80}"/>
  <bookViews>
    <workbookView xWindow="39570" yWindow="-120" windowWidth="29040" windowHeight="15720" activeTab="2" xr2:uid="{67ED2712-66E1-4C26-BF24-9D581831F392}"/>
  </bookViews>
  <sheets>
    <sheet name="DFT" sheetId="1" r:id="rId1"/>
    <sheet name="DFT Recurs" sheetId="2" r:id="rId2"/>
    <sheet name="DFT Recurs (2)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11" i="4" l="1"/>
  <c r="A163" i="4"/>
  <c r="C163" i="4" s="1"/>
  <c r="A119" i="4"/>
  <c r="A94" i="4"/>
  <c r="A80" i="4"/>
  <c r="A62" i="4"/>
  <c r="A48" i="4"/>
  <c r="A40" i="4"/>
  <c r="B40" i="4" s="1"/>
  <c r="A33" i="4"/>
  <c r="A24" i="4"/>
  <c r="A18" i="4"/>
  <c r="A16" i="4"/>
  <c r="D16" i="4" s="1"/>
  <c r="A14" i="4"/>
  <c r="D14" i="4" s="1"/>
  <c r="C7" i="4"/>
  <c r="B4" i="4"/>
  <c r="A147" i="4" s="1"/>
  <c r="B3" i="4"/>
  <c r="C1" i="4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100" i="1"/>
  <c r="C7" i="2"/>
  <c r="B3" i="2"/>
  <c r="B4" i="2" s="1"/>
  <c r="A248" i="2" s="1"/>
  <c r="B248" i="2" s="1"/>
  <c r="C1" i="2"/>
  <c r="G12" i="1"/>
  <c r="I12" i="1" s="1"/>
  <c r="H12" i="1"/>
  <c r="G13" i="1"/>
  <c r="I13" i="1" s="1"/>
  <c r="H13" i="1"/>
  <c r="G14" i="1"/>
  <c r="I14" i="1" s="1"/>
  <c r="H14" i="1"/>
  <c r="G15" i="1"/>
  <c r="I15" i="1" s="1"/>
  <c r="H15" i="1"/>
  <c r="G16" i="1"/>
  <c r="I16" i="1" s="1"/>
  <c r="H16" i="1"/>
  <c r="G17" i="1"/>
  <c r="I17" i="1" s="1"/>
  <c r="H17" i="1"/>
  <c r="A24" i="1"/>
  <c r="B24" i="1" s="1"/>
  <c r="H11" i="1"/>
  <c r="G11" i="1"/>
  <c r="I11" i="1" s="1"/>
  <c r="C1" i="1"/>
  <c r="B3" i="1"/>
  <c r="B4" i="1" s="1"/>
  <c r="A53" i="1" s="1"/>
  <c r="C7" i="1"/>
  <c r="D147" i="4" l="1"/>
  <c r="C147" i="4"/>
  <c r="B147" i="4"/>
  <c r="D24" i="4"/>
  <c r="C24" i="4"/>
  <c r="D94" i="4"/>
  <c r="B94" i="4"/>
  <c r="D18" i="4"/>
  <c r="C18" i="4"/>
  <c r="B18" i="4"/>
  <c r="E18" i="4" s="1"/>
  <c r="B24" i="4"/>
  <c r="E24" i="4" s="1"/>
  <c r="A13" i="4"/>
  <c r="B14" i="4"/>
  <c r="E14" i="4" s="1"/>
  <c r="A30" i="4"/>
  <c r="A70" i="4"/>
  <c r="A115" i="4"/>
  <c r="A165" i="4"/>
  <c r="A214" i="4"/>
  <c r="C14" i="4"/>
  <c r="A17" i="4"/>
  <c r="A23" i="4"/>
  <c r="A39" i="4"/>
  <c r="A56" i="4"/>
  <c r="A88" i="4"/>
  <c r="A99" i="4"/>
  <c r="D62" i="4"/>
  <c r="B62" i="4"/>
  <c r="D119" i="4"/>
  <c r="C119" i="4"/>
  <c r="B119" i="4"/>
  <c r="B211" i="4"/>
  <c r="D211" i="4"/>
  <c r="C211" i="4"/>
  <c r="A473" i="4"/>
  <c r="A465" i="4"/>
  <c r="A457" i="4"/>
  <c r="A449" i="4"/>
  <c r="A441" i="4"/>
  <c r="A433" i="4"/>
  <c r="A425" i="4"/>
  <c r="A417" i="4"/>
  <c r="A409" i="4"/>
  <c r="A401" i="4"/>
  <c r="A472" i="4"/>
  <c r="A464" i="4"/>
  <c r="A456" i="4"/>
  <c r="A448" i="4"/>
  <c r="A440" i="4"/>
  <c r="A432" i="4"/>
  <c r="A424" i="4"/>
  <c r="A416" i="4"/>
  <c r="A408" i="4"/>
  <c r="A471" i="4"/>
  <c r="A463" i="4"/>
  <c r="A455" i="4"/>
  <c r="A447" i="4"/>
  <c r="A439" i="4"/>
  <c r="A431" i="4"/>
  <c r="A423" i="4"/>
  <c r="A415" i="4"/>
  <c r="A407" i="4"/>
  <c r="A470" i="4"/>
  <c r="A462" i="4"/>
  <c r="A454" i="4"/>
  <c r="A446" i="4"/>
  <c r="A438" i="4"/>
  <c r="A430" i="4"/>
  <c r="A422" i="4"/>
  <c r="A414" i="4"/>
  <c r="A406" i="4"/>
  <c r="A469" i="4"/>
  <c r="A461" i="4"/>
  <c r="A453" i="4"/>
  <c r="A445" i="4"/>
  <c r="A437" i="4"/>
  <c r="A429" i="4"/>
  <c r="A421" i="4"/>
  <c r="A413" i="4"/>
  <c r="A405" i="4"/>
  <c r="A468" i="4"/>
  <c r="A460" i="4"/>
  <c r="A452" i="4"/>
  <c r="A444" i="4"/>
  <c r="A436" i="4"/>
  <c r="A428" i="4"/>
  <c r="A467" i="4"/>
  <c r="A459" i="4"/>
  <c r="A451" i="4"/>
  <c r="A443" i="4"/>
  <c r="A435" i="4"/>
  <c r="A427" i="4"/>
  <c r="A419" i="4"/>
  <c r="A411" i="4"/>
  <c r="A403" i="4"/>
  <c r="A466" i="4"/>
  <c r="A397" i="4"/>
  <c r="A389" i="4"/>
  <c r="A381" i="4"/>
  <c r="A373" i="4"/>
  <c r="A365" i="4"/>
  <c r="A357" i="4"/>
  <c r="A349" i="4"/>
  <c r="A341" i="4"/>
  <c r="A458" i="4"/>
  <c r="A410" i="4"/>
  <c r="A400" i="4"/>
  <c r="A396" i="4"/>
  <c r="A388" i="4"/>
  <c r="A380" i="4"/>
  <c r="A372" i="4"/>
  <c r="A364" i="4"/>
  <c r="A356" i="4"/>
  <c r="A348" i="4"/>
  <c r="A340" i="4"/>
  <c r="A450" i="4"/>
  <c r="A420" i="4"/>
  <c r="A395" i="4"/>
  <c r="A387" i="4"/>
  <c r="A379" i="4"/>
  <c r="A371" i="4"/>
  <c r="A442" i="4"/>
  <c r="A402" i="4"/>
  <c r="A394" i="4"/>
  <c r="A386" i="4"/>
  <c r="A378" i="4"/>
  <c r="A434" i="4"/>
  <c r="A412" i="4"/>
  <c r="A393" i="4"/>
  <c r="A385" i="4"/>
  <c r="A377" i="4"/>
  <c r="A426" i="4"/>
  <c r="A392" i="4"/>
  <c r="A384" i="4"/>
  <c r="A376" i="4"/>
  <c r="A368" i="4"/>
  <c r="A404" i="4"/>
  <c r="A391" i="4"/>
  <c r="A383" i="4"/>
  <c r="A375" i="4"/>
  <c r="A418" i="4"/>
  <c r="A390" i="4"/>
  <c r="A363" i="4"/>
  <c r="A343" i="4"/>
  <c r="A337" i="4"/>
  <c r="A329" i="4"/>
  <c r="A321" i="4"/>
  <c r="A313" i="4"/>
  <c r="A305" i="4"/>
  <c r="A297" i="4"/>
  <c r="A289" i="4"/>
  <c r="A382" i="4"/>
  <c r="A370" i="4"/>
  <c r="A350" i="4"/>
  <c r="A344" i="4"/>
  <c r="A338" i="4"/>
  <c r="A336" i="4"/>
  <c r="A328" i="4"/>
  <c r="A320" i="4"/>
  <c r="A312" i="4"/>
  <c r="A304" i="4"/>
  <c r="A296" i="4"/>
  <c r="A288" i="4"/>
  <c r="A374" i="4"/>
  <c r="A351" i="4"/>
  <c r="A345" i="4"/>
  <c r="A339" i="4"/>
  <c r="A335" i="4"/>
  <c r="A327" i="4"/>
  <c r="A319" i="4"/>
  <c r="A311" i="4"/>
  <c r="A303" i="4"/>
  <c r="A358" i="4"/>
  <c r="A352" i="4"/>
  <c r="A346" i="4"/>
  <c r="A334" i="4"/>
  <c r="A326" i="4"/>
  <c r="A318" i="4"/>
  <c r="A310" i="4"/>
  <c r="A302" i="4"/>
  <c r="A294" i="4"/>
  <c r="A359" i="4"/>
  <c r="A353" i="4"/>
  <c r="A347" i="4"/>
  <c r="A333" i="4"/>
  <c r="A325" i="4"/>
  <c r="A317" i="4"/>
  <c r="A309" i="4"/>
  <c r="A301" i="4"/>
  <c r="A293" i="4"/>
  <c r="A366" i="4"/>
  <c r="A360" i="4"/>
  <c r="A354" i="4"/>
  <c r="A332" i="4"/>
  <c r="A324" i="4"/>
  <c r="A316" i="4"/>
  <c r="A399" i="4"/>
  <c r="A369" i="4"/>
  <c r="A361" i="4"/>
  <c r="A355" i="4"/>
  <c r="A331" i="4"/>
  <c r="A323" i="4"/>
  <c r="A315" i="4"/>
  <c r="A307" i="4"/>
  <c r="A367" i="4"/>
  <c r="A276" i="4"/>
  <c r="A268" i="4"/>
  <c r="A260" i="4"/>
  <c r="A252" i="4"/>
  <c r="A244" i="4"/>
  <c r="A236" i="4"/>
  <c r="A228" i="4"/>
  <c r="A220" i="4"/>
  <c r="A212" i="4"/>
  <c r="A398" i="4"/>
  <c r="A330" i="4"/>
  <c r="A287" i="4"/>
  <c r="A286" i="4"/>
  <c r="A285" i="4"/>
  <c r="A284" i="4"/>
  <c r="A283" i="4"/>
  <c r="A275" i="4"/>
  <c r="A267" i="4"/>
  <c r="A259" i="4"/>
  <c r="A251" i="4"/>
  <c r="A243" i="4"/>
  <c r="A235" i="4"/>
  <c r="A227" i="4"/>
  <c r="A322" i="4"/>
  <c r="A306" i="4"/>
  <c r="A299" i="4"/>
  <c r="A295" i="4"/>
  <c r="A282" i="4"/>
  <c r="A274" i="4"/>
  <c r="A266" i="4"/>
  <c r="A258" i="4"/>
  <c r="A250" i="4"/>
  <c r="A242" i="4"/>
  <c r="A234" i="4"/>
  <c r="A314" i="4"/>
  <c r="A281" i="4"/>
  <c r="A273" i="4"/>
  <c r="A265" i="4"/>
  <c r="A257" i="4"/>
  <c r="A249" i="4"/>
  <c r="A241" i="4"/>
  <c r="A233" i="4"/>
  <c r="A225" i="4"/>
  <c r="A362" i="4"/>
  <c r="A280" i="4"/>
  <c r="A272" i="4"/>
  <c r="A264" i="4"/>
  <c r="A256" i="4"/>
  <c r="A248" i="4"/>
  <c r="A298" i="4"/>
  <c r="A291" i="4"/>
  <c r="A278" i="4"/>
  <c r="A270" i="4"/>
  <c r="A262" i="4"/>
  <c r="A254" i="4"/>
  <c r="A308" i="4"/>
  <c r="A290" i="4"/>
  <c r="A271" i="4"/>
  <c r="A245" i="4"/>
  <c r="A229" i="4"/>
  <c r="A223" i="4"/>
  <c r="A222" i="4"/>
  <c r="A221" i="4"/>
  <c r="A202" i="4"/>
  <c r="A194" i="4"/>
  <c r="A186" i="4"/>
  <c r="A178" i="4"/>
  <c r="A170" i="4"/>
  <c r="A162" i="4"/>
  <c r="A154" i="4"/>
  <c r="A146" i="4"/>
  <c r="A138" i="4"/>
  <c r="A130" i="4"/>
  <c r="A122" i="4"/>
  <c r="A114" i="4"/>
  <c r="A106" i="4"/>
  <c r="A98" i="4"/>
  <c r="A232" i="4"/>
  <c r="A201" i="4"/>
  <c r="A193" i="4"/>
  <c r="A185" i="4"/>
  <c r="A177" i="4"/>
  <c r="A169" i="4"/>
  <c r="A161" i="4"/>
  <c r="A153" i="4"/>
  <c r="A145" i="4"/>
  <c r="A137" i="4"/>
  <c r="A129" i="4"/>
  <c r="A121" i="4"/>
  <c r="A113" i="4"/>
  <c r="A105" i="4"/>
  <c r="A263" i="4"/>
  <c r="A253" i="4"/>
  <c r="A239" i="4"/>
  <c r="A224" i="4"/>
  <c r="A200" i="4"/>
  <c r="A192" i="4"/>
  <c r="A184" i="4"/>
  <c r="A176" i="4"/>
  <c r="A168" i="4"/>
  <c r="A160" i="4"/>
  <c r="A152" i="4"/>
  <c r="A144" i="4"/>
  <c r="A136" i="4"/>
  <c r="A128" i="4"/>
  <c r="A120" i="4"/>
  <c r="A112" i="4"/>
  <c r="A104" i="4"/>
  <c r="A277" i="4"/>
  <c r="A246" i="4"/>
  <c r="A230" i="4"/>
  <c r="A199" i="4"/>
  <c r="A191" i="4"/>
  <c r="A183" i="4"/>
  <c r="A175" i="4"/>
  <c r="A167" i="4"/>
  <c r="A159" i="4"/>
  <c r="A151" i="4"/>
  <c r="A143" i="4"/>
  <c r="A135" i="4"/>
  <c r="A127" i="4"/>
  <c r="A255" i="4"/>
  <c r="A237" i="4"/>
  <c r="A198" i="4"/>
  <c r="A190" i="4"/>
  <c r="A182" i="4"/>
  <c r="A174" i="4"/>
  <c r="A166" i="4"/>
  <c r="A158" i="4"/>
  <c r="A150" i="4"/>
  <c r="A142" i="4"/>
  <c r="A134" i="4"/>
  <c r="A126" i="4"/>
  <c r="A219" i="4"/>
  <c r="A208" i="4"/>
  <c r="A203" i="4"/>
  <c r="A172" i="4"/>
  <c r="A141" i="4"/>
  <c r="A139" i="4"/>
  <c r="A109" i="4"/>
  <c r="A102" i="4"/>
  <c r="A93" i="4"/>
  <c r="A85" i="4"/>
  <c r="A77" i="4"/>
  <c r="A69" i="4"/>
  <c r="A61" i="4"/>
  <c r="A53" i="4"/>
  <c r="A45" i="4"/>
  <c r="A37" i="4"/>
  <c r="A29" i="4"/>
  <c r="A21" i="4"/>
  <c r="A342" i="4"/>
  <c r="A292" i="4"/>
  <c r="A247" i="4"/>
  <c r="A238" i="4"/>
  <c r="A216" i="4"/>
  <c r="A205" i="4"/>
  <c r="A181" i="4"/>
  <c r="A179" i="4"/>
  <c r="A148" i="4"/>
  <c r="A116" i="4"/>
  <c r="A103" i="4"/>
  <c r="A92" i="4"/>
  <c r="A84" i="4"/>
  <c r="A76" i="4"/>
  <c r="A68" i="4"/>
  <c r="A60" i="4"/>
  <c r="A52" i="4"/>
  <c r="A44" i="4"/>
  <c r="A36" i="4"/>
  <c r="A28" i="4"/>
  <c r="A20" i="4"/>
  <c r="A12" i="4"/>
  <c r="A213" i="4"/>
  <c r="A210" i="4"/>
  <c r="A188" i="4"/>
  <c r="A157" i="4"/>
  <c r="A155" i="4"/>
  <c r="A123" i="4"/>
  <c r="A110" i="4"/>
  <c r="A91" i="4"/>
  <c r="A83" i="4"/>
  <c r="A75" i="4"/>
  <c r="A67" i="4"/>
  <c r="A59" i="4"/>
  <c r="A51" i="4"/>
  <c r="A43" i="4"/>
  <c r="A35" i="4"/>
  <c r="A27" i="4"/>
  <c r="A19" i="4"/>
  <c r="A11" i="4"/>
  <c r="A279" i="4"/>
  <c r="A269" i="4"/>
  <c r="A261" i="4"/>
  <c r="A218" i="4"/>
  <c r="A207" i="4"/>
  <c r="A197" i="4"/>
  <c r="A195" i="4"/>
  <c r="A164" i="4"/>
  <c r="A133" i="4"/>
  <c r="A131" i="4"/>
  <c r="A117" i="4"/>
  <c r="A90" i="4"/>
  <c r="A82" i="4"/>
  <c r="A74" i="4"/>
  <c r="A66" i="4"/>
  <c r="A58" i="4"/>
  <c r="A50" i="4"/>
  <c r="A42" i="4"/>
  <c r="A34" i="4"/>
  <c r="A26" i="4"/>
  <c r="A240" i="4"/>
  <c r="A231" i="4"/>
  <c r="A215" i="4"/>
  <c r="A204" i="4"/>
  <c r="A173" i="4"/>
  <c r="A171" i="4"/>
  <c r="A140" i="4"/>
  <c r="A124" i="4"/>
  <c r="A111" i="4"/>
  <c r="A107" i="4"/>
  <c r="A97" i="4"/>
  <c r="A89" i="4"/>
  <c r="A81" i="4"/>
  <c r="A73" i="4"/>
  <c r="A65" i="4"/>
  <c r="A57" i="4"/>
  <c r="A49" i="4"/>
  <c r="A300" i="4"/>
  <c r="A226" i="4"/>
  <c r="A217" i="4"/>
  <c r="A206" i="4"/>
  <c r="A189" i="4"/>
  <c r="A187" i="4"/>
  <c r="A156" i="4"/>
  <c r="A125" i="4"/>
  <c r="A108" i="4"/>
  <c r="A100" i="4"/>
  <c r="A95" i="4"/>
  <c r="A87" i="4"/>
  <c r="A79" i="4"/>
  <c r="A71" i="4"/>
  <c r="A63" i="4"/>
  <c r="A55" i="4"/>
  <c r="A47" i="4"/>
  <c r="A32" i="4"/>
  <c r="A46" i="4"/>
  <c r="A78" i="4"/>
  <c r="A196" i="4"/>
  <c r="D80" i="4"/>
  <c r="C80" i="4"/>
  <c r="B80" i="4"/>
  <c r="A25" i="4"/>
  <c r="A41" i="4"/>
  <c r="A64" i="4"/>
  <c r="A96" i="4"/>
  <c r="A149" i="4"/>
  <c r="D40" i="4"/>
  <c r="C40" i="4"/>
  <c r="D163" i="4"/>
  <c r="B163" i="4"/>
  <c r="D48" i="4"/>
  <c r="C48" i="4"/>
  <c r="B48" i="4"/>
  <c r="C94" i="4"/>
  <c r="B16" i="4"/>
  <c r="E16" i="4" s="1"/>
  <c r="A22" i="4"/>
  <c r="A38" i="4"/>
  <c r="A54" i="4"/>
  <c r="A86" i="4"/>
  <c r="A101" i="4"/>
  <c r="A132" i="4"/>
  <c r="D33" i="4"/>
  <c r="C33" i="4"/>
  <c r="B33" i="4"/>
  <c r="C62" i="4"/>
  <c r="A15" i="4"/>
  <c r="C16" i="4"/>
  <c r="A31" i="4"/>
  <c r="A72" i="4"/>
  <c r="A118" i="4"/>
  <c r="A180" i="4"/>
  <c r="A209" i="4"/>
  <c r="C248" i="2"/>
  <c r="D248" i="2"/>
  <c r="A159" i="2"/>
  <c r="B159" i="2" s="1"/>
  <c r="A20" i="2"/>
  <c r="B20" i="2" s="1"/>
  <c r="A36" i="2"/>
  <c r="C36" i="2" s="1"/>
  <c r="A52" i="2"/>
  <c r="C52" i="2" s="1"/>
  <c r="A70" i="2"/>
  <c r="C70" i="2" s="1"/>
  <c r="A167" i="2"/>
  <c r="B167" i="2" s="1"/>
  <c r="A227" i="2"/>
  <c r="B227" i="2" s="1"/>
  <c r="A255" i="2"/>
  <c r="B255" i="2" s="1"/>
  <c r="A12" i="2"/>
  <c r="D12" i="2" s="1"/>
  <c r="A24" i="2"/>
  <c r="D24" i="2" s="1"/>
  <c r="A40" i="2"/>
  <c r="D40" i="2" s="1"/>
  <c r="A56" i="2"/>
  <c r="C56" i="2" s="1"/>
  <c r="A83" i="2"/>
  <c r="C83" i="2" s="1"/>
  <c r="A175" i="2"/>
  <c r="B175" i="2" s="1"/>
  <c r="A264" i="2"/>
  <c r="B264" i="2" s="1"/>
  <c r="A49" i="2"/>
  <c r="C49" i="2" s="1"/>
  <c r="A11" i="2"/>
  <c r="B11" i="2" s="1"/>
  <c r="E11" i="2" s="1"/>
  <c r="A79" i="2"/>
  <c r="B79" i="2" s="1"/>
  <c r="A13" i="2"/>
  <c r="C13" i="2" s="1"/>
  <c r="A25" i="2"/>
  <c r="C25" i="2" s="1"/>
  <c r="A41" i="2"/>
  <c r="C41" i="2" s="1"/>
  <c r="A57" i="2"/>
  <c r="B57" i="2" s="1"/>
  <c r="A87" i="2"/>
  <c r="B87" i="2" s="1"/>
  <c r="A176" i="2"/>
  <c r="B176" i="2" s="1"/>
  <c r="A271" i="2"/>
  <c r="B271" i="2" s="1"/>
  <c r="A67" i="2"/>
  <c r="B67" i="2" s="1"/>
  <c r="A21" i="2"/>
  <c r="D21" i="2" s="1"/>
  <c r="A53" i="2"/>
  <c r="B53" i="2" s="1"/>
  <c r="A15" i="2"/>
  <c r="C15" i="2" s="1"/>
  <c r="A28" i="2"/>
  <c r="B28" i="2" s="1"/>
  <c r="A44" i="2"/>
  <c r="C44" i="2" s="1"/>
  <c r="A60" i="2"/>
  <c r="C60" i="2" s="1"/>
  <c r="A111" i="2"/>
  <c r="B111" i="2" s="1"/>
  <c r="A184" i="2"/>
  <c r="B184" i="2" s="1"/>
  <c r="A280" i="2"/>
  <c r="B280" i="2" s="1"/>
  <c r="A33" i="2"/>
  <c r="B33" i="2" s="1"/>
  <c r="A211" i="2"/>
  <c r="B211" i="2" s="1"/>
  <c r="A37" i="2"/>
  <c r="C37" i="2" s="1"/>
  <c r="A168" i="2"/>
  <c r="B168" i="2" s="1"/>
  <c r="A16" i="2"/>
  <c r="B16" i="2" s="1"/>
  <c r="E16" i="2" s="1"/>
  <c r="A29" i="2"/>
  <c r="D29" i="2" s="1"/>
  <c r="A45" i="2"/>
  <c r="C45" i="2" s="1"/>
  <c r="A61" i="2"/>
  <c r="C61" i="2" s="1"/>
  <c r="A115" i="2"/>
  <c r="B115" i="2" s="1"/>
  <c r="A189" i="2"/>
  <c r="B189" i="2" s="1"/>
  <c r="A311" i="2"/>
  <c r="B311" i="2" s="1"/>
  <c r="A19" i="2"/>
  <c r="B19" i="2" s="1"/>
  <c r="E19" i="2" s="1"/>
  <c r="A17" i="2"/>
  <c r="B17" i="2" s="1"/>
  <c r="E17" i="2" s="1"/>
  <c r="A32" i="2"/>
  <c r="D32" i="2" s="1"/>
  <c r="A48" i="2"/>
  <c r="C48" i="2" s="1"/>
  <c r="A66" i="2"/>
  <c r="D66" i="2" s="1"/>
  <c r="A119" i="2"/>
  <c r="B119" i="2" s="1"/>
  <c r="A197" i="2"/>
  <c r="B197" i="2" s="1"/>
  <c r="C12" i="2"/>
  <c r="C67" i="2"/>
  <c r="D67" i="2"/>
  <c r="C24" i="2"/>
  <c r="C32" i="2"/>
  <c r="C11" i="2"/>
  <c r="C29" i="2"/>
  <c r="D11" i="2"/>
  <c r="D25" i="2"/>
  <c r="D53" i="2"/>
  <c r="C79" i="2"/>
  <c r="D45" i="2"/>
  <c r="B32" i="2"/>
  <c r="B12" i="2"/>
  <c r="E12" i="2" s="1"/>
  <c r="B25" i="2"/>
  <c r="E25" i="2" s="1"/>
  <c r="B29" i="2"/>
  <c r="A75" i="2"/>
  <c r="A107" i="2"/>
  <c r="B107" i="2" s="1"/>
  <c r="A133" i="2"/>
  <c r="B133" i="2" s="1"/>
  <c r="A151" i="2"/>
  <c r="B151" i="2" s="1"/>
  <c r="A160" i="2"/>
  <c r="B160" i="2" s="1"/>
  <c r="A181" i="2"/>
  <c r="B181" i="2" s="1"/>
  <c r="A239" i="2"/>
  <c r="B239" i="2" s="1"/>
  <c r="A473" i="2"/>
  <c r="B473" i="2" s="1"/>
  <c r="A469" i="2"/>
  <c r="B469" i="2" s="1"/>
  <c r="A465" i="2"/>
  <c r="B465" i="2" s="1"/>
  <c r="A461" i="2"/>
  <c r="B461" i="2" s="1"/>
  <c r="A457" i="2"/>
  <c r="B457" i="2" s="1"/>
  <c r="A453" i="2"/>
  <c r="B453" i="2" s="1"/>
  <c r="A449" i="2"/>
  <c r="B449" i="2" s="1"/>
  <c r="A445" i="2"/>
  <c r="B445" i="2" s="1"/>
  <c r="A441" i="2"/>
  <c r="B441" i="2" s="1"/>
  <c r="A437" i="2"/>
  <c r="B437" i="2" s="1"/>
  <c r="A433" i="2"/>
  <c r="B433" i="2" s="1"/>
  <c r="A429" i="2"/>
  <c r="B429" i="2" s="1"/>
  <c r="A425" i="2"/>
  <c r="B425" i="2" s="1"/>
  <c r="A421" i="2"/>
  <c r="B421" i="2" s="1"/>
  <c r="A417" i="2"/>
  <c r="B417" i="2" s="1"/>
  <c r="A413" i="2"/>
  <c r="B413" i="2" s="1"/>
  <c r="A409" i="2"/>
  <c r="B409" i="2" s="1"/>
  <c r="A472" i="2"/>
  <c r="B472" i="2" s="1"/>
  <c r="A468" i="2"/>
  <c r="B468" i="2" s="1"/>
  <c r="A464" i="2"/>
  <c r="B464" i="2" s="1"/>
  <c r="A460" i="2"/>
  <c r="B460" i="2" s="1"/>
  <c r="A456" i="2"/>
  <c r="B456" i="2" s="1"/>
  <c r="A452" i="2"/>
  <c r="B452" i="2" s="1"/>
  <c r="A448" i="2"/>
  <c r="B448" i="2" s="1"/>
  <c r="A444" i="2"/>
  <c r="B444" i="2" s="1"/>
  <c r="A440" i="2"/>
  <c r="B440" i="2" s="1"/>
  <c r="A436" i="2"/>
  <c r="B436" i="2" s="1"/>
  <c r="A432" i="2"/>
  <c r="B432" i="2" s="1"/>
  <c r="A428" i="2"/>
  <c r="B428" i="2" s="1"/>
  <c r="A424" i="2"/>
  <c r="B424" i="2" s="1"/>
  <c r="A420" i="2"/>
  <c r="B420" i="2" s="1"/>
  <c r="A416" i="2"/>
  <c r="B416" i="2" s="1"/>
  <c r="A412" i="2"/>
  <c r="B412" i="2" s="1"/>
  <c r="A408" i="2"/>
  <c r="B408" i="2" s="1"/>
  <c r="A467" i="2"/>
  <c r="B467" i="2" s="1"/>
  <c r="A451" i="2"/>
  <c r="B451" i="2" s="1"/>
  <c r="A435" i="2"/>
  <c r="B435" i="2" s="1"/>
  <c r="A419" i="2"/>
  <c r="B419" i="2" s="1"/>
  <c r="A403" i="2"/>
  <c r="B403" i="2" s="1"/>
  <c r="A399" i="2"/>
  <c r="B399" i="2" s="1"/>
  <c r="A395" i="2"/>
  <c r="B395" i="2" s="1"/>
  <c r="A391" i="2"/>
  <c r="B391" i="2" s="1"/>
  <c r="A387" i="2"/>
  <c r="B387" i="2" s="1"/>
  <c r="A383" i="2"/>
  <c r="B383" i="2" s="1"/>
  <c r="A379" i="2"/>
  <c r="B379" i="2" s="1"/>
  <c r="A375" i="2"/>
  <c r="B375" i="2" s="1"/>
  <c r="A371" i="2"/>
  <c r="B371" i="2" s="1"/>
  <c r="A367" i="2"/>
  <c r="B367" i="2" s="1"/>
  <c r="A363" i="2"/>
  <c r="B363" i="2" s="1"/>
  <c r="A470" i="2"/>
  <c r="B470" i="2" s="1"/>
  <c r="A454" i="2"/>
  <c r="B454" i="2" s="1"/>
  <c r="A438" i="2"/>
  <c r="B438" i="2" s="1"/>
  <c r="A422" i="2"/>
  <c r="B422" i="2" s="1"/>
  <c r="A463" i="2"/>
  <c r="B463" i="2" s="1"/>
  <c r="A447" i="2"/>
  <c r="B447" i="2" s="1"/>
  <c r="A431" i="2"/>
  <c r="B431" i="2" s="1"/>
  <c r="A415" i="2"/>
  <c r="B415" i="2" s="1"/>
  <c r="A406" i="2"/>
  <c r="B406" i="2" s="1"/>
  <c r="A402" i="2"/>
  <c r="B402" i="2" s="1"/>
  <c r="A398" i="2"/>
  <c r="B398" i="2" s="1"/>
  <c r="A394" i="2"/>
  <c r="B394" i="2" s="1"/>
  <c r="A390" i="2"/>
  <c r="B390" i="2" s="1"/>
  <c r="A386" i="2"/>
  <c r="B386" i="2" s="1"/>
  <c r="A382" i="2"/>
  <c r="B382" i="2" s="1"/>
  <c r="A378" i="2"/>
  <c r="B378" i="2" s="1"/>
  <c r="A374" i="2"/>
  <c r="B374" i="2" s="1"/>
  <c r="A370" i="2"/>
  <c r="B370" i="2" s="1"/>
  <c r="A366" i="2"/>
  <c r="B366" i="2" s="1"/>
  <c r="A362" i="2"/>
  <c r="B362" i="2" s="1"/>
  <c r="A358" i="2"/>
  <c r="B358" i="2" s="1"/>
  <c r="A466" i="2"/>
  <c r="B466" i="2" s="1"/>
  <c r="A450" i="2"/>
  <c r="B450" i="2" s="1"/>
  <c r="A434" i="2"/>
  <c r="B434" i="2" s="1"/>
  <c r="A418" i="2"/>
  <c r="B418" i="2" s="1"/>
  <c r="A459" i="2"/>
  <c r="B459" i="2" s="1"/>
  <c r="A443" i="2"/>
  <c r="B443" i="2" s="1"/>
  <c r="A427" i="2"/>
  <c r="B427" i="2" s="1"/>
  <c r="A411" i="2"/>
  <c r="B411" i="2" s="1"/>
  <c r="A405" i="2"/>
  <c r="B405" i="2" s="1"/>
  <c r="A401" i="2"/>
  <c r="B401" i="2" s="1"/>
  <c r="A397" i="2"/>
  <c r="B397" i="2" s="1"/>
  <c r="A393" i="2"/>
  <c r="B393" i="2" s="1"/>
  <c r="A389" i="2"/>
  <c r="B389" i="2" s="1"/>
  <c r="A385" i="2"/>
  <c r="B385" i="2" s="1"/>
  <c r="A381" i="2"/>
  <c r="B381" i="2" s="1"/>
  <c r="A377" i="2"/>
  <c r="B377" i="2" s="1"/>
  <c r="A373" i="2"/>
  <c r="B373" i="2" s="1"/>
  <c r="A369" i="2"/>
  <c r="B369" i="2" s="1"/>
  <c r="A365" i="2"/>
  <c r="B365" i="2" s="1"/>
  <c r="A361" i="2"/>
  <c r="B361" i="2" s="1"/>
  <c r="A357" i="2"/>
  <c r="B357" i="2" s="1"/>
  <c r="A455" i="2"/>
  <c r="B455" i="2" s="1"/>
  <c r="A446" i="2"/>
  <c r="B446" i="2" s="1"/>
  <c r="A380" i="2"/>
  <c r="B380" i="2" s="1"/>
  <c r="A352" i="2"/>
  <c r="B352" i="2" s="1"/>
  <c r="A348" i="2"/>
  <c r="B348" i="2" s="1"/>
  <c r="A344" i="2"/>
  <c r="B344" i="2" s="1"/>
  <c r="A340" i="2"/>
  <c r="B340" i="2" s="1"/>
  <c r="A336" i="2"/>
  <c r="B336" i="2" s="1"/>
  <c r="A332" i="2"/>
  <c r="B332" i="2" s="1"/>
  <c r="A328" i="2"/>
  <c r="B328" i="2" s="1"/>
  <c r="A324" i="2"/>
  <c r="B324" i="2" s="1"/>
  <c r="A320" i="2"/>
  <c r="B320" i="2" s="1"/>
  <c r="A316" i="2"/>
  <c r="B316" i="2" s="1"/>
  <c r="A471" i="2"/>
  <c r="B471" i="2" s="1"/>
  <c r="A462" i="2"/>
  <c r="B462" i="2" s="1"/>
  <c r="A384" i="2"/>
  <c r="B384" i="2" s="1"/>
  <c r="A359" i="2"/>
  <c r="B359" i="2" s="1"/>
  <c r="A388" i="2"/>
  <c r="B388" i="2" s="1"/>
  <c r="A351" i="2"/>
  <c r="B351" i="2" s="1"/>
  <c r="A347" i="2"/>
  <c r="B347" i="2" s="1"/>
  <c r="A343" i="2"/>
  <c r="B343" i="2" s="1"/>
  <c r="A339" i="2"/>
  <c r="B339" i="2" s="1"/>
  <c r="A335" i="2"/>
  <c r="B335" i="2" s="1"/>
  <c r="A331" i="2"/>
  <c r="B331" i="2" s="1"/>
  <c r="A327" i="2"/>
  <c r="B327" i="2" s="1"/>
  <c r="A323" i="2"/>
  <c r="B323" i="2" s="1"/>
  <c r="A319" i="2"/>
  <c r="B319" i="2" s="1"/>
  <c r="A315" i="2"/>
  <c r="B315" i="2" s="1"/>
  <c r="A410" i="2"/>
  <c r="B410" i="2" s="1"/>
  <c r="A392" i="2"/>
  <c r="B392" i="2" s="1"/>
  <c r="A360" i="2"/>
  <c r="B360" i="2" s="1"/>
  <c r="A426" i="2"/>
  <c r="B426" i="2" s="1"/>
  <c r="A396" i="2"/>
  <c r="B396" i="2" s="1"/>
  <c r="A364" i="2"/>
  <c r="B364" i="2" s="1"/>
  <c r="A354" i="2"/>
  <c r="B354" i="2" s="1"/>
  <c r="A350" i="2"/>
  <c r="B350" i="2" s="1"/>
  <c r="A346" i="2"/>
  <c r="B346" i="2" s="1"/>
  <c r="A342" i="2"/>
  <c r="B342" i="2" s="1"/>
  <c r="A338" i="2"/>
  <c r="B338" i="2" s="1"/>
  <c r="A334" i="2"/>
  <c r="B334" i="2" s="1"/>
  <c r="A330" i="2"/>
  <c r="B330" i="2" s="1"/>
  <c r="A326" i="2"/>
  <c r="B326" i="2" s="1"/>
  <c r="A322" i="2"/>
  <c r="B322" i="2" s="1"/>
  <c r="A318" i="2"/>
  <c r="B318" i="2" s="1"/>
  <c r="A314" i="2"/>
  <c r="B314" i="2" s="1"/>
  <c r="A458" i="2"/>
  <c r="B458" i="2" s="1"/>
  <c r="A423" i="2"/>
  <c r="B423" i="2" s="1"/>
  <c r="A414" i="2"/>
  <c r="B414" i="2" s="1"/>
  <c r="A404" i="2"/>
  <c r="B404" i="2" s="1"/>
  <c r="A372" i="2"/>
  <c r="B372" i="2" s="1"/>
  <c r="A333" i="2"/>
  <c r="B333" i="2" s="1"/>
  <c r="A430" i="2"/>
  <c r="B430" i="2" s="1"/>
  <c r="A337" i="2"/>
  <c r="B337" i="2" s="1"/>
  <c r="A310" i="2"/>
  <c r="B310" i="2" s="1"/>
  <c r="A306" i="2"/>
  <c r="B306" i="2" s="1"/>
  <c r="A302" i="2"/>
  <c r="B302" i="2" s="1"/>
  <c r="A298" i="2"/>
  <c r="B298" i="2" s="1"/>
  <c r="A294" i="2"/>
  <c r="B294" i="2" s="1"/>
  <c r="A290" i="2"/>
  <c r="B290" i="2" s="1"/>
  <c r="A286" i="2"/>
  <c r="B286" i="2" s="1"/>
  <c r="A282" i="2"/>
  <c r="B282" i="2" s="1"/>
  <c r="A278" i="2"/>
  <c r="B278" i="2" s="1"/>
  <c r="A274" i="2"/>
  <c r="B274" i="2" s="1"/>
  <c r="A270" i="2"/>
  <c r="B270" i="2" s="1"/>
  <c r="A266" i="2"/>
  <c r="B266" i="2" s="1"/>
  <c r="A262" i="2"/>
  <c r="B262" i="2" s="1"/>
  <c r="A258" i="2"/>
  <c r="B258" i="2" s="1"/>
  <c r="A254" i="2"/>
  <c r="B254" i="2" s="1"/>
  <c r="A250" i="2"/>
  <c r="B250" i="2" s="1"/>
  <c r="A246" i="2"/>
  <c r="B246" i="2" s="1"/>
  <c r="A242" i="2"/>
  <c r="B242" i="2" s="1"/>
  <c r="A238" i="2"/>
  <c r="B238" i="2" s="1"/>
  <c r="A234" i="2"/>
  <c r="B234" i="2" s="1"/>
  <c r="A230" i="2"/>
  <c r="B230" i="2" s="1"/>
  <c r="A226" i="2"/>
  <c r="B226" i="2" s="1"/>
  <c r="A222" i="2"/>
  <c r="B222" i="2" s="1"/>
  <c r="A218" i="2"/>
  <c r="B218" i="2" s="1"/>
  <c r="A214" i="2"/>
  <c r="B214" i="2" s="1"/>
  <c r="A210" i="2"/>
  <c r="B210" i="2" s="1"/>
  <c r="A206" i="2"/>
  <c r="B206" i="2" s="1"/>
  <c r="A202" i="2"/>
  <c r="B202" i="2" s="1"/>
  <c r="A368" i="2"/>
  <c r="B368" i="2" s="1"/>
  <c r="A341" i="2"/>
  <c r="B341" i="2" s="1"/>
  <c r="A400" i="2"/>
  <c r="B400" i="2" s="1"/>
  <c r="A349" i="2"/>
  <c r="B349" i="2" s="1"/>
  <c r="A317" i="2"/>
  <c r="B317" i="2" s="1"/>
  <c r="A305" i="2"/>
  <c r="B305" i="2" s="1"/>
  <c r="A297" i="2"/>
  <c r="B297" i="2" s="1"/>
  <c r="A289" i="2"/>
  <c r="B289" i="2" s="1"/>
  <c r="A281" i="2"/>
  <c r="B281" i="2" s="1"/>
  <c r="A273" i="2"/>
  <c r="B273" i="2" s="1"/>
  <c r="A265" i="2"/>
  <c r="B265" i="2" s="1"/>
  <c r="A257" i="2"/>
  <c r="B257" i="2" s="1"/>
  <c r="A249" i="2"/>
  <c r="B249" i="2" s="1"/>
  <c r="A241" i="2"/>
  <c r="B241" i="2" s="1"/>
  <c r="A233" i="2"/>
  <c r="B233" i="2" s="1"/>
  <c r="A225" i="2"/>
  <c r="B225" i="2" s="1"/>
  <c r="A217" i="2"/>
  <c r="B217" i="2" s="1"/>
  <c r="A209" i="2"/>
  <c r="B209" i="2" s="1"/>
  <c r="A201" i="2"/>
  <c r="B201" i="2" s="1"/>
  <c r="A356" i="2"/>
  <c r="B356" i="2" s="1"/>
  <c r="A321" i="2"/>
  <c r="B321" i="2" s="1"/>
  <c r="A313" i="2"/>
  <c r="B313" i="2" s="1"/>
  <c r="A308" i="2"/>
  <c r="B308" i="2" s="1"/>
  <c r="A300" i="2"/>
  <c r="B300" i="2" s="1"/>
  <c r="A292" i="2"/>
  <c r="B292" i="2" s="1"/>
  <c r="A284" i="2"/>
  <c r="B284" i="2" s="1"/>
  <c r="A276" i="2"/>
  <c r="B276" i="2" s="1"/>
  <c r="A268" i="2"/>
  <c r="B268" i="2" s="1"/>
  <c r="A260" i="2"/>
  <c r="B260" i="2" s="1"/>
  <c r="A252" i="2"/>
  <c r="B252" i="2" s="1"/>
  <c r="A244" i="2"/>
  <c r="B244" i="2" s="1"/>
  <c r="A236" i="2"/>
  <c r="B236" i="2" s="1"/>
  <c r="A228" i="2"/>
  <c r="B228" i="2" s="1"/>
  <c r="A220" i="2"/>
  <c r="B220" i="2" s="1"/>
  <c r="A212" i="2"/>
  <c r="B212" i="2" s="1"/>
  <c r="A204" i="2"/>
  <c r="B204" i="2" s="1"/>
  <c r="A198" i="2"/>
  <c r="B198" i="2" s="1"/>
  <c r="A194" i="2"/>
  <c r="B194" i="2" s="1"/>
  <c r="A190" i="2"/>
  <c r="B190" i="2" s="1"/>
  <c r="A186" i="2"/>
  <c r="B186" i="2" s="1"/>
  <c r="A182" i="2"/>
  <c r="B182" i="2" s="1"/>
  <c r="A178" i="2"/>
  <c r="B178" i="2" s="1"/>
  <c r="A174" i="2"/>
  <c r="B174" i="2" s="1"/>
  <c r="A170" i="2"/>
  <c r="B170" i="2" s="1"/>
  <c r="A166" i="2"/>
  <c r="B166" i="2" s="1"/>
  <c r="A162" i="2"/>
  <c r="B162" i="2" s="1"/>
  <c r="A158" i="2"/>
  <c r="B158" i="2" s="1"/>
  <c r="A154" i="2"/>
  <c r="B154" i="2" s="1"/>
  <c r="A150" i="2"/>
  <c r="B150" i="2" s="1"/>
  <c r="A146" i="2"/>
  <c r="B146" i="2" s="1"/>
  <c r="A142" i="2"/>
  <c r="B142" i="2" s="1"/>
  <c r="A138" i="2"/>
  <c r="B138" i="2" s="1"/>
  <c r="A134" i="2"/>
  <c r="B134" i="2" s="1"/>
  <c r="A442" i="2"/>
  <c r="B442" i="2" s="1"/>
  <c r="A355" i="2"/>
  <c r="B355" i="2" s="1"/>
  <c r="A325" i="2"/>
  <c r="B325" i="2" s="1"/>
  <c r="A376" i="2"/>
  <c r="B376" i="2" s="1"/>
  <c r="A345" i="2"/>
  <c r="B345" i="2" s="1"/>
  <c r="A309" i="2"/>
  <c r="B309" i="2" s="1"/>
  <c r="A301" i="2"/>
  <c r="B301" i="2" s="1"/>
  <c r="A293" i="2"/>
  <c r="B293" i="2" s="1"/>
  <c r="A285" i="2"/>
  <c r="B285" i="2" s="1"/>
  <c r="A277" i="2"/>
  <c r="B277" i="2" s="1"/>
  <c r="A269" i="2"/>
  <c r="B269" i="2" s="1"/>
  <c r="A261" i="2"/>
  <c r="B261" i="2" s="1"/>
  <c r="A253" i="2"/>
  <c r="B253" i="2" s="1"/>
  <c r="A245" i="2"/>
  <c r="B245" i="2" s="1"/>
  <c r="A237" i="2"/>
  <c r="B237" i="2" s="1"/>
  <c r="A229" i="2"/>
  <c r="B229" i="2" s="1"/>
  <c r="A221" i="2"/>
  <c r="B221" i="2" s="1"/>
  <c r="A213" i="2"/>
  <c r="B213" i="2" s="1"/>
  <c r="A205" i="2"/>
  <c r="B205" i="2" s="1"/>
  <c r="A353" i="2"/>
  <c r="B353" i="2" s="1"/>
  <c r="A312" i="2"/>
  <c r="B312" i="2" s="1"/>
  <c r="A304" i="2"/>
  <c r="B304" i="2" s="1"/>
  <c r="A296" i="2"/>
  <c r="B296" i="2" s="1"/>
  <c r="A288" i="2"/>
  <c r="B288" i="2" s="1"/>
  <c r="A439" i="2"/>
  <c r="B439" i="2" s="1"/>
  <c r="A143" i="2"/>
  <c r="B143" i="2" s="1"/>
  <c r="A130" i="2"/>
  <c r="B130" i="2" s="1"/>
  <c r="A126" i="2"/>
  <c r="B126" i="2" s="1"/>
  <c r="A122" i="2"/>
  <c r="B122" i="2" s="1"/>
  <c r="A118" i="2"/>
  <c r="B118" i="2" s="1"/>
  <c r="A114" i="2"/>
  <c r="B114" i="2" s="1"/>
  <c r="A110" i="2"/>
  <c r="B110" i="2" s="1"/>
  <c r="A106" i="2"/>
  <c r="B106" i="2" s="1"/>
  <c r="A102" i="2"/>
  <c r="B102" i="2" s="1"/>
  <c r="A98" i="2"/>
  <c r="A94" i="2"/>
  <c r="A90" i="2"/>
  <c r="A86" i="2"/>
  <c r="A82" i="2"/>
  <c r="A78" i="2"/>
  <c r="A74" i="2"/>
  <c r="A407" i="2"/>
  <c r="B407" i="2" s="1"/>
  <c r="A267" i="2"/>
  <c r="B267" i="2" s="1"/>
  <c r="A251" i="2"/>
  <c r="B251" i="2" s="1"/>
  <c r="A235" i="2"/>
  <c r="B235" i="2" s="1"/>
  <c r="A219" i="2"/>
  <c r="B219" i="2" s="1"/>
  <c r="A203" i="2"/>
  <c r="B203" i="2" s="1"/>
  <c r="A195" i="2"/>
  <c r="B195" i="2" s="1"/>
  <c r="A187" i="2"/>
  <c r="B187" i="2" s="1"/>
  <c r="A179" i="2"/>
  <c r="B179" i="2" s="1"/>
  <c r="A171" i="2"/>
  <c r="B171" i="2" s="1"/>
  <c r="A163" i="2"/>
  <c r="B163" i="2" s="1"/>
  <c r="A155" i="2"/>
  <c r="B155" i="2" s="1"/>
  <c r="A147" i="2"/>
  <c r="B147" i="2" s="1"/>
  <c r="A144" i="2"/>
  <c r="B144" i="2" s="1"/>
  <c r="A139" i="2"/>
  <c r="B139" i="2" s="1"/>
  <c r="A287" i="2"/>
  <c r="B287" i="2" s="1"/>
  <c r="A283" i="2"/>
  <c r="B283" i="2" s="1"/>
  <c r="A279" i="2"/>
  <c r="B279" i="2" s="1"/>
  <c r="A263" i="2"/>
  <c r="B263" i="2" s="1"/>
  <c r="A247" i="2"/>
  <c r="B247" i="2" s="1"/>
  <c r="A231" i="2"/>
  <c r="B231" i="2" s="1"/>
  <c r="A215" i="2"/>
  <c r="B215" i="2" s="1"/>
  <c r="A193" i="2"/>
  <c r="B193" i="2" s="1"/>
  <c r="A185" i="2"/>
  <c r="B185" i="2" s="1"/>
  <c r="A177" i="2"/>
  <c r="B177" i="2" s="1"/>
  <c r="A169" i="2"/>
  <c r="B169" i="2" s="1"/>
  <c r="A161" i="2"/>
  <c r="B161" i="2" s="1"/>
  <c r="A153" i="2"/>
  <c r="B153" i="2" s="1"/>
  <c r="A140" i="2"/>
  <c r="B140" i="2" s="1"/>
  <c r="A135" i="2"/>
  <c r="B135" i="2" s="1"/>
  <c r="A129" i="2"/>
  <c r="B129" i="2" s="1"/>
  <c r="A125" i="2"/>
  <c r="B125" i="2" s="1"/>
  <c r="A121" i="2"/>
  <c r="B121" i="2" s="1"/>
  <c r="A117" i="2"/>
  <c r="B117" i="2" s="1"/>
  <c r="A113" i="2"/>
  <c r="B113" i="2" s="1"/>
  <c r="A109" i="2"/>
  <c r="B109" i="2" s="1"/>
  <c r="A105" i="2"/>
  <c r="B105" i="2" s="1"/>
  <c r="A101" i="2"/>
  <c r="B101" i="2" s="1"/>
  <c r="A97" i="2"/>
  <c r="A93" i="2"/>
  <c r="A89" i="2"/>
  <c r="A85" i="2"/>
  <c r="A81" i="2"/>
  <c r="A77" i="2"/>
  <c r="A73" i="2"/>
  <c r="A69" i="2"/>
  <c r="A65" i="2"/>
  <c r="A295" i="2"/>
  <c r="B295" i="2" s="1"/>
  <c r="A291" i="2"/>
  <c r="B291" i="2" s="1"/>
  <c r="A272" i="2"/>
  <c r="B272" i="2" s="1"/>
  <c r="A256" i="2"/>
  <c r="B256" i="2" s="1"/>
  <c r="A240" i="2"/>
  <c r="B240" i="2" s="1"/>
  <c r="A224" i="2"/>
  <c r="B224" i="2" s="1"/>
  <c r="A208" i="2"/>
  <c r="B208" i="2" s="1"/>
  <c r="A196" i="2"/>
  <c r="B196" i="2" s="1"/>
  <c r="A188" i="2"/>
  <c r="B188" i="2" s="1"/>
  <c r="A180" i="2"/>
  <c r="B180" i="2" s="1"/>
  <c r="A172" i="2"/>
  <c r="B172" i="2" s="1"/>
  <c r="A164" i="2"/>
  <c r="B164" i="2" s="1"/>
  <c r="A156" i="2"/>
  <c r="B156" i="2" s="1"/>
  <c r="A148" i="2"/>
  <c r="B148" i="2" s="1"/>
  <c r="A145" i="2"/>
  <c r="B145" i="2" s="1"/>
  <c r="A136" i="2"/>
  <c r="B136" i="2" s="1"/>
  <c r="A303" i="2"/>
  <c r="B303" i="2" s="1"/>
  <c r="A299" i="2"/>
  <c r="B299" i="2" s="1"/>
  <c r="A141" i="2"/>
  <c r="B141" i="2" s="1"/>
  <c r="A132" i="2"/>
  <c r="B132" i="2" s="1"/>
  <c r="A128" i="2"/>
  <c r="B128" i="2" s="1"/>
  <c r="A124" i="2"/>
  <c r="B124" i="2" s="1"/>
  <c r="A120" i="2"/>
  <c r="B120" i="2" s="1"/>
  <c r="A116" i="2"/>
  <c r="B116" i="2" s="1"/>
  <c r="A112" i="2"/>
  <c r="B112" i="2" s="1"/>
  <c r="A108" i="2"/>
  <c r="B108" i="2" s="1"/>
  <c r="A104" i="2"/>
  <c r="B104" i="2" s="1"/>
  <c r="A100" i="2"/>
  <c r="B100" i="2" s="1"/>
  <c r="A96" i="2"/>
  <c r="A92" i="2"/>
  <c r="A88" i="2"/>
  <c r="A84" i="2"/>
  <c r="A80" i="2"/>
  <c r="A76" i="2"/>
  <c r="A72" i="2"/>
  <c r="A68" i="2"/>
  <c r="A64" i="2"/>
  <c r="A14" i="2"/>
  <c r="A18" i="2"/>
  <c r="A22" i="2"/>
  <c r="A26" i="2"/>
  <c r="A30" i="2"/>
  <c r="A34" i="2"/>
  <c r="A38" i="2"/>
  <c r="A42" i="2"/>
  <c r="A46" i="2"/>
  <c r="A50" i="2"/>
  <c r="A54" i="2"/>
  <c r="A58" i="2"/>
  <c r="A62" i="2"/>
  <c r="A63" i="2"/>
  <c r="A103" i="2"/>
  <c r="B103" i="2" s="1"/>
  <c r="A152" i="2"/>
  <c r="B152" i="2" s="1"/>
  <c r="A173" i="2"/>
  <c r="B173" i="2" s="1"/>
  <c r="A223" i="2"/>
  <c r="B223" i="2" s="1"/>
  <c r="A232" i="2"/>
  <c r="B232" i="2" s="1"/>
  <c r="A99" i="2"/>
  <c r="A131" i="2"/>
  <c r="B131" i="2" s="1"/>
  <c r="A137" i="2"/>
  <c r="B137" i="2" s="1"/>
  <c r="A165" i="2"/>
  <c r="B165" i="2" s="1"/>
  <c r="A199" i="2"/>
  <c r="B199" i="2" s="1"/>
  <c r="A207" i="2"/>
  <c r="B207" i="2" s="1"/>
  <c r="A216" i="2"/>
  <c r="B216" i="2" s="1"/>
  <c r="A275" i="2"/>
  <c r="B275" i="2" s="1"/>
  <c r="A307" i="2"/>
  <c r="B307" i="2" s="1"/>
  <c r="A329" i="2"/>
  <c r="B329" i="2" s="1"/>
  <c r="A23" i="2"/>
  <c r="A27" i="2"/>
  <c r="A31" i="2"/>
  <c r="A35" i="2"/>
  <c r="A39" i="2"/>
  <c r="A43" i="2"/>
  <c r="A47" i="2"/>
  <c r="A51" i="2"/>
  <c r="A55" i="2"/>
  <c r="A59" i="2"/>
  <c r="A95" i="2"/>
  <c r="A127" i="2"/>
  <c r="B127" i="2" s="1"/>
  <c r="A157" i="2"/>
  <c r="B157" i="2" s="1"/>
  <c r="A191" i="2"/>
  <c r="B191" i="2" s="1"/>
  <c r="A200" i="2"/>
  <c r="B200" i="2" s="1"/>
  <c r="A259" i="2"/>
  <c r="B259" i="2" s="1"/>
  <c r="A71" i="2"/>
  <c r="A91" i="2"/>
  <c r="A123" i="2"/>
  <c r="B123" i="2" s="1"/>
  <c r="A149" i="2"/>
  <c r="B149" i="2" s="1"/>
  <c r="A183" i="2"/>
  <c r="B183" i="2" s="1"/>
  <c r="A192" i="2"/>
  <c r="B192" i="2" s="1"/>
  <c r="A243" i="2"/>
  <c r="B243" i="2" s="1"/>
  <c r="A11" i="1"/>
  <c r="D11" i="1" s="1"/>
  <c r="A457" i="1"/>
  <c r="A345" i="1"/>
  <c r="A324" i="1"/>
  <c r="A14" i="1"/>
  <c r="A395" i="1"/>
  <c r="D395" i="1" s="1"/>
  <c r="A290" i="1"/>
  <c r="C11" i="1"/>
  <c r="A299" i="1"/>
  <c r="D299" i="1" s="1"/>
  <c r="A384" i="1"/>
  <c r="C384" i="1" s="1"/>
  <c r="A287" i="1"/>
  <c r="C287" i="1" s="1"/>
  <c r="A426" i="1"/>
  <c r="D426" i="1" s="1"/>
  <c r="A25" i="1"/>
  <c r="D25" i="1" s="1"/>
  <c r="J15" i="1"/>
  <c r="A359" i="1"/>
  <c r="C359" i="1" s="1"/>
  <c r="A276" i="1"/>
  <c r="D276" i="1" s="1"/>
  <c r="A23" i="1"/>
  <c r="C23" i="1" s="1"/>
  <c r="A340" i="1"/>
  <c r="A205" i="1"/>
  <c r="D205" i="1" s="1"/>
  <c r="A270" i="1"/>
  <c r="C270" i="1" s="1"/>
  <c r="A18" i="1"/>
  <c r="B18" i="1" s="1"/>
  <c r="F18" i="1" s="1"/>
  <c r="A459" i="1"/>
  <c r="A328" i="1"/>
  <c r="A103" i="1"/>
  <c r="C53" i="1"/>
  <c r="B53" i="1"/>
  <c r="E53" i="1" s="1"/>
  <c r="D290" i="1"/>
  <c r="D24" i="1"/>
  <c r="F24" i="1" s="1"/>
  <c r="A21" i="1"/>
  <c r="C14" i="1"/>
  <c r="A467" i="1"/>
  <c r="A451" i="1"/>
  <c r="A434" i="1"/>
  <c r="A417" i="1"/>
  <c r="A408" i="1"/>
  <c r="A397" i="1"/>
  <c r="A382" i="1"/>
  <c r="A315" i="1"/>
  <c r="A268" i="1"/>
  <c r="C268" i="1" s="1"/>
  <c r="A260" i="1"/>
  <c r="B23" i="1"/>
  <c r="E23" i="1" s="1"/>
  <c r="A20" i="1"/>
  <c r="C20" i="1" s="1"/>
  <c r="A465" i="1"/>
  <c r="A415" i="1"/>
  <c r="A405" i="1"/>
  <c r="A377" i="1"/>
  <c r="C377" i="1" s="1"/>
  <c r="A358" i="1"/>
  <c r="D358" i="1" s="1"/>
  <c r="A339" i="1"/>
  <c r="C339" i="1" s="1"/>
  <c r="A17" i="1"/>
  <c r="D17" i="1" s="1"/>
  <c r="A472" i="1"/>
  <c r="A464" i="1"/>
  <c r="A439" i="1"/>
  <c r="A413" i="1"/>
  <c r="A374" i="1"/>
  <c r="C374" i="1" s="1"/>
  <c r="A336" i="1"/>
  <c r="C336" i="1" s="1"/>
  <c r="A311" i="1"/>
  <c r="A296" i="1"/>
  <c r="D296" i="1" s="1"/>
  <c r="C457" i="1"/>
  <c r="D457" i="1"/>
  <c r="A19" i="1"/>
  <c r="A15" i="1"/>
  <c r="A13" i="1"/>
  <c r="B13" i="1" s="1"/>
  <c r="A470" i="1"/>
  <c r="A454" i="1"/>
  <c r="A446" i="1"/>
  <c r="A392" i="1"/>
  <c r="A373" i="1"/>
  <c r="C373" i="1" s="1"/>
  <c r="A353" i="1"/>
  <c r="A264" i="1"/>
  <c r="C264" i="1" s="1"/>
  <c r="A161" i="1"/>
  <c r="A420" i="1"/>
  <c r="A388" i="1"/>
  <c r="A369" i="1"/>
  <c r="A349" i="1"/>
  <c r="A307" i="1"/>
  <c r="C307" i="1" s="1"/>
  <c r="A143" i="1"/>
  <c r="C395" i="1"/>
  <c r="C25" i="1"/>
  <c r="D18" i="1"/>
  <c r="A26" i="1"/>
  <c r="B26" i="1" s="1"/>
  <c r="A31" i="1"/>
  <c r="B31" i="1" s="1"/>
  <c r="A60" i="1"/>
  <c r="A67" i="1"/>
  <c r="A69" i="1"/>
  <c r="B69" i="1" s="1"/>
  <c r="A76" i="1"/>
  <c r="D76" i="1" s="1"/>
  <c r="A99" i="1"/>
  <c r="A114" i="1"/>
  <c r="D114" i="1" s="1"/>
  <c r="A116" i="1"/>
  <c r="A119" i="1"/>
  <c r="A123" i="1"/>
  <c r="A129" i="1"/>
  <c r="A132" i="1"/>
  <c r="A147" i="1"/>
  <c r="A154" i="1"/>
  <c r="D154" i="1" s="1"/>
  <c r="A159" i="1"/>
  <c r="A162" i="1"/>
  <c r="A167" i="1"/>
  <c r="A170" i="1"/>
  <c r="A184" i="1"/>
  <c r="C184" i="1" s="1"/>
  <c r="A194" i="1"/>
  <c r="A203" i="1"/>
  <c r="A214" i="1"/>
  <c r="A220" i="1"/>
  <c r="A244" i="1"/>
  <c r="A248" i="1"/>
  <c r="C248" i="1" s="1"/>
  <c r="A252" i="1"/>
  <c r="C252" i="1" s="1"/>
  <c r="A256" i="1"/>
  <c r="A27" i="1"/>
  <c r="B27" i="1" s="1"/>
  <c r="A32" i="1"/>
  <c r="A36" i="1"/>
  <c r="A42" i="1"/>
  <c r="B42" i="1" s="1"/>
  <c r="A45" i="1"/>
  <c r="A48" i="1"/>
  <c r="A54" i="1"/>
  <c r="B54" i="1" s="1"/>
  <c r="A57" i="1"/>
  <c r="B57" i="1" s="1"/>
  <c r="A70" i="1"/>
  <c r="B70" i="1" s="1"/>
  <c r="A73" i="1"/>
  <c r="B73" i="1" s="1"/>
  <c r="A80" i="1"/>
  <c r="A95" i="1"/>
  <c r="A105" i="1"/>
  <c r="A133" i="1"/>
  <c r="D133" i="1" s="1"/>
  <c r="A136" i="1"/>
  <c r="A151" i="1"/>
  <c r="A164" i="1"/>
  <c r="A177" i="1"/>
  <c r="A187" i="1"/>
  <c r="A189" i="1"/>
  <c r="D189" i="1" s="1"/>
  <c r="A201" i="1"/>
  <c r="D201" i="1" s="1"/>
  <c r="A206" i="1"/>
  <c r="A208" i="1"/>
  <c r="A211" i="1"/>
  <c r="A230" i="1"/>
  <c r="A238" i="1"/>
  <c r="A242" i="1"/>
  <c r="A245" i="1"/>
  <c r="A249" i="1"/>
  <c r="A253" i="1"/>
  <c r="A257" i="1"/>
  <c r="A28" i="1"/>
  <c r="A43" i="1"/>
  <c r="A55" i="1"/>
  <c r="A64" i="1"/>
  <c r="A71" i="1"/>
  <c r="A77" i="1"/>
  <c r="B77" i="1" s="1"/>
  <c r="A84" i="1"/>
  <c r="C84" i="1" s="1"/>
  <c r="A92" i="1"/>
  <c r="D92" i="1" s="1"/>
  <c r="A101" i="1"/>
  <c r="A110" i="1"/>
  <c r="D110" i="1" s="1"/>
  <c r="A112" i="1"/>
  <c r="A115" i="1"/>
  <c r="A125" i="1"/>
  <c r="A137" i="1"/>
  <c r="A140" i="1"/>
  <c r="A155" i="1"/>
  <c r="A172" i="1"/>
  <c r="A175" i="1"/>
  <c r="A178" i="1"/>
  <c r="A185" i="1"/>
  <c r="D185" i="1" s="1"/>
  <c r="A196" i="1"/>
  <c r="A199" i="1"/>
  <c r="A215" i="1"/>
  <c r="A218" i="1"/>
  <c r="A221" i="1"/>
  <c r="A223" i="1"/>
  <c r="D223" i="1" s="1"/>
  <c r="A228" i="1"/>
  <c r="A232" i="1"/>
  <c r="A235" i="1"/>
  <c r="A240" i="1"/>
  <c r="A46" i="1"/>
  <c r="B46" i="1" s="1"/>
  <c r="A58" i="1"/>
  <c r="B58" i="1" s="1"/>
  <c r="A61" i="1"/>
  <c r="B61" i="1" s="1"/>
  <c r="A74" i="1"/>
  <c r="B74" i="1" s="1"/>
  <c r="A78" i="1"/>
  <c r="B78" i="1" s="1"/>
  <c r="A85" i="1"/>
  <c r="A88" i="1"/>
  <c r="B88" i="1" s="1"/>
  <c r="A97" i="1"/>
  <c r="A117" i="1"/>
  <c r="A121" i="1"/>
  <c r="A130" i="1"/>
  <c r="A134" i="1"/>
  <c r="D134" i="1" s="1"/>
  <c r="A141" i="1"/>
  <c r="D141" i="1" s="1"/>
  <c r="A144" i="1"/>
  <c r="A165" i="1"/>
  <c r="D165" i="1" s="1"/>
  <c r="A180" i="1"/>
  <c r="A183" i="1"/>
  <c r="A190" i="1"/>
  <c r="A192" i="1"/>
  <c r="A202" i="1"/>
  <c r="A216" i="1"/>
  <c r="A219" i="1"/>
  <c r="A224" i="1"/>
  <c r="A236" i="1"/>
  <c r="A33" i="1"/>
  <c r="A37" i="1"/>
  <c r="A40" i="1"/>
  <c r="A47" i="1"/>
  <c r="A49" i="1"/>
  <c r="A52" i="1"/>
  <c r="A59" i="1"/>
  <c r="A62" i="1"/>
  <c r="B62" i="1" s="1"/>
  <c r="A75" i="1"/>
  <c r="A79" i="1"/>
  <c r="A81" i="1"/>
  <c r="D81" i="1" s="1"/>
  <c r="A89" i="1"/>
  <c r="A93" i="1"/>
  <c r="A106" i="1"/>
  <c r="D106" i="1" s="1"/>
  <c r="A108" i="1"/>
  <c r="A111" i="1"/>
  <c r="A128" i="1"/>
  <c r="A131" i="1"/>
  <c r="A138" i="1"/>
  <c r="A145" i="1"/>
  <c r="D145" i="1" s="1"/>
  <c r="A148" i="1"/>
  <c r="C148" i="1" s="1"/>
  <c r="A158" i="1"/>
  <c r="A163" i="1"/>
  <c r="A166" i="1"/>
  <c r="A173" i="1"/>
  <c r="A186" i="1"/>
  <c r="A197" i="1"/>
  <c r="D197" i="1" s="1"/>
  <c r="A209" i="1"/>
  <c r="D209" i="1" s="1"/>
  <c r="A225" i="1"/>
  <c r="A229" i="1"/>
  <c r="A237" i="1"/>
  <c r="A243" i="1"/>
  <c r="A247" i="1"/>
  <c r="A251" i="1"/>
  <c r="A255" i="1"/>
  <c r="A29" i="1"/>
  <c r="D29" i="1" s="1"/>
  <c r="A63" i="1"/>
  <c r="A65" i="1"/>
  <c r="B65" i="1" s="1"/>
  <c r="A68" i="1"/>
  <c r="A82" i="1"/>
  <c r="D82" i="1" s="1"/>
  <c r="A90" i="1"/>
  <c r="D90" i="1" s="1"/>
  <c r="A102" i="1"/>
  <c r="A104" i="1"/>
  <c r="A113" i="1"/>
  <c r="A126" i="1"/>
  <c r="C126" i="1" s="1"/>
  <c r="A135" i="1"/>
  <c r="A142" i="1"/>
  <c r="D142" i="1" s="1"/>
  <c r="A149" i="1"/>
  <c r="A152" i="1"/>
  <c r="C152" i="1" s="1"/>
  <c r="A160" i="1"/>
  <c r="A168" i="1"/>
  <c r="A171" i="1"/>
  <c r="A174" i="1"/>
  <c r="A181" i="1"/>
  <c r="D181" i="1" s="1"/>
  <c r="A195" i="1"/>
  <c r="A204" i="1"/>
  <c r="A207" i="1"/>
  <c r="A210" i="1"/>
  <c r="A212" i="1"/>
  <c r="A226" i="1"/>
  <c r="A34" i="1"/>
  <c r="B34" i="1" s="1"/>
  <c r="A38" i="1"/>
  <c r="B38" i="1" s="1"/>
  <c r="A44" i="1"/>
  <c r="A50" i="1"/>
  <c r="B50" i="1" s="1"/>
  <c r="A56" i="1"/>
  <c r="A72" i="1"/>
  <c r="A83" i="1"/>
  <c r="A86" i="1"/>
  <c r="D86" i="1" s="1"/>
  <c r="A98" i="1"/>
  <c r="D98" i="1" s="1"/>
  <c r="A100" i="1"/>
  <c r="A107" i="1"/>
  <c r="A118" i="1"/>
  <c r="A120" i="1"/>
  <c r="A122" i="1"/>
  <c r="A124" i="1"/>
  <c r="A127" i="1"/>
  <c r="A139" i="1"/>
  <c r="A146" i="1"/>
  <c r="D146" i="1" s="1"/>
  <c r="A153" i="1"/>
  <c r="D153" i="1" s="1"/>
  <c r="A156" i="1"/>
  <c r="A182" i="1"/>
  <c r="A188" i="1"/>
  <c r="A193" i="1"/>
  <c r="D193" i="1" s="1"/>
  <c r="A198" i="1"/>
  <c r="A200" i="1"/>
  <c r="A213" i="1"/>
  <c r="C213" i="1" s="1"/>
  <c r="A222" i="1"/>
  <c r="A227" i="1"/>
  <c r="A233" i="1"/>
  <c r="D233" i="1" s="1"/>
  <c r="A30" i="1"/>
  <c r="B30" i="1" s="1"/>
  <c r="A169" i="1"/>
  <c r="A231" i="1"/>
  <c r="A250" i="1"/>
  <c r="A281" i="1"/>
  <c r="C281" i="1" s="1"/>
  <c r="A300" i="1"/>
  <c r="D300" i="1" s="1"/>
  <c r="A303" i="1"/>
  <c r="D303" i="1" s="1"/>
  <c r="A316" i="1"/>
  <c r="A319" i="1"/>
  <c r="A325" i="1"/>
  <c r="D325" i="1" s="1"/>
  <c r="A337" i="1"/>
  <c r="A341" i="1"/>
  <c r="A346" i="1"/>
  <c r="A350" i="1"/>
  <c r="D350" i="1" s="1"/>
  <c r="A364" i="1"/>
  <c r="A370" i="1"/>
  <c r="A379" i="1"/>
  <c r="A389" i="1"/>
  <c r="A398" i="1"/>
  <c r="A401" i="1"/>
  <c r="A404" i="1"/>
  <c r="A406" i="1"/>
  <c r="A411" i="1"/>
  <c r="A416" i="1"/>
  <c r="A422" i="1"/>
  <c r="A435" i="1"/>
  <c r="A441" i="1"/>
  <c r="A453" i="1"/>
  <c r="A455" i="1"/>
  <c r="A460" i="1"/>
  <c r="A12" i="1"/>
  <c r="B12" i="1" s="1"/>
  <c r="A35" i="1"/>
  <c r="A87" i="1"/>
  <c r="A150" i="1"/>
  <c r="A191" i="1"/>
  <c r="A234" i="1"/>
  <c r="A259" i="1"/>
  <c r="A263" i="1"/>
  <c r="A267" i="1"/>
  <c r="A279" i="1"/>
  <c r="A282" i="1"/>
  <c r="A288" i="1"/>
  <c r="A294" i="1"/>
  <c r="A297" i="1"/>
  <c r="A301" i="1"/>
  <c r="A304" i="1"/>
  <c r="D304" i="1" s="1"/>
  <c r="A308" i="1"/>
  <c r="D308" i="1" s="1"/>
  <c r="A326" i="1"/>
  <c r="C326" i="1" s="1"/>
  <c r="A332" i="1"/>
  <c r="D332" i="1" s="1"/>
  <c r="A338" i="1"/>
  <c r="A342" i="1"/>
  <c r="A355" i="1"/>
  <c r="C355" i="1" s="1"/>
  <c r="A360" i="1"/>
  <c r="A365" i="1"/>
  <c r="A375" i="1"/>
  <c r="C375" i="1" s="1"/>
  <c r="A385" i="1"/>
  <c r="C385" i="1" s="1"/>
  <c r="A390" i="1"/>
  <c r="A393" i="1"/>
  <c r="A396" i="1"/>
  <c r="A418" i="1"/>
  <c r="A431" i="1"/>
  <c r="D431" i="1" s="1"/>
  <c r="A433" i="1"/>
  <c r="A437" i="1"/>
  <c r="A456" i="1"/>
  <c r="A39" i="1"/>
  <c r="A91" i="1"/>
  <c r="A109" i="1"/>
  <c r="A254" i="1"/>
  <c r="A272" i="1"/>
  <c r="D272" i="1" s="1"/>
  <c r="A275" i="1"/>
  <c r="A277" i="1"/>
  <c r="A286" i="1"/>
  <c r="A305" i="1"/>
  <c r="A314" i="1"/>
  <c r="A317" i="1"/>
  <c r="A333" i="1"/>
  <c r="A351" i="1"/>
  <c r="C351" i="1" s="1"/>
  <c r="A361" i="1"/>
  <c r="A366" i="1"/>
  <c r="A371" i="1"/>
  <c r="C371" i="1" s="1"/>
  <c r="A380" i="1"/>
  <c r="A409" i="1"/>
  <c r="A412" i="1"/>
  <c r="A414" i="1"/>
  <c r="A427" i="1"/>
  <c r="D427" i="1" s="1"/>
  <c r="A429" i="1"/>
  <c r="A440" i="1"/>
  <c r="A443" i="1"/>
  <c r="A445" i="1"/>
  <c r="A447" i="1"/>
  <c r="A449" i="1"/>
  <c r="D449" i="1" s="1"/>
  <c r="A452" i="1"/>
  <c r="A466" i="1"/>
  <c r="A41" i="1"/>
  <c r="D41" i="1" s="1"/>
  <c r="A66" i="1"/>
  <c r="B66" i="1" s="1"/>
  <c r="A94" i="1"/>
  <c r="A157" i="1"/>
  <c r="A176" i="1"/>
  <c r="A217" i="1"/>
  <c r="C217" i="1" s="1"/>
  <c r="A239" i="1"/>
  <c r="A273" i="1"/>
  <c r="A278" i="1"/>
  <c r="A283" i="1"/>
  <c r="A289" i="1"/>
  <c r="A291" i="1"/>
  <c r="D291" i="1" s="1"/>
  <c r="A309" i="1"/>
  <c r="A312" i="1"/>
  <c r="A320" i="1"/>
  <c r="D320" i="1" s="1"/>
  <c r="A322" i="1"/>
  <c r="D322" i="1" s="1"/>
  <c r="A329" i="1"/>
  <c r="C329" i="1" s="1"/>
  <c r="A334" i="1"/>
  <c r="A356" i="1"/>
  <c r="C356" i="1" s="1"/>
  <c r="A362" i="1"/>
  <c r="A372" i="1"/>
  <c r="C372" i="1" s="1"/>
  <c r="A376" i="1"/>
  <c r="C376" i="1" s="1"/>
  <c r="A381" i="1"/>
  <c r="C381" i="1" s="1"/>
  <c r="A386" i="1"/>
  <c r="C386" i="1" s="1"/>
  <c r="A399" i="1"/>
  <c r="D399" i="1" s="1"/>
  <c r="A402" i="1"/>
  <c r="A407" i="1"/>
  <c r="A423" i="1"/>
  <c r="D423" i="1" s="1"/>
  <c r="A425" i="1"/>
  <c r="A436" i="1"/>
  <c r="A462" i="1"/>
  <c r="A473" i="1"/>
  <c r="A96" i="1"/>
  <c r="A179" i="1"/>
  <c r="A241" i="1"/>
  <c r="C241" i="1" s="1"/>
  <c r="A258" i="1"/>
  <c r="A262" i="1"/>
  <c r="A266" i="1"/>
  <c r="A274" i="1"/>
  <c r="A284" i="1"/>
  <c r="A292" i="1"/>
  <c r="D292" i="1" s="1"/>
  <c r="A295" i="1"/>
  <c r="A298" i="1"/>
  <c r="A302" i="1"/>
  <c r="A327" i="1"/>
  <c r="A330" i="1"/>
  <c r="D330" i="1" s="1"/>
  <c r="A343" i="1"/>
  <c r="C343" i="1" s="1"/>
  <c r="A347" i="1"/>
  <c r="C347" i="1" s="1"/>
  <c r="A352" i="1"/>
  <c r="A357" i="1"/>
  <c r="A367" i="1"/>
  <c r="C367" i="1" s="1"/>
  <c r="A391" i="1"/>
  <c r="A394" i="1"/>
  <c r="A419" i="1"/>
  <c r="A421" i="1"/>
  <c r="A432" i="1"/>
  <c r="A438" i="1"/>
  <c r="A444" i="1"/>
  <c r="A450" i="1"/>
  <c r="A458" i="1"/>
  <c r="A469" i="1"/>
  <c r="A471" i="1"/>
  <c r="A51" i="1"/>
  <c r="A246" i="1"/>
  <c r="A261" i="1"/>
  <c r="A265" i="1"/>
  <c r="A269" i="1"/>
  <c r="A280" i="1"/>
  <c r="A285" i="1"/>
  <c r="A310" i="1"/>
  <c r="C310" i="1" s="1"/>
  <c r="A313" i="1"/>
  <c r="A318" i="1"/>
  <c r="C318" i="1" s="1"/>
  <c r="A321" i="1"/>
  <c r="A323" i="1"/>
  <c r="A331" i="1"/>
  <c r="A335" i="1"/>
  <c r="C335" i="1" s="1"/>
  <c r="A344" i="1"/>
  <c r="A348" i="1"/>
  <c r="A354" i="1"/>
  <c r="D354" i="1" s="1"/>
  <c r="A363" i="1"/>
  <c r="C363" i="1" s="1"/>
  <c r="A368" i="1"/>
  <c r="A378" i="1"/>
  <c r="A383" i="1"/>
  <c r="A403" i="1"/>
  <c r="D403" i="1" s="1"/>
  <c r="A424" i="1"/>
  <c r="A430" i="1"/>
  <c r="A442" i="1"/>
  <c r="A448" i="1"/>
  <c r="A461" i="1"/>
  <c r="A463" i="1"/>
  <c r="A468" i="1"/>
  <c r="B25" i="1"/>
  <c r="A22" i="1"/>
  <c r="C18" i="1"/>
  <c r="A16" i="1"/>
  <c r="B16" i="1" s="1"/>
  <c r="A428" i="1"/>
  <c r="A410" i="1"/>
  <c r="A400" i="1"/>
  <c r="A387" i="1"/>
  <c r="C387" i="1" s="1"/>
  <c r="A306" i="1"/>
  <c r="D306" i="1" s="1"/>
  <c r="A293" i="1"/>
  <c r="A271" i="1"/>
  <c r="D375" i="1"/>
  <c r="D248" i="1"/>
  <c r="D383" i="1"/>
  <c r="D463" i="1"/>
  <c r="D389" i="1"/>
  <c r="C389" i="1"/>
  <c r="D310" i="1"/>
  <c r="C300" i="1"/>
  <c r="C471" i="1"/>
  <c r="E471" i="1" s="1"/>
  <c r="C463" i="1"/>
  <c r="E463" i="1" s="1"/>
  <c r="C450" i="1"/>
  <c r="C332" i="1"/>
  <c r="D384" i="1"/>
  <c r="D372" i="1"/>
  <c r="C344" i="1"/>
  <c r="D344" i="1"/>
  <c r="D391" i="1"/>
  <c r="D435" i="1"/>
  <c r="D419" i="1"/>
  <c r="D415" i="1"/>
  <c r="D411" i="1"/>
  <c r="D382" i="1"/>
  <c r="C364" i="1"/>
  <c r="D364" i="1"/>
  <c r="D378" i="1"/>
  <c r="D377" i="1"/>
  <c r="C369" i="1"/>
  <c r="D369" i="1"/>
  <c r="C308" i="1"/>
  <c r="D340" i="1"/>
  <c r="D374" i="1"/>
  <c r="D370" i="1"/>
  <c r="D366" i="1"/>
  <c r="D361" i="1"/>
  <c r="D357" i="1"/>
  <c r="F357" i="1" s="1"/>
  <c r="D349" i="1"/>
  <c r="D345" i="1"/>
  <c r="C325" i="1"/>
  <c r="D324" i="1"/>
  <c r="D323" i="1"/>
  <c r="C303" i="1"/>
  <c r="C295" i="1"/>
  <c r="C292" i="1"/>
  <c r="C361" i="1"/>
  <c r="C357" i="1"/>
  <c r="C349" i="1"/>
  <c r="C345" i="1"/>
  <c r="C324" i="1"/>
  <c r="C323" i="1"/>
  <c r="E323" i="1" s="1"/>
  <c r="C299" i="1"/>
  <c r="C260" i="1"/>
  <c r="D260" i="1"/>
  <c r="C244" i="1"/>
  <c r="D244" i="1"/>
  <c r="C283" i="1"/>
  <c r="D283" i="1"/>
  <c r="D212" i="1"/>
  <c r="F212" i="1" s="1"/>
  <c r="C212" i="1"/>
  <c r="E212" i="1" s="1"/>
  <c r="C304" i="1"/>
  <c r="C256" i="1"/>
  <c r="E256" i="1" s="1"/>
  <c r="D256" i="1"/>
  <c r="F256" i="1" s="1"/>
  <c r="C225" i="1"/>
  <c r="D225" i="1"/>
  <c r="C130" i="1"/>
  <c r="D130" i="1"/>
  <c r="C277" i="1"/>
  <c r="D277" i="1"/>
  <c r="C224" i="1"/>
  <c r="E224" i="1" s="1"/>
  <c r="D236" i="1"/>
  <c r="C236" i="1"/>
  <c r="D218" i="1"/>
  <c r="C201" i="1"/>
  <c r="C193" i="1"/>
  <c r="C165" i="1"/>
  <c r="D132" i="1"/>
  <c r="C269" i="1"/>
  <c r="D184" i="1"/>
  <c r="C169" i="1"/>
  <c r="D169" i="1"/>
  <c r="C156" i="1"/>
  <c r="D156" i="1"/>
  <c r="C197" i="1"/>
  <c r="D173" i="1"/>
  <c r="D126" i="1"/>
  <c r="D89" i="1"/>
  <c r="B89" i="1"/>
  <c r="C89" i="1"/>
  <c r="D149" i="1"/>
  <c r="D137" i="1"/>
  <c r="D122" i="1"/>
  <c r="B84" i="1"/>
  <c r="D150" i="1"/>
  <c r="D138" i="1"/>
  <c r="C81" i="1"/>
  <c r="B81" i="1"/>
  <c r="C57" i="1"/>
  <c r="E57" i="1" s="1"/>
  <c r="D57" i="1"/>
  <c r="F57" i="1" s="1"/>
  <c r="B86" i="1"/>
  <c r="C86" i="1"/>
  <c r="C61" i="1"/>
  <c r="E61" i="1" s="1"/>
  <c r="D61" i="1"/>
  <c r="F61" i="1" s="1"/>
  <c r="B82" i="1"/>
  <c r="C82" i="1"/>
  <c r="C77" i="1"/>
  <c r="D77" i="1"/>
  <c r="C69" i="1"/>
  <c r="E69" i="1" s="1"/>
  <c r="D69" i="1"/>
  <c r="F69" i="1" s="1"/>
  <c r="D118" i="1"/>
  <c r="D27" i="1"/>
  <c r="F27" i="1" s="1"/>
  <c r="C27" i="1"/>
  <c r="E27" i="1" s="1"/>
  <c r="D74" i="1"/>
  <c r="F74" i="1" s="1"/>
  <c r="D66" i="1"/>
  <c r="D62" i="1"/>
  <c r="D50" i="1"/>
  <c r="D46" i="1"/>
  <c r="D42" i="1"/>
  <c r="D26" i="1"/>
  <c r="F26" i="1" s="1"/>
  <c r="C74" i="1"/>
  <c r="E74" i="1" s="1"/>
  <c r="C66" i="1"/>
  <c r="C62" i="1"/>
  <c r="C50" i="1"/>
  <c r="C26" i="1"/>
  <c r="D53" i="1"/>
  <c r="D49" i="1"/>
  <c r="D45" i="1"/>
  <c r="D33" i="1"/>
  <c r="J14" i="1"/>
  <c r="J17" i="1"/>
  <c r="D16" i="1"/>
  <c r="F16" i="1" s="1"/>
  <c r="J13" i="1"/>
  <c r="D12" i="1"/>
  <c r="C24" i="1"/>
  <c r="E24" i="1" s="1"/>
  <c r="C12" i="1"/>
  <c r="E12" i="1" s="1"/>
  <c r="D23" i="1"/>
  <c r="J16" i="1"/>
  <c r="D15" i="1"/>
  <c r="J12" i="1"/>
  <c r="J11" i="1"/>
  <c r="B11" i="1"/>
  <c r="D26" i="4" l="1"/>
  <c r="C26" i="4"/>
  <c r="B26" i="4"/>
  <c r="E26" i="4" s="1"/>
  <c r="C123" i="4"/>
  <c r="B123" i="4"/>
  <c r="D123" i="4"/>
  <c r="D139" i="4"/>
  <c r="C139" i="4"/>
  <c r="B139" i="4"/>
  <c r="E139" i="4" s="1"/>
  <c r="C112" i="4"/>
  <c r="B112" i="4"/>
  <c r="D112" i="4"/>
  <c r="D114" i="4"/>
  <c r="C114" i="4"/>
  <c r="B114" i="4"/>
  <c r="E114" i="4" s="1"/>
  <c r="D314" i="4"/>
  <c r="C314" i="4"/>
  <c r="B314" i="4"/>
  <c r="C260" i="4"/>
  <c r="D260" i="4"/>
  <c r="B260" i="4"/>
  <c r="D360" i="4"/>
  <c r="C360" i="4"/>
  <c r="B360" i="4"/>
  <c r="E360" i="4" s="1"/>
  <c r="C335" i="4"/>
  <c r="B335" i="4"/>
  <c r="D335" i="4"/>
  <c r="D343" i="4"/>
  <c r="C343" i="4"/>
  <c r="B343" i="4"/>
  <c r="D412" i="4"/>
  <c r="C412" i="4"/>
  <c r="B412" i="4"/>
  <c r="B364" i="4"/>
  <c r="D364" i="4"/>
  <c r="C364" i="4"/>
  <c r="D466" i="4"/>
  <c r="C466" i="4"/>
  <c r="B466" i="4"/>
  <c r="D405" i="4"/>
  <c r="C405" i="4"/>
  <c r="B405" i="4"/>
  <c r="D180" i="4"/>
  <c r="C180" i="4"/>
  <c r="B180" i="4"/>
  <c r="D71" i="4"/>
  <c r="C71" i="4"/>
  <c r="B71" i="4"/>
  <c r="D187" i="4"/>
  <c r="C187" i="4"/>
  <c r="B187" i="4"/>
  <c r="D65" i="4"/>
  <c r="C65" i="4"/>
  <c r="B65" i="4"/>
  <c r="D140" i="4"/>
  <c r="C140" i="4"/>
  <c r="B140" i="4"/>
  <c r="D34" i="4"/>
  <c r="C34" i="4"/>
  <c r="B34" i="4"/>
  <c r="E34" i="4" s="1"/>
  <c r="D117" i="4"/>
  <c r="C117" i="4"/>
  <c r="B117" i="4"/>
  <c r="E117" i="4" s="1"/>
  <c r="D261" i="4"/>
  <c r="B261" i="4"/>
  <c r="C261" i="4"/>
  <c r="C51" i="4"/>
  <c r="B51" i="4"/>
  <c r="D51" i="4"/>
  <c r="D155" i="4"/>
  <c r="C155" i="4"/>
  <c r="B155" i="4"/>
  <c r="B36" i="4"/>
  <c r="E36" i="4" s="1"/>
  <c r="D36" i="4"/>
  <c r="C36" i="4"/>
  <c r="D103" i="4"/>
  <c r="C103" i="4"/>
  <c r="B103" i="4"/>
  <c r="D247" i="4"/>
  <c r="C247" i="4"/>
  <c r="B247" i="4"/>
  <c r="C61" i="4"/>
  <c r="D61" i="4"/>
  <c r="B61" i="4"/>
  <c r="D141" i="4"/>
  <c r="C141" i="4"/>
  <c r="B141" i="4"/>
  <c r="E141" i="4" s="1"/>
  <c r="D150" i="4"/>
  <c r="C150" i="4"/>
  <c r="B150" i="4"/>
  <c r="D255" i="4"/>
  <c r="C255" i="4"/>
  <c r="B255" i="4"/>
  <c r="D183" i="4"/>
  <c r="C183" i="4"/>
  <c r="B183" i="4"/>
  <c r="E183" i="4" s="1"/>
  <c r="C120" i="4"/>
  <c r="B120" i="4"/>
  <c r="D120" i="4"/>
  <c r="C184" i="4"/>
  <c r="B184" i="4"/>
  <c r="D184" i="4"/>
  <c r="B113" i="4"/>
  <c r="E113" i="4" s="1"/>
  <c r="D113" i="4"/>
  <c r="C113" i="4"/>
  <c r="B177" i="4"/>
  <c r="D177" i="4"/>
  <c r="C177" i="4"/>
  <c r="C122" i="4"/>
  <c r="D122" i="4"/>
  <c r="B122" i="4"/>
  <c r="E122" i="4" s="1"/>
  <c r="C186" i="4"/>
  <c r="B186" i="4"/>
  <c r="D186" i="4"/>
  <c r="D271" i="4"/>
  <c r="C271" i="4"/>
  <c r="B271" i="4"/>
  <c r="D298" i="4"/>
  <c r="C298" i="4"/>
  <c r="B298" i="4"/>
  <c r="D233" i="4"/>
  <c r="C233" i="4"/>
  <c r="B233" i="4"/>
  <c r="C234" i="4"/>
  <c r="B234" i="4"/>
  <c r="D234" i="4"/>
  <c r="D299" i="4"/>
  <c r="C299" i="4"/>
  <c r="B299" i="4"/>
  <c r="B267" i="4"/>
  <c r="E267" i="4" s="1"/>
  <c r="D267" i="4"/>
  <c r="C267" i="4"/>
  <c r="D398" i="4"/>
  <c r="C398" i="4"/>
  <c r="B398" i="4"/>
  <c r="E398" i="4" s="1"/>
  <c r="C268" i="4"/>
  <c r="D268" i="4"/>
  <c r="B268" i="4"/>
  <c r="D361" i="4"/>
  <c r="C361" i="4"/>
  <c r="B361" i="4"/>
  <c r="C366" i="4"/>
  <c r="D366" i="4"/>
  <c r="B366" i="4"/>
  <c r="D353" i="4"/>
  <c r="C353" i="4"/>
  <c r="B353" i="4"/>
  <c r="D346" i="4"/>
  <c r="C346" i="4"/>
  <c r="B346" i="4"/>
  <c r="C339" i="4"/>
  <c r="B339" i="4"/>
  <c r="D339" i="4"/>
  <c r="B320" i="4"/>
  <c r="D320" i="4"/>
  <c r="C320" i="4"/>
  <c r="D289" i="4"/>
  <c r="C289" i="4"/>
  <c r="B289" i="4"/>
  <c r="C363" i="4"/>
  <c r="B363" i="4"/>
  <c r="E363" i="4" s="1"/>
  <c r="D363" i="4"/>
  <c r="D376" i="4"/>
  <c r="C376" i="4"/>
  <c r="B376" i="4"/>
  <c r="D434" i="4"/>
  <c r="C434" i="4"/>
  <c r="B434" i="4"/>
  <c r="C387" i="4"/>
  <c r="B387" i="4"/>
  <c r="D387" i="4"/>
  <c r="B372" i="4"/>
  <c r="C372" i="4"/>
  <c r="D372" i="4"/>
  <c r="D349" i="4"/>
  <c r="C349" i="4"/>
  <c r="B349" i="4"/>
  <c r="D403" i="4"/>
  <c r="C403" i="4"/>
  <c r="B403" i="4"/>
  <c r="D467" i="4"/>
  <c r="C467" i="4"/>
  <c r="B467" i="4"/>
  <c r="E467" i="4" s="1"/>
  <c r="D413" i="4"/>
  <c r="C413" i="4"/>
  <c r="B413" i="4"/>
  <c r="D406" i="4"/>
  <c r="C406" i="4"/>
  <c r="B406" i="4"/>
  <c r="D470" i="4"/>
  <c r="C470" i="4"/>
  <c r="B470" i="4"/>
  <c r="C463" i="4"/>
  <c r="B463" i="4"/>
  <c r="D463" i="4"/>
  <c r="B456" i="4"/>
  <c r="D456" i="4"/>
  <c r="C456" i="4"/>
  <c r="D441" i="4"/>
  <c r="C441" i="4"/>
  <c r="B441" i="4"/>
  <c r="D39" i="4"/>
  <c r="C39" i="4"/>
  <c r="B39" i="4"/>
  <c r="D30" i="4"/>
  <c r="C30" i="4"/>
  <c r="B30" i="4"/>
  <c r="E30" i="4" s="1"/>
  <c r="D156" i="4"/>
  <c r="C156" i="4"/>
  <c r="B156" i="4"/>
  <c r="B28" i="4"/>
  <c r="E28" i="4" s="1"/>
  <c r="D28" i="4"/>
  <c r="C28" i="4"/>
  <c r="D175" i="4"/>
  <c r="C175" i="4"/>
  <c r="B175" i="4"/>
  <c r="E175" i="4" s="1"/>
  <c r="D291" i="4"/>
  <c r="C291" i="4"/>
  <c r="B291" i="4"/>
  <c r="E291" i="4" s="1"/>
  <c r="C347" i="4"/>
  <c r="B347" i="4"/>
  <c r="D347" i="4"/>
  <c r="D70" i="4"/>
  <c r="B70" i="4"/>
  <c r="C70" i="4"/>
  <c r="D118" i="4"/>
  <c r="C118" i="4"/>
  <c r="B118" i="4"/>
  <c r="D149" i="4"/>
  <c r="C149" i="4"/>
  <c r="B149" i="4"/>
  <c r="D196" i="4"/>
  <c r="C196" i="4"/>
  <c r="B196" i="4"/>
  <c r="D79" i="4"/>
  <c r="C79" i="4"/>
  <c r="B79" i="4"/>
  <c r="E79" i="4" s="1"/>
  <c r="D189" i="4"/>
  <c r="C189" i="4"/>
  <c r="B189" i="4"/>
  <c r="D73" i="4"/>
  <c r="C73" i="4"/>
  <c r="B73" i="4"/>
  <c r="D171" i="4"/>
  <c r="C171" i="4"/>
  <c r="B171" i="4"/>
  <c r="D42" i="4"/>
  <c r="C42" i="4"/>
  <c r="B42" i="4"/>
  <c r="D131" i="4"/>
  <c r="C131" i="4"/>
  <c r="B131" i="4"/>
  <c r="D269" i="4"/>
  <c r="B269" i="4"/>
  <c r="E269" i="4" s="1"/>
  <c r="C269" i="4"/>
  <c r="C59" i="4"/>
  <c r="B59" i="4"/>
  <c r="E59" i="4" s="1"/>
  <c r="D59" i="4"/>
  <c r="D157" i="4"/>
  <c r="C157" i="4"/>
  <c r="B157" i="4"/>
  <c r="B44" i="4"/>
  <c r="E44" i="4" s="1"/>
  <c r="D44" i="4"/>
  <c r="C44" i="4"/>
  <c r="B116" i="4"/>
  <c r="E116" i="4" s="1"/>
  <c r="D116" i="4"/>
  <c r="C116" i="4"/>
  <c r="C292" i="4"/>
  <c r="B292" i="4"/>
  <c r="E292" i="4" s="1"/>
  <c r="D292" i="4"/>
  <c r="C69" i="4"/>
  <c r="B69" i="4"/>
  <c r="D69" i="4"/>
  <c r="D172" i="4"/>
  <c r="C172" i="4"/>
  <c r="B172" i="4"/>
  <c r="D158" i="4"/>
  <c r="C158" i="4"/>
  <c r="B158" i="4"/>
  <c r="D127" i="4"/>
  <c r="C127" i="4"/>
  <c r="B127" i="4"/>
  <c r="D191" i="4"/>
  <c r="C191" i="4"/>
  <c r="B191" i="4"/>
  <c r="C128" i="4"/>
  <c r="B128" i="4"/>
  <c r="D128" i="4"/>
  <c r="C192" i="4"/>
  <c r="B192" i="4"/>
  <c r="D192" i="4"/>
  <c r="B121" i="4"/>
  <c r="D121" i="4"/>
  <c r="C121" i="4"/>
  <c r="B185" i="4"/>
  <c r="D185" i="4"/>
  <c r="C185" i="4"/>
  <c r="D130" i="4"/>
  <c r="B130" i="4"/>
  <c r="C130" i="4"/>
  <c r="D194" i="4"/>
  <c r="B194" i="4"/>
  <c r="E194" i="4" s="1"/>
  <c r="C194" i="4"/>
  <c r="D290" i="4"/>
  <c r="C290" i="4"/>
  <c r="B290" i="4"/>
  <c r="D248" i="4"/>
  <c r="C248" i="4"/>
  <c r="B248" i="4"/>
  <c r="D241" i="4"/>
  <c r="C241" i="4"/>
  <c r="B241" i="4"/>
  <c r="C242" i="4"/>
  <c r="B242" i="4"/>
  <c r="D242" i="4"/>
  <c r="D306" i="4"/>
  <c r="B306" i="4"/>
  <c r="C306" i="4"/>
  <c r="B275" i="4"/>
  <c r="E275" i="4" s="1"/>
  <c r="D275" i="4"/>
  <c r="C275" i="4"/>
  <c r="D212" i="4"/>
  <c r="C212" i="4"/>
  <c r="B212" i="4"/>
  <c r="E212" i="4" s="1"/>
  <c r="C276" i="4"/>
  <c r="D276" i="4"/>
  <c r="B276" i="4"/>
  <c r="D369" i="4"/>
  <c r="C369" i="4"/>
  <c r="B369" i="4"/>
  <c r="E369" i="4" s="1"/>
  <c r="D293" i="4"/>
  <c r="B293" i="4"/>
  <c r="C293" i="4"/>
  <c r="D359" i="4"/>
  <c r="C359" i="4"/>
  <c r="B359" i="4"/>
  <c r="E359" i="4" s="1"/>
  <c r="D352" i="4"/>
  <c r="C352" i="4"/>
  <c r="B352" i="4"/>
  <c r="D345" i="4"/>
  <c r="C345" i="4"/>
  <c r="B345" i="4"/>
  <c r="B328" i="4"/>
  <c r="D328" i="4"/>
  <c r="C328" i="4"/>
  <c r="C297" i="4"/>
  <c r="B297" i="4"/>
  <c r="D297" i="4"/>
  <c r="D390" i="4"/>
  <c r="C390" i="4"/>
  <c r="B390" i="4"/>
  <c r="D384" i="4"/>
  <c r="C384" i="4"/>
  <c r="B384" i="4"/>
  <c r="E384" i="4" s="1"/>
  <c r="D378" i="4"/>
  <c r="C378" i="4"/>
  <c r="B378" i="4"/>
  <c r="C395" i="4"/>
  <c r="B395" i="4"/>
  <c r="D395" i="4"/>
  <c r="B380" i="4"/>
  <c r="D380" i="4"/>
  <c r="C380" i="4"/>
  <c r="C357" i="4"/>
  <c r="B357" i="4"/>
  <c r="D357" i="4"/>
  <c r="D411" i="4"/>
  <c r="C411" i="4"/>
  <c r="B411" i="4"/>
  <c r="D428" i="4"/>
  <c r="C428" i="4"/>
  <c r="B428" i="4"/>
  <c r="D421" i="4"/>
  <c r="C421" i="4"/>
  <c r="B421" i="4"/>
  <c r="D414" i="4"/>
  <c r="C414" i="4"/>
  <c r="B414" i="4"/>
  <c r="C407" i="4"/>
  <c r="B407" i="4"/>
  <c r="E407" i="4" s="1"/>
  <c r="D407" i="4"/>
  <c r="C471" i="4"/>
  <c r="B471" i="4"/>
  <c r="D471" i="4"/>
  <c r="B464" i="4"/>
  <c r="D464" i="4"/>
  <c r="C464" i="4"/>
  <c r="D449" i="4"/>
  <c r="C449" i="4"/>
  <c r="B449" i="4"/>
  <c r="E449" i="4" s="1"/>
  <c r="D23" i="4"/>
  <c r="C23" i="4"/>
  <c r="B23" i="4"/>
  <c r="E23" i="4" s="1"/>
  <c r="C43" i="4"/>
  <c r="B43" i="4"/>
  <c r="E43" i="4" s="1"/>
  <c r="D43" i="4"/>
  <c r="B169" i="4"/>
  <c r="E169" i="4" s="1"/>
  <c r="D169" i="4"/>
  <c r="C169" i="4"/>
  <c r="D72" i="4"/>
  <c r="C72" i="4"/>
  <c r="B72" i="4"/>
  <c r="E72" i="4" s="1"/>
  <c r="D132" i="4"/>
  <c r="C132" i="4"/>
  <c r="B132" i="4"/>
  <c r="E132" i="4" s="1"/>
  <c r="E48" i="4"/>
  <c r="D96" i="4"/>
  <c r="C96" i="4"/>
  <c r="B96" i="4"/>
  <c r="D78" i="4"/>
  <c r="B78" i="4"/>
  <c r="C78" i="4"/>
  <c r="D87" i="4"/>
  <c r="C87" i="4"/>
  <c r="B87" i="4"/>
  <c r="E87" i="4" s="1"/>
  <c r="D206" i="4"/>
  <c r="C206" i="4"/>
  <c r="B206" i="4"/>
  <c r="E206" i="4" s="1"/>
  <c r="D81" i="4"/>
  <c r="C81" i="4"/>
  <c r="B81" i="4"/>
  <c r="E81" i="4" s="1"/>
  <c r="D173" i="4"/>
  <c r="C173" i="4"/>
  <c r="B173" i="4"/>
  <c r="D50" i="4"/>
  <c r="C50" i="4"/>
  <c r="B50" i="4"/>
  <c r="E50" i="4" s="1"/>
  <c r="D133" i="4"/>
  <c r="C133" i="4"/>
  <c r="B133" i="4"/>
  <c r="D279" i="4"/>
  <c r="C279" i="4"/>
  <c r="B279" i="4"/>
  <c r="C67" i="4"/>
  <c r="B67" i="4"/>
  <c r="D67" i="4"/>
  <c r="D188" i="4"/>
  <c r="C188" i="4"/>
  <c r="B188" i="4"/>
  <c r="B52" i="4"/>
  <c r="D52" i="4"/>
  <c r="C52" i="4"/>
  <c r="D148" i="4"/>
  <c r="C148" i="4"/>
  <c r="B148" i="4"/>
  <c r="E148" i="4" s="1"/>
  <c r="D342" i="4"/>
  <c r="C342" i="4"/>
  <c r="B342" i="4"/>
  <c r="C77" i="4"/>
  <c r="D77" i="4"/>
  <c r="B77" i="4"/>
  <c r="D203" i="4"/>
  <c r="C203" i="4"/>
  <c r="B203" i="4"/>
  <c r="E203" i="4" s="1"/>
  <c r="D166" i="4"/>
  <c r="C166" i="4"/>
  <c r="B166" i="4"/>
  <c r="D135" i="4"/>
  <c r="C135" i="4"/>
  <c r="B135" i="4"/>
  <c r="D199" i="4"/>
  <c r="C199" i="4"/>
  <c r="B199" i="4"/>
  <c r="C136" i="4"/>
  <c r="B136" i="4"/>
  <c r="E136" i="4" s="1"/>
  <c r="D136" i="4"/>
  <c r="C200" i="4"/>
  <c r="B200" i="4"/>
  <c r="E200" i="4" s="1"/>
  <c r="D200" i="4"/>
  <c r="B129" i="4"/>
  <c r="D129" i="4"/>
  <c r="C129" i="4"/>
  <c r="B193" i="4"/>
  <c r="D193" i="4"/>
  <c r="C193" i="4"/>
  <c r="D138" i="4"/>
  <c r="C138" i="4"/>
  <c r="B138" i="4"/>
  <c r="E138" i="4" s="1"/>
  <c r="D202" i="4"/>
  <c r="C202" i="4"/>
  <c r="B202" i="4"/>
  <c r="D308" i="4"/>
  <c r="C308" i="4"/>
  <c r="B308" i="4"/>
  <c r="E308" i="4" s="1"/>
  <c r="D256" i="4"/>
  <c r="C256" i="4"/>
  <c r="B256" i="4"/>
  <c r="D249" i="4"/>
  <c r="C249" i="4"/>
  <c r="B249" i="4"/>
  <c r="C250" i="4"/>
  <c r="B250" i="4"/>
  <c r="E250" i="4" s="1"/>
  <c r="D250" i="4"/>
  <c r="D322" i="4"/>
  <c r="C322" i="4"/>
  <c r="B322" i="4"/>
  <c r="B283" i="4"/>
  <c r="D283" i="4"/>
  <c r="C283" i="4"/>
  <c r="D220" i="4"/>
  <c r="C220" i="4"/>
  <c r="B220" i="4"/>
  <c r="B367" i="4"/>
  <c r="D367" i="4"/>
  <c r="C367" i="4"/>
  <c r="D399" i="4"/>
  <c r="C399" i="4"/>
  <c r="B399" i="4"/>
  <c r="E399" i="4" s="1"/>
  <c r="D301" i="4"/>
  <c r="C301" i="4"/>
  <c r="B301" i="4"/>
  <c r="D294" i="4"/>
  <c r="C294" i="4"/>
  <c r="B294" i="4"/>
  <c r="D358" i="4"/>
  <c r="C358" i="4"/>
  <c r="B358" i="4"/>
  <c r="E358" i="4" s="1"/>
  <c r="C351" i="4"/>
  <c r="B351" i="4"/>
  <c r="D351" i="4"/>
  <c r="B336" i="4"/>
  <c r="D336" i="4"/>
  <c r="C336" i="4"/>
  <c r="C305" i="4"/>
  <c r="D305" i="4"/>
  <c r="B305" i="4"/>
  <c r="D418" i="4"/>
  <c r="B418" i="4"/>
  <c r="C418" i="4"/>
  <c r="D392" i="4"/>
  <c r="C392" i="4"/>
  <c r="B392" i="4"/>
  <c r="E392" i="4" s="1"/>
  <c r="D386" i="4"/>
  <c r="C386" i="4"/>
  <c r="B386" i="4"/>
  <c r="E386" i="4" s="1"/>
  <c r="D420" i="4"/>
  <c r="C420" i="4"/>
  <c r="B420" i="4"/>
  <c r="B388" i="4"/>
  <c r="D388" i="4"/>
  <c r="C388" i="4"/>
  <c r="D365" i="4"/>
  <c r="C365" i="4"/>
  <c r="B365" i="4"/>
  <c r="D419" i="4"/>
  <c r="C419" i="4"/>
  <c r="B419" i="4"/>
  <c r="D436" i="4"/>
  <c r="C436" i="4"/>
  <c r="B436" i="4"/>
  <c r="D429" i="4"/>
  <c r="C429" i="4"/>
  <c r="B429" i="4"/>
  <c r="D422" i="4"/>
  <c r="C422" i="4"/>
  <c r="B422" i="4"/>
  <c r="E422" i="4" s="1"/>
  <c r="C415" i="4"/>
  <c r="B415" i="4"/>
  <c r="E415" i="4" s="1"/>
  <c r="D415" i="4"/>
  <c r="B408" i="4"/>
  <c r="E408" i="4" s="1"/>
  <c r="D408" i="4"/>
  <c r="C408" i="4"/>
  <c r="B472" i="4"/>
  <c r="D472" i="4"/>
  <c r="C472" i="4"/>
  <c r="D457" i="4"/>
  <c r="C457" i="4"/>
  <c r="B457" i="4"/>
  <c r="D17" i="4"/>
  <c r="C17" i="4"/>
  <c r="B17" i="4"/>
  <c r="E17" i="4" s="1"/>
  <c r="D13" i="4"/>
  <c r="C13" i="4"/>
  <c r="B13" i="4"/>
  <c r="E13" i="4" s="1"/>
  <c r="B22" i="4"/>
  <c r="E22" i="4" s="1"/>
  <c r="C22" i="4"/>
  <c r="D22" i="4"/>
  <c r="D57" i="4"/>
  <c r="C57" i="4"/>
  <c r="B57" i="4"/>
  <c r="E57" i="4" s="1"/>
  <c r="C218" i="4"/>
  <c r="D218" i="4"/>
  <c r="B218" i="4"/>
  <c r="D238" i="4"/>
  <c r="B238" i="4"/>
  <c r="C238" i="4"/>
  <c r="D142" i="4"/>
  <c r="C142" i="4"/>
  <c r="B142" i="4"/>
  <c r="E142" i="4" s="1"/>
  <c r="C176" i="4"/>
  <c r="B176" i="4"/>
  <c r="E176" i="4" s="1"/>
  <c r="D176" i="4"/>
  <c r="D178" i="4"/>
  <c r="C178" i="4"/>
  <c r="B178" i="4"/>
  <c r="E178" i="4" s="1"/>
  <c r="D225" i="4"/>
  <c r="C225" i="4"/>
  <c r="B225" i="4"/>
  <c r="B259" i="4"/>
  <c r="E259" i="4" s="1"/>
  <c r="D259" i="4"/>
  <c r="C259" i="4"/>
  <c r="C355" i="4"/>
  <c r="B355" i="4"/>
  <c r="E355" i="4" s="1"/>
  <c r="D355" i="4"/>
  <c r="D334" i="4"/>
  <c r="C334" i="4"/>
  <c r="B334" i="4"/>
  <c r="E334" i="4" s="1"/>
  <c r="D382" i="4"/>
  <c r="C382" i="4"/>
  <c r="B382" i="4"/>
  <c r="D368" i="4"/>
  <c r="C368" i="4"/>
  <c r="B368" i="4"/>
  <c r="E368" i="4" s="1"/>
  <c r="C379" i="4"/>
  <c r="B379" i="4"/>
  <c r="E379" i="4" s="1"/>
  <c r="D379" i="4"/>
  <c r="D341" i="4"/>
  <c r="C341" i="4"/>
  <c r="B341" i="4"/>
  <c r="D459" i="4"/>
  <c r="C459" i="4"/>
  <c r="B459" i="4"/>
  <c r="D469" i="4"/>
  <c r="C469" i="4"/>
  <c r="B469" i="4"/>
  <c r="D462" i="4"/>
  <c r="C462" i="4"/>
  <c r="B462" i="4"/>
  <c r="B448" i="4"/>
  <c r="E448" i="4" s="1"/>
  <c r="D448" i="4"/>
  <c r="C448" i="4"/>
  <c r="D31" i="4"/>
  <c r="B31" i="4"/>
  <c r="C31" i="4"/>
  <c r="D101" i="4"/>
  <c r="B101" i="4"/>
  <c r="C101" i="4"/>
  <c r="D64" i="4"/>
  <c r="C64" i="4"/>
  <c r="B64" i="4"/>
  <c r="D46" i="4"/>
  <c r="B46" i="4"/>
  <c r="E46" i="4" s="1"/>
  <c r="C46" i="4"/>
  <c r="D95" i="4"/>
  <c r="C95" i="4"/>
  <c r="B95" i="4"/>
  <c r="D217" i="4"/>
  <c r="C217" i="4"/>
  <c r="B217" i="4"/>
  <c r="D89" i="4"/>
  <c r="C89" i="4"/>
  <c r="B89" i="4"/>
  <c r="E89" i="4" s="1"/>
  <c r="D204" i="4"/>
  <c r="C204" i="4"/>
  <c r="B204" i="4"/>
  <c r="E204" i="4" s="1"/>
  <c r="D58" i="4"/>
  <c r="C58" i="4"/>
  <c r="B58" i="4"/>
  <c r="D164" i="4"/>
  <c r="C164" i="4"/>
  <c r="B164" i="4"/>
  <c r="E164" i="4" s="1"/>
  <c r="B11" i="4"/>
  <c r="E11" i="4" s="1"/>
  <c r="D11" i="4"/>
  <c r="C11" i="4"/>
  <c r="C75" i="4"/>
  <c r="B75" i="4"/>
  <c r="D75" i="4"/>
  <c r="C210" i="4"/>
  <c r="D210" i="4"/>
  <c r="B210" i="4"/>
  <c r="B60" i="4"/>
  <c r="E60" i="4" s="1"/>
  <c r="D60" i="4"/>
  <c r="C60" i="4"/>
  <c r="D179" i="4"/>
  <c r="B179" i="4"/>
  <c r="C179" i="4"/>
  <c r="B21" i="4"/>
  <c r="E21" i="4" s="1"/>
  <c r="D21" i="4"/>
  <c r="C21" i="4"/>
  <c r="C85" i="4"/>
  <c r="D85" i="4"/>
  <c r="B85" i="4"/>
  <c r="E85" i="4" s="1"/>
  <c r="D208" i="4"/>
  <c r="C208" i="4"/>
  <c r="B208" i="4"/>
  <c r="E208" i="4" s="1"/>
  <c r="D174" i="4"/>
  <c r="C174" i="4"/>
  <c r="B174" i="4"/>
  <c r="D143" i="4"/>
  <c r="C143" i="4"/>
  <c r="B143" i="4"/>
  <c r="E143" i="4" s="1"/>
  <c r="D230" i="4"/>
  <c r="C230" i="4"/>
  <c r="B230" i="4"/>
  <c r="E230" i="4" s="1"/>
  <c r="C144" i="4"/>
  <c r="B144" i="4"/>
  <c r="D144" i="4"/>
  <c r="D224" i="4"/>
  <c r="B224" i="4"/>
  <c r="E224" i="4" s="1"/>
  <c r="C224" i="4"/>
  <c r="B137" i="4"/>
  <c r="E137" i="4" s="1"/>
  <c r="C137" i="4"/>
  <c r="D137" i="4"/>
  <c r="B201" i="4"/>
  <c r="E201" i="4" s="1"/>
  <c r="C201" i="4"/>
  <c r="D201" i="4"/>
  <c r="B146" i="4"/>
  <c r="D146" i="4"/>
  <c r="C146" i="4"/>
  <c r="D221" i="4"/>
  <c r="C221" i="4"/>
  <c r="B221" i="4"/>
  <c r="E221" i="4" s="1"/>
  <c r="D254" i="4"/>
  <c r="C254" i="4"/>
  <c r="B254" i="4"/>
  <c r="E254" i="4" s="1"/>
  <c r="D264" i="4"/>
  <c r="C264" i="4"/>
  <c r="B264" i="4"/>
  <c r="D257" i="4"/>
  <c r="C257" i="4"/>
  <c r="B257" i="4"/>
  <c r="C258" i="4"/>
  <c r="B258" i="4"/>
  <c r="E258" i="4" s="1"/>
  <c r="D258" i="4"/>
  <c r="B227" i="4"/>
  <c r="E227" i="4" s="1"/>
  <c r="D227" i="4"/>
  <c r="C227" i="4"/>
  <c r="B284" i="4"/>
  <c r="E284" i="4" s="1"/>
  <c r="D284" i="4"/>
  <c r="C284" i="4"/>
  <c r="D228" i="4"/>
  <c r="C228" i="4"/>
  <c r="B228" i="4"/>
  <c r="E228" i="4" s="1"/>
  <c r="D307" i="4"/>
  <c r="C307" i="4"/>
  <c r="B307" i="4"/>
  <c r="D316" i="4"/>
  <c r="C316" i="4"/>
  <c r="B316" i="4"/>
  <c r="D309" i="4"/>
  <c r="C309" i="4"/>
  <c r="B309" i="4"/>
  <c r="D302" i="4"/>
  <c r="C302" i="4"/>
  <c r="B302" i="4"/>
  <c r="C303" i="4"/>
  <c r="B303" i="4"/>
  <c r="E303" i="4" s="1"/>
  <c r="D303" i="4"/>
  <c r="D374" i="4"/>
  <c r="C374" i="4"/>
  <c r="B374" i="4"/>
  <c r="D338" i="4"/>
  <c r="C338" i="4"/>
  <c r="B338" i="4"/>
  <c r="D313" i="4"/>
  <c r="C313" i="4"/>
  <c r="B313" i="4"/>
  <c r="E313" i="4" s="1"/>
  <c r="D375" i="4"/>
  <c r="C375" i="4"/>
  <c r="B375" i="4"/>
  <c r="E375" i="4" s="1"/>
  <c r="D426" i="4"/>
  <c r="C426" i="4"/>
  <c r="B426" i="4"/>
  <c r="E426" i="4" s="1"/>
  <c r="D394" i="4"/>
  <c r="C394" i="4"/>
  <c r="B394" i="4"/>
  <c r="D450" i="4"/>
  <c r="C450" i="4"/>
  <c r="B450" i="4"/>
  <c r="B396" i="4"/>
  <c r="E396" i="4" s="1"/>
  <c r="D396" i="4"/>
  <c r="C396" i="4"/>
  <c r="D373" i="4"/>
  <c r="C373" i="4"/>
  <c r="B373" i="4"/>
  <c r="E373" i="4" s="1"/>
  <c r="D427" i="4"/>
  <c r="C427" i="4"/>
  <c r="B427" i="4"/>
  <c r="E427" i="4" s="1"/>
  <c r="D444" i="4"/>
  <c r="C444" i="4"/>
  <c r="B444" i="4"/>
  <c r="E444" i="4" s="1"/>
  <c r="D437" i="4"/>
  <c r="C437" i="4"/>
  <c r="B437" i="4"/>
  <c r="D430" i="4"/>
  <c r="C430" i="4"/>
  <c r="B430" i="4"/>
  <c r="C423" i="4"/>
  <c r="B423" i="4"/>
  <c r="E423" i="4" s="1"/>
  <c r="D423" i="4"/>
  <c r="B416" i="4"/>
  <c r="E416" i="4" s="1"/>
  <c r="D416" i="4"/>
  <c r="C416" i="4"/>
  <c r="C401" i="4"/>
  <c r="D401" i="4"/>
  <c r="B401" i="4"/>
  <c r="E401" i="4" s="1"/>
  <c r="D465" i="4"/>
  <c r="C465" i="4"/>
  <c r="B465" i="4"/>
  <c r="E62" i="4"/>
  <c r="E33" i="4"/>
  <c r="C455" i="4"/>
  <c r="B455" i="4"/>
  <c r="D455" i="4"/>
  <c r="D86" i="4"/>
  <c r="B86" i="4"/>
  <c r="C86" i="4"/>
  <c r="D41" i="4"/>
  <c r="C41" i="4"/>
  <c r="B41" i="4"/>
  <c r="D32" i="4"/>
  <c r="C32" i="4"/>
  <c r="B32" i="4"/>
  <c r="D100" i="4"/>
  <c r="C100" i="4"/>
  <c r="B100" i="4"/>
  <c r="E100" i="4" s="1"/>
  <c r="C226" i="4"/>
  <c r="B226" i="4"/>
  <c r="E226" i="4" s="1"/>
  <c r="D226" i="4"/>
  <c r="D97" i="4"/>
  <c r="C97" i="4"/>
  <c r="B97" i="4"/>
  <c r="E97" i="4" s="1"/>
  <c r="D215" i="4"/>
  <c r="C215" i="4"/>
  <c r="B215" i="4"/>
  <c r="D66" i="4"/>
  <c r="C66" i="4"/>
  <c r="B66" i="4"/>
  <c r="E66" i="4" s="1"/>
  <c r="D195" i="4"/>
  <c r="C195" i="4"/>
  <c r="B195" i="4"/>
  <c r="E195" i="4" s="1"/>
  <c r="C19" i="4"/>
  <c r="B19" i="4"/>
  <c r="E19" i="4" s="1"/>
  <c r="D19" i="4"/>
  <c r="C83" i="4"/>
  <c r="B83" i="4"/>
  <c r="D83" i="4"/>
  <c r="D213" i="4"/>
  <c r="C213" i="4"/>
  <c r="B213" i="4"/>
  <c r="E213" i="4" s="1"/>
  <c r="B68" i="4"/>
  <c r="E68" i="4" s="1"/>
  <c r="D68" i="4"/>
  <c r="C68" i="4"/>
  <c r="D181" i="4"/>
  <c r="C181" i="4"/>
  <c r="B181" i="4"/>
  <c r="C29" i="4"/>
  <c r="B29" i="4"/>
  <c r="E29" i="4" s="1"/>
  <c r="D29" i="4"/>
  <c r="C93" i="4"/>
  <c r="D93" i="4"/>
  <c r="B93" i="4"/>
  <c r="E93" i="4" s="1"/>
  <c r="B219" i="4"/>
  <c r="E219" i="4" s="1"/>
  <c r="D219" i="4"/>
  <c r="C219" i="4"/>
  <c r="D182" i="4"/>
  <c r="C182" i="4"/>
  <c r="B182" i="4"/>
  <c r="D151" i="4"/>
  <c r="C151" i="4"/>
  <c r="B151" i="4"/>
  <c r="E151" i="4" s="1"/>
  <c r="D246" i="4"/>
  <c r="C246" i="4"/>
  <c r="B246" i="4"/>
  <c r="C152" i="4"/>
  <c r="B152" i="4"/>
  <c r="D152" i="4"/>
  <c r="D239" i="4"/>
  <c r="C239" i="4"/>
  <c r="B239" i="4"/>
  <c r="B145" i="4"/>
  <c r="D145" i="4"/>
  <c r="C145" i="4"/>
  <c r="D232" i="4"/>
  <c r="C232" i="4"/>
  <c r="B232" i="4"/>
  <c r="E232" i="4" s="1"/>
  <c r="D154" i="4"/>
  <c r="C154" i="4"/>
  <c r="B154" i="4"/>
  <c r="C222" i="4"/>
  <c r="D222" i="4"/>
  <c r="B222" i="4"/>
  <c r="E222" i="4" s="1"/>
  <c r="D262" i="4"/>
  <c r="C262" i="4"/>
  <c r="B262" i="4"/>
  <c r="E262" i="4" s="1"/>
  <c r="D272" i="4"/>
  <c r="C272" i="4"/>
  <c r="B272" i="4"/>
  <c r="D265" i="4"/>
  <c r="C265" i="4"/>
  <c r="B265" i="4"/>
  <c r="C266" i="4"/>
  <c r="B266" i="4"/>
  <c r="E266" i="4" s="1"/>
  <c r="D266" i="4"/>
  <c r="B235" i="4"/>
  <c r="E235" i="4" s="1"/>
  <c r="D235" i="4"/>
  <c r="C235" i="4"/>
  <c r="B285" i="4"/>
  <c r="E285" i="4" s="1"/>
  <c r="D285" i="4"/>
  <c r="C285" i="4"/>
  <c r="B236" i="4"/>
  <c r="E236" i="4" s="1"/>
  <c r="D236" i="4"/>
  <c r="C236" i="4"/>
  <c r="D315" i="4"/>
  <c r="C315" i="4"/>
  <c r="B315" i="4"/>
  <c r="D324" i="4"/>
  <c r="C324" i="4"/>
  <c r="B324" i="4"/>
  <c r="E324" i="4" s="1"/>
  <c r="D317" i="4"/>
  <c r="C317" i="4"/>
  <c r="B317" i="4"/>
  <c r="E317" i="4" s="1"/>
  <c r="D310" i="4"/>
  <c r="C310" i="4"/>
  <c r="B310" i="4"/>
  <c r="E310" i="4" s="1"/>
  <c r="C311" i="4"/>
  <c r="B311" i="4"/>
  <c r="E311" i="4" s="1"/>
  <c r="D311" i="4"/>
  <c r="B288" i="4"/>
  <c r="E288" i="4" s="1"/>
  <c r="D288" i="4"/>
  <c r="C288" i="4"/>
  <c r="B344" i="4"/>
  <c r="D344" i="4"/>
  <c r="C344" i="4"/>
  <c r="D321" i="4"/>
  <c r="C321" i="4"/>
  <c r="B321" i="4"/>
  <c r="E321" i="4" s="1"/>
  <c r="D383" i="4"/>
  <c r="C383" i="4"/>
  <c r="B383" i="4"/>
  <c r="E383" i="4" s="1"/>
  <c r="D377" i="4"/>
  <c r="C377" i="4"/>
  <c r="B377" i="4"/>
  <c r="E377" i="4" s="1"/>
  <c r="D402" i="4"/>
  <c r="B402" i="4"/>
  <c r="E402" i="4" s="1"/>
  <c r="C402" i="4"/>
  <c r="B340" i="4"/>
  <c r="E340" i="4" s="1"/>
  <c r="D340" i="4"/>
  <c r="C340" i="4"/>
  <c r="D400" i="4"/>
  <c r="B400" i="4"/>
  <c r="E400" i="4" s="1"/>
  <c r="C400" i="4"/>
  <c r="D381" i="4"/>
  <c r="C381" i="4"/>
  <c r="B381" i="4"/>
  <c r="E381" i="4" s="1"/>
  <c r="D435" i="4"/>
  <c r="C435" i="4"/>
  <c r="B435" i="4"/>
  <c r="E435" i="4" s="1"/>
  <c r="D452" i="4"/>
  <c r="C452" i="4"/>
  <c r="B452" i="4"/>
  <c r="E452" i="4" s="1"/>
  <c r="D445" i="4"/>
  <c r="C445" i="4"/>
  <c r="B445" i="4"/>
  <c r="D438" i="4"/>
  <c r="C438" i="4"/>
  <c r="B438" i="4"/>
  <c r="E438" i="4" s="1"/>
  <c r="C431" i="4"/>
  <c r="B431" i="4"/>
  <c r="E431" i="4" s="1"/>
  <c r="D431" i="4"/>
  <c r="B424" i="4"/>
  <c r="D424" i="4"/>
  <c r="C424" i="4"/>
  <c r="C409" i="4"/>
  <c r="D409" i="4"/>
  <c r="B409" i="4"/>
  <c r="D473" i="4"/>
  <c r="C473" i="4"/>
  <c r="B473" i="4"/>
  <c r="D214" i="4"/>
  <c r="B214" i="4"/>
  <c r="C214" i="4"/>
  <c r="E147" i="4"/>
  <c r="D209" i="4"/>
  <c r="C209" i="4"/>
  <c r="B209" i="4"/>
  <c r="E209" i="4" s="1"/>
  <c r="D124" i="4"/>
  <c r="C124" i="4"/>
  <c r="B124" i="4"/>
  <c r="B92" i="4"/>
  <c r="E92" i="4" s="1"/>
  <c r="D92" i="4"/>
  <c r="C92" i="4"/>
  <c r="D237" i="4"/>
  <c r="C237" i="4"/>
  <c r="B237" i="4"/>
  <c r="E237" i="4" s="1"/>
  <c r="D245" i="4"/>
  <c r="C245" i="4"/>
  <c r="B245" i="4"/>
  <c r="E245" i="4" s="1"/>
  <c r="D330" i="4"/>
  <c r="C330" i="4"/>
  <c r="B330" i="4"/>
  <c r="E330" i="4" s="1"/>
  <c r="B312" i="4"/>
  <c r="E312" i="4" s="1"/>
  <c r="D312" i="4"/>
  <c r="C312" i="4"/>
  <c r="D56" i="4"/>
  <c r="C56" i="4"/>
  <c r="B56" i="4"/>
  <c r="E56" i="4" s="1"/>
  <c r="B15" i="4"/>
  <c r="E15" i="4" s="1"/>
  <c r="C15" i="4"/>
  <c r="D15" i="4"/>
  <c r="D54" i="4"/>
  <c r="B54" i="4"/>
  <c r="E54" i="4" s="1"/>
  <c r="C54" i="4"/>
  <c r="E163" i="4"/>
  <c r="D25" i="4"/>
  <c r="C25" i="4"/>
  <c r="B25" i="4"/>
  <c r="E25" i="4" s="1"/>
  <c r="D47" i="4"/>
  <c r="C47" i="4"/>
  <c r="B47" i="4"/>
  <c r="E47" i="4" s="1"/>
  <c r="D108" i="4"/>
  <c r="C108" i="4"/>
  <c r="B108" i="4"/>
  <c r="E108" i="4" s="1"/>
  <c r="D300" i="4"/>
  <c r="C300" i="4"/>
  <c r="B300" i="4"/>
  <c r="D107" i="4"/>
  <c r="C107" i="4"/>
  <c r="B107" i="4"/>
  <c r="E107" i="4" s="1"/>
  <c r="D231" i="4"/>
  <c r="C231" i="4"/>
  <c r="B231" i="4"/>
  <c r="E231" i="4" s="1"/>
  <c r="D74" i="4"/>
  <c r="C74" i="4"/>
  <c r="B74" i="4"/>
  <c r="D197" i="4"/>
  <c r="C197" i="4"/>
  <c r="B197" i="4"/>
  <c r="E197" i="4" s="1"/>
  <c r="C27" i="4"/>
  <c r="B27" i="4"/>
  <c r="E27" i="4" s="1"/>
  <c r="D27" i="4"/>
  <c r="C91" i="4"/>
  <c r="B91" i="4"/>
  <c r="E91" i="4" s="1"/>
  <c r="D91" i="4"/>
  <c r="D12" i="4"/>
  <c r="C12" i="4"/>
  <c r="B12" i="4"/>
  <c r="E12" i="4" s="1"/>
  <c r="B76" i="4"/>
  <c r="D76" i="4"/>
  <c r="C76" i="4"/>
  <c r="D205" i="4"/>
  <c r="C205" i="4"/>
  <c r="B205" i="4"/>
  <c r="E205" i="4" s="1"/>
  <c r="D37" i="4"/>
  <c r="C37" i="4"/>
  <c r="B37" i="4"/>
  <c r="E37" i="4" s="1"/>
  <c r="C102" i="4"/>
  <c r="D102" i="4"/>
  <c r="B102" i="4"/>
  <c r="D126" i="4"/>
  <c r="C126" i="4"/>
  <c r="B126" i="4"/>
  <c r="E126" i="4" s="1"/>
  <c r="D190" i="4"/>
  <c r="C190" i="4"/>
  <c r="B190" i="4"/>
  <c r="D159" i="4"/>
  <c r="C159" i="4"/>
  <c r="B159" i="4"/>
  <c r="E159" i="4" s="1"/>
  <c r="D277" i="4"/>
  <c r="B277" i="4"/>
  <c r="E277" i="4" s="1"/>
  <c r="C277" i="4"/>
  <c r="C160" i="4"/>
  <c r="B160" i="4"/>
  <c r="E160" i="4" s="1"/>
  <c r="D160" i="4"/>
  <c r="D253" i="4"/>
  <c r="C253" i="4"/>
  <c r="B253" i="4"/>
  <c r="E253" i="4" s="1"/>
  <c r="B153" i="4"/>
  <c r="E153" i="4" s="1"/>
  <c r="C153" i="4"/>
  <c r="D153" i="4"/>
  <c r="D98" i="4"/>
  <c r="C98" i="4"/>
  <c r="B98" i="4"/>
  <c r="E98" i="4" s="1"/>
  <c r="D162" i="4"/>
  <c r="C162" i="4"/>
  <c r="B162" i="4"/>
  <c r="C223" i="4"/>
  <c r="D223" i="4"/>
  <c r="B223" i="4"/>
  <c r="E223" i="4" s="1"/>
  <c r="D270" i="4"/>
  <c r="C270" i="4"/>
  <c r="B270" i="4"/>
  <c r="E270" i="4" s="1"/>
  <c r="D280" i="4"/>
  <c r="C280" i="4"/>
  <c r="B280" i="4"/>
  <c r="E280" i="4" s="1"/>
  <c r="D273" i="4"/>
  <c r="C273" i="4"/>
  <c r="B273" i="4"/>
  <c r="C274" i="4"/>
  <c r="B274" i="4"/>
  <c r="E274" i="4" s="1"/>
  <c r="D274" i="4"/>
  <c r="B243" i="4"/>
  <c r="E243" i="4" s="1"/>
  <c r="C243" i="4"/>
  <c r="D243" i="4"/>
  <c r="D286" i="4"/>
  <c r="B286" i="4"/>
  <c r="C286" i="4"/>
  <c r="D244" i="4"/>
  <c r="C244" i="4"/>
  <c r="B244" i="4"/>
  <c r="E244" i="4" s="1"/>
  <c r="D323" i="4"/>
  <c r="C323" i="4"/>
  <c r="B323" i="4"/>
  <c r="E323" i="4" s="1"/>
  <c r="D332" i="4"/>
  <c r="C332" i="4"/>
  <c r="B332" i="4"/>
  <c r="E332" i="4" s="1"/>
  <c r="D325" i="4"/>
  <c r="C325" i="4"/>
  <c r="B325" i="4"/>
  <c r="E325" i="4" s="1"/>
  <c r="D318" i="4"/>
  <c r="C318" i="4"/>
  <c r="B318" i="4"/>
  <c r="E318" i="4" s="1"/>
  <c r="C319" i="4"/>
  <c r="B319" i="4"/>
  <c r="E319" i="4" s="1"/>
  <c r="D319" i="4"/>
  <c r="B296" i="4"/>
  <c r="E296" i="4" s="1"/>
  <c r="D296" i="4"/>
  <c r="C296" i="4"/>
  <c r="B350" i="4"/>
  <c r="E350" i="4" s="1"/>
  <c r="D350" i="4"/>
  <c r="C350" i="4"/>
  <c r="D329" i="4"/>
  <c r="C329" i="4"/>
  <c r="B329" i="4"/>
  <c r="E329" i="4" s="1"/>
  <c r="D391" i="4"/>
  <c r="C391" i="4"/>
  <c r="B391" i="4"/>
  <c r="D385" i="4"/>
  <c r="C385" i="4"/>
  <c r="B385" i="4"/>
  <c r="E385" i="4" s="1"/>
  <c r="D442" i="4"/>
  <c r="C442" i="4"/>
  <c r="B442" i="4"/>
  <c r="E442" i="4" s="1"/>
  <c r="B348" i="4"/>
  <c r="E348" i="4" s="1"/>
  <c r="D348" i="4"/>
  <c r="C348" i="4"/>
  <c r="D410" i="4"/>
  <c r="B410" i="4"/>
  <c r="E410" i="4" s="1"/>
  <c r="C410" i="4"/>
  <c r="D389" i="4"/>
  <c r="C389" i="4"/>
  <c r="B389" i="4"/>
  <c r="E389" i="4" s="1"/>
  <c r="D443" i="4"/>
  <c r="C443" i="4"/>
  <c r="B443" i="4"/>
  <c r="D460" i="4"/>
  <c r="C460" i="4"/>
  <c r="B460" i="4"/>
  <c r="E460" i="4" s="1"/>
  <c r="D453" i="4"/>
  <c r="C453" i="4"/>
  <c r="B453" i="4"/>
  <c r="E453" i="4" s="1"/>
  <c r="D446" i="4"/>
  <c r="C446" i="4"/>
  <c r="B446" i="4"/>
  <c r="E446" i="4" s="1"/>
  <c r="C439" i="4"/>
  <c r="B439" i="4"/>
  <c r="E439" i="4" s="1"/>
  <c r="D439" i="4"/>
  <c r="B432" i="4"/>
  <c r="E432" i="4" s="1"/>
  <c r="D432" i="4"/>
  <c r="C432" i="4"/>
  <c r="C417" i="4"/>
  <c r="D417" i="4"/>
  <c r="B417" i="4"/>
  <c r="E417" i="4" s="1"/>
  <c r="D99" i="4"/>
  <c r="C99" i="4"/>
  <c r="B99" i="4"/>
  <c r="E119" i="4" s="1"/>
  <c r="D165" i="4"/>
  <c r="C165" i="4"/>
  <c r="B165" i="4"/>
  <c r="D63" i="4"/>
  <c r="C63" i="4"/>
  <c r="B63" i="4"/>
  <c r="E63" i="4" s="1"/>
  <c r="D90" i="4"/>
  <c r="C90" i="4"/>
  <c r="B90" i="4"/>
  <c r="E90" i="4" s="1"/>
  <c r="C53" i="4"/>
  <c r="D53" i="4"/>
  <c r="B53" i="4"/>
  <c r="E53" i="4" s="1"/>
  <c r="B105" i="4"/>
  <c r="E105" i="4" s="1"/>
  <c r="C105" i="4"/>
  <c r="D105" i="4"/>
  <c r="C295" i="4"/>
  <c r="B295" i="4"/>
  <c r="E295" i="4" s="1"/>
  <c r="D295" i="4"/>
  <c r="D433" i="4"/>
  <c r="C433" i="4"/>
  <c r="B433" i="4"/>
  <c r="E433" i="4" s="1"/>
  <c r="B38" i="4"/>
  <c r="E38" i="4" s="1"/>
  <c r="C38" i="4"/>
  <c r="D38" i="4"/>
  <c r="E80" i="4"/>
  <c r="D55" i="4"/>
  <c r="C55" i="4"/>
  <c r="B55" i="4"/>
  <c r="E55" i="4" s="1"/>
  <c r="D125" i="4"/>
  <c r="C125" i="4"/>
  <c r="B125" i="4"/>
  <c r="E125" i="4" s="1"/>
  <c r="D49" i="4"/>
  <c r="C49" i="4"/>
  <c r="B49" i="4"/>
  <c r="E49" i="4" s="1"/>
  <c r="D111" i="4"/>
  <c r="C111" i="4"/>
  <c r="B111" i="4"/>
  <c r="E111" i="4" s="1"/>
  <c r="D240" i="4"/>
  <c r="C240" i="4"/>
  <c r="B240" i="4"/>
  <c r="E240" i="4" s="1"/>
  <c r="D82" i="4"/>
  <c r="C82" i="4"/>
  <c r="B82" i="4"/>
  <c r="E82" i="4" s="1"/>
  <c r="D207" i="4"/>
  <c r="C207" i="4"/>
  <c r="B207" i="4"/>
  <c r="E207" i="4" s="1"/>
  <c r="C35" i="4"/>
  <c r="B35" i="4"/>
  <c r="E35" i="4" s="1"/>
  <c r="D35" i="4"/>
  <c r="D110" i="4"/>
  <c r="C110" i="4"/>
  <c r="B110" i="4"/>
  <c r="B20" i="4"/>
  <c r="D20" i="4"/>
  <c r="C20" i="4"/>
  <c r="B84" i="4"/>
  <c r="E84" i="4" s="1"/>
  <c r="D84" i="4"/>
  <c r="C84" i="4"/>
  <c r="D216" i="4"/>
  <c r="B216" i="4"/>
  <c r="E216" i="4" s="1"/>
  <c r="C216" i="4"/>
  <c r="C45" i="4"/>
  <c r="D45" i="4"/>
  <c r="B45" i="4"/>
  <c r="D109" i="4"/>
  <c r="C109" i="4"/>
  <c r="B109" i="4"/>
  <c r="D134" i="4"/>
  <c r="C134" i="4"/>
  <c r="B134" i="4"/>
  <c r="E134" i="4" s="1"/>
  <c r="D198" i="4"/>
  <c r="C198" i="4"/>
  <c r="B198" i="4"/>
  <c r="E198" i="4" s="1"/>
  <c r="D167" i="4"/>
  <c r="C167" i="4"/>
  <c r="B167" i="4"/>
  <c r="E167" i="4" s="1"/>
  <c r="C104" i="4"/>
  <c r="B104" i="4"/>
  <c r="E104" i="4" s="1"/>
  <c r="D104" i="4"/>
  <c r="C168" i="4"/>
  <c r="B168" i="4"/>
  <c r="D168" i="4"/>
  <c r="D263" i="4"/>
  <c r="C263" i="4"/>
  <c r="B263" i="4"/>
  <c r="B161" i="4"/>
  <c r="D161" i="4"/>
  <c r="C161" i="4"/>
  <c r="C106" i="4"/>
  <c r="B106" i="4"/>
  <c r="E106" i="4" s="1"/>
  <c r="D106" i="4"/>
  <c r="C170" i="4"/>
  <c r="D170" i="4"/>
  <c r="B170" i="4"/>
  <c r="E170" i="4" s="1"/>
  <c r="B229" i="4"/>
  <c r="E229" i="4" s="1"/>
  <c r="D229" i="4"/>
  <c r="C229" i="4"/>
  <c r="D278" i="4"/>
  <c r="C278" i="4"/>
  <c r="B278" i="4"/>
  <c r="E278" i="4" s="1"/>
  <c r="D362" i="4"/>
  <c r="C362" i="4"/>
  <c r="B362" i="4"/>
  <c r="E362" i="4" s="1"/>
  <c r="D281" i="4"/>
  <c r="C281" i="4"/>
  <c r="B281" i="4"/>
  <c r="E281" i="4" s="1"/>
  <c r="C282" i="4"/>
  <c r="B282" i="4"/>
  <c r="D282" i="4"/>
  <c r="B251" i="4"/>
  <c r="E251" i="4" s="1"/>
  <c r="C251" i="4"/>
  <c r="D251" i="4"/>
  <c r="C287" i="4"/>
  <c r="B287" i="4"/>
  <c r="E287" i="4" s="1"/>
  <c r="D287" i="4"/>
  <c r="D252" i="4"/>
  <c r="C252" i="4"/>
  <c r="B252" i="4"/>
  <c r="E252" i="4" s="1"/>
  <c r="D331" i="4"/>
  <c r="C331" i="4"/>
  <c r="B331" i="4"/>
  <c r="D354" i="4"/>
  <c r="C354" i="4"/>
  <c r="B354" i="4"/>
  <c r="E354" i="4" s="1"/>
  <c r="D333" i="4"/>
  <c r="C333" i="4"/>
  <c r="B333" i="4"/>
  <c r="E333" i="4" s="1"/>
  <c r="D326" i="4"/>
  <c r="C326" i="4"/>
  <c r="B326" i="4"/>
  <c r="E326" i="4" s="1"/>
  <c r="C327" i="4"/>
  <c r="B327" i="4"/>
  <c r="E327" i="4" s="1"/>
  <c r="D327" i="4"/>
  <c r="B304" i="4"/>
  <c r="E304" i="4" s="1"/>
  <c r="D304" i="4"/>
  <c r="C304" i="4"/>
  <c r="D370" i="4"/>
  <c r="C370" i="4"/>
  <c r="B370" i="4"/>
  <c r="D337" i="4"/>
  <c r="C337" i="4"/>
  <c r="B337" i="4"/>
  <c r="E337" i="4" s="1"/>
  <c r="D404" i="4"/>
  <c r="C404" i="4"/>
  <c r="B404" i="4"/>
  <c r="E404" i="4" s="1"/>
  <c r="D393" i="4"/>
  <c r="C393" i="4"/>
  <c r="B393" i="4"/>
  <c r="E393" i="4" s="1"/>
  <c r="C371" i="4"/>
  <c r="B371" i="4"/>
  <c r="E371" i="4" s="1"/>
  <c r="D371" i="4"/>
  <c r="B356" i="4"/>
  <c r="E356" i="4" s="1"/>
  <c r="D356" i="4"/>
  <c r="C356" i="4"/>
  <c r="D458" i="4"/>
  <c r="C458" i="4"/>
  <c r="B458" i="4"/>
  <c r="D397" i="4"/>
  <c r="C397" i="4"/>
  <c r="B397" i="4"/>
  <c r="D451" i="4"/>
  <c r="C451" i="4"/>
  <c r="B451" i="4"/>
  <c r="D468" i="4"/>
  <c r="C468" i="4"/>
  <c r="B468" i="4"/>
  <c r="D461" i="4"/>
  <c r="C461" i="4"/>
  <c r="B461" i="4"/>
  <c r="E461" i="4" s="1"/>
  <c r="D454" i="4"/>
  <c r="C454" i="4"/>
  <c r="B454" i="4"/>
  <c r="E454" i="4" s="1"/>
  <c r="C447" i="4"/>
  <c r="B447" i="4"/>
  <c r="E447" i="4" s="1"/>
  <c r="D447" i="4"/>
  <c r="B440" i="4"/>
  <c r="E440" i="4" s="1"/>
  <c r="D440" i="4"/>
  <c r="C440" i="4"/>
  <c r="C425" i="4"/>
  <c r="D425" i="4"/>
  <c r="B425" i="4"/>
  <c r="E425" i="4" s="1"/>
  <c r="D88" i="4"/>
  <c r="C88" i="4"/>
  <c r="B88" i="4"/>
  <c r="E88" i="4" s="1"/>
  <c r="D115" i="4"/>
  <c r="B115" i="4"/>
  <c r="E115" i="4" s="1"/>
  <c r="C115" i="4"/>
  <c r="B83" i="2"/>
  <c r="D57" i="2"/>
  <c r="B66" i="2"/>
  <c r="C40" i="2"/>
  <c r="B45" i="2"/>
  <c r="D79" i="2"/>
  <c r="D48" i="2"/>
  <c r="B48" i="2"/>
  <c r="E48" i="2" s="1"/>
  <c r="B36" i="2"/>
  <c r="E36" i="2" s="1"/>
  <c r="C20" i="2"/>
  <c r="B24" i="2"/>
  <c r="E24" i="2" s="1"/>
  <c r="D20" i="2"/>
  <c r="B52" i="2"/>
  <c r="B61" i="2"/>
  <c r="B13" i="2"/>
  <c r="E13" i="2" s="1"/>
  <c r="D61" i="2"/>
  <c r="D15" i="2"/>
  <c r="C21" i="2"/>
  <c r="B21" i="2"/>
  <c r="E21" i="2" s="1"/>
  <c r="C53" i="2"/>
  <c r="D52" i="2"/>
  <c r="D83" i="2"/>
  <c r="D33" i="2"/>
  <c r="B15" i="2"/>
  <c r="E15" i="2" s="1"/>
  <c r="C66" i="2"/>
  <c r="B56" i="2"/>
  <c r="E56" i="2" s="1"/>
  <c r="D56" i="2"/>
  <c r="C33" i="2"/>
  <c r="B41" i="2"/>
  <c r="B40" i="2"/>
  <c r="E40" i="2" s="1"/>
  <c r="D36" i="2"/>
  <c r="D70" i="2"/>
  <c r="D13" i="2"/>
  <c r="E28" i="2"/>
  <c r="C325" i="2"/>
  <c r="D325" i="2"/>
  <c r="D266" i="2"/>
  <c r="C266" i="2"/>
  <c r="D455" i="2"/>
  <c r="C455" i="2"/>
  <c r="C451" i="2"/>
  <c r="D451" i="2"/>
  <c r="C133" i="2"/>
  <c r="D133" i="2"/>
  <c r="D87" i="2"/>
  <c r="C227" i="2"/>
  <c r="D227" i="2"/>
  <c r="C243" i="2"/>
  <c r="D243" i="2"/>
  <c r="C200" i="2"/>
  <c r="D200" i="2"/>
  <c r="D307" i="2"/>
  <c r="C307" i="2"/>
  <c r="C108" i="2"/>
  <c r="D108" i="2"/>
  <c r="C299" i="2"/>
  <c r="D299" i="2"/>
  <c r="C180" i="2"/>
  <c r="D180" i="2"/>
  <c r="C291" i="2"/>
  <c r="D291" i="2"/>
  <c r="C121" i="2"/>
  <c r="D121" i="2"/>
  <c r="C177" i="2"/>
  <c r="D177" i="2"/>
  <c r="C283" i="2"/>
  <c r="D283" i="2"/>
  <c r="C179" i="2"/>
  <c r="D179" i="2"/>
  <c r="C407" i="2"/>
  <c r="D407" i="2"/>
  <c r="E102" i="2"/>
  <c r="C102" i="2"/>
  <c r="D102" i="2"/>
  <c r="C143" i="2"/>
  <c r="D143" i="2"/>
  <c r="C213" i="2"/>
  <c r="D213" i="2"/>
  <c r="D277" i="2"/>
  <c r="C277" i="2"/>
  <c r="C355" i="2"/>
  <c r="D355" i="2"/>
  <c r="E158" i="2"/>
  <c r="D158" i="2"/>
  <c r="C158" i="2"/>
  <c r="D190" i="2"/>
  <c r="C190" i="2"/>
  <c r="C244" i="2"/>
  <c r="D244" i="2"/>
  <c r="E308" i="2"/>
  <c r="C308" i="2"/>
  <c r="D308" i="2"/>
  <c r="C233" i="2"/>
  <c r="D233" i="2"/>
  <c r="C297" i="2"/>
  <c r="D297" i="2"/>
  <c r="D206" i="2"/>
  <c r="C206" i="2"/>
  <c r="D238" i="2"/>
  <c r="C238" i="2"/>
  <c r="C270" i="2"/>
  <c r="D270" i="2"/>
  <c r="C302" i="2"/>
  <c r="D302" i="2"/>
  <c r="C414" i="2"/>
  <c r="D414" i="2"/>
  <c r="E334" i="2"/>
  <c r="C334" i="2"/>
  <c r="D334" i="2"/>
  <c r="C426" i="2"/>
  <c r="D426" i="2"/>
  <c r="C331" i="2"/>
  <c r="D331" i="2"/>
  <c r="C384" i="2"/>
  <c r="D384" i="2"/>
  <c r="C336" i="2"/>
  <c r="D336" i="2"/>
  <c r="D357" i="2"/>
  <c r="E357" i="2"/>
  <c r="C357" i="2"/>
  <c r="D389" i="2"/>
  <c r="C389" i="2"/>
  <c r="C459" i="2"/>
  <c r="D459" i="2"/>
  <c r="C370" i="2"/>
  <c r="D370" i="2"/>
  <c r="C402" i="2"/>
  <c r="D402" i="2"/>
  <c r="C454" i="2"/>
  <c r="D454" i="2"/>
  <c r="C387" i="2"/>
  <c r="D387" i="2"/>
  <c r="C467" i="2"/>
  <c r="D467" i="2"/>
  <c r="E436" i="2"/>
  <c r="C436" i="2"/>
  <c r="D436" i="2"/>
  <c r="C468" i="2"/>
  <c r="D468" i="2"/>
  <c r="C433" i="2"/>
  <c r="D433" i="2"/>
  <c r="C465" i="2"/>
  <c r="D465" i="2"/>
  <c r="C107" i="2"/>
  <c r="D107" i="2"/>
  <c r="C87" i="2"/>
  <c r="C311" i="2"/>
  <c r="D311" i="2"/>
  <c r="C175" i="2"/>
  <c r="D175" i="2"/>
  <c r="C167" i="2"/>
  <c r="D167" i="2"/>
  <c r="C131" i="2"/>
  <c r="D131" i="2"/>
  <c r="C141" i="2"/>
  <c r="D141" i="2"/>
  <c r="C279" i="2"/>
  <c r="D279" i="2"/>
  <c r="E279" i="2"/>
  <c r="C205" i="2"/>
  <c r="D205" i="2"/>
  <c r="C300" i="2"/>
  <c r="D300" i="2"/>
  <c r="C298" i="2"/>
  <c r="D298" i="2"/>
  <c r="C327" i="2"/>
  <c r="D327" i="2"/>
  <c r="D366" i="2"/>
  <c r="C366" i="2"/>
  <c r="C464" i="2"/>
  <c r="D464" i="2"/>
  <c r="C264" i="2"/>
  <c r="D264" i="2"/>
  <c r="C192" i="2"/>
  <c r="D192" i="2"/>
  <c r="C188" i="2"/>
  <c r="D188" i="2"/>
  <c r="C287" i="2"/>
  <c r="D287" i="2"/>
  <c r="D439" i="2"/>
  <c r="C439" i="2"/>
  <c r="C162" i="2"/>
  <c r="D162" i="2"/>
  <c r="C241" i="2"/>
  <c r="D241" i="2"/>
  <c r="E241" i="2"/>
  <c r="C306" i="2"/>
  <c r="D306" i="2"/>
  <c r="C335" i="2"/>
  <c r="D335" i="2"/>
  <c r="C361" i="2"/>
  <c r="D361" i="2"/>
  <c r="C406" i="2"/>
  <c r="D406" i="2"/>
  <c r="D408" i="2"/>
  <c r="C408" i="2"/>
  <c r="D437" i="2"/>
  <c r="E437" i="2"/>
  <c r="C437" i="2"/>
  <c r="D183" i="2"/>
  <c r="C183" i="2"/>
  <c r="C157" i="2"/>
  <c r="D157" i="2"/>
  <c r="E216" i="2"/>
  <c r="C216" i="2"/>
  <c r="D216" i="2"/>
  <c r="C232" i="2"/>
  <c r="D232" i="2"/>
  <c r="C116" i="2"/>
  <c r="D116" i="2"/>
  <c r="C136" i="2"/>
  <c r="D136" i="2"/>
  <c r="C196" i="2"/>
  <c r="D196" i="2"/>
  <c r="E129" i="2"/>
  <c r="C129" i="2"/>
  <c r="D129" i="2"/>
  <c r="C193" i="2"/>
  <c r="D193" i="2"/>
  <c r="C139" i="2"/>
  <c r="D139" i="2"/>
  <c r="E195" i="2"/>
  <c r="C195" i="2"/>
  <c r="D195" i="2"/>
  <c r="C110" i="2"/>
  <c r="D110" i="2"/>
  <c r="C288" i="2"/>
  <c r="D288" i="2"/>
  <c r="C229" i="2"/>
  <c r="D229" i="2"/>
  <c r="C293" i="2"/>
  <c r="D293" i="2"/>
  <c r="C134" i="2"/>
  <c r="D134" i="2"/>
  <c r="C166" i="2"/>
  <c r="D166" i="2"/>
  <c r="D198" i="2"/>
  <c r="C198" i="2"/>
  <c r="E260" i="2"/>
  <c r="C260" i="2"/>
  <c r="D260" i="2"/>
  <c r="C321" i="2"/>
  <c r="D321" i="2"/>
  <c r="C249" i="2"/>
  <c r="D249" i="2"/>
  <c r="E249" i="2"/>
  <c r="C317" i="2"/>
  <c r="D317" i="2"/>
  <c r="D214" i="2"/>
  <c r="C214" i="2"/>
  <c r="D246" i="2"/>
  <c r="C246" i="2"/>
  <c r="C278" i="2"/>
  <c r="D278" i="2"/>
  <c r="C310" i="2"/>
  <c r="D310" i="2"/>
  <c r="D458" i="2"/>
  <c r="C458" i="2"/>
  <c r="C342" i="2"/>
  <c r="D342" i="2"/>
  <c r="C392" i="2"/>
  <c r="D392" i="2"/>
  <c r="C339" i="2"/>
  <c r="D339" i="2"/>
  <c r="C471" i="2"/>
  <c r="D471" i="2"/>
  <c r="E344" i="2"/>
  <c r="C344" i="2"/>
  <c r="D344" i="2"/>
  <c r="C365" i="2"/>
  <c r="D365" i="2"/>
  <c r="C397" i="2"/>
  <c r="D397" i="2"/>
  <c r="E434" i="2"/>
  <c r="C434" i="2"/>
  <c r="D434" i="2"/>
  <c r="C378" i="2"/>
  <c r="D378" i="2"/>
  <c r="C415" i="2"/>
  <c r="D415" i="2"/>
  <c r="E415" i="2"/>
  <c r="C363" i="2"/>
  <c r="D363" i="2"/>
  <c r="C395" i="2"/>
  <c r="D395" i="2"/>
  <c r="C412" i="2"/>
  <c r="D412" i="2"/>
  <c r="D444" i="2"/>
  <c r="C444" i="2"/>
  <c r="C409" i="2"/>
  <c r="D409" i="2"/>
  <c r="E441" i="2"/>
  <c r="C441" i="2"/>
  <c r="D441" i="2"/>
  <c r="C473" i="2"/>
  <c r="D473" i="2"/>
  <c r="C119" i="2"/>
  <c r="D119" i="2"/>
  <c r="C115" i="2"/>
  <c r="D115" i="2"/>
  <c r="D272" i="2"/>
  <c r="C272" i="2"/>
  <c r="C267" i="2"/>
  <c r="D267" i="2"/>
  <c r="C186" i="2"/>
  <c r="D186" i="2"/>
  <c r="C234" i="2"/>
  <c r="D234" i="2"/>
  <c r="D332" i="2"/>
  <c r="C332" i="2"/>
  <c r="C383" i="2"/>
  <c r="D383" i="2"/>
  <c r="C275" i="2"/>
  <c r="D275" i="2"/>
  <c r="C112" i="2"/>
  <c r="D112" i="2"/>
  <c r="C125" i="2"/>
  <c r="D125" i="2"/>
  <c r="E106" i="2"/>
  <c r="C106" i="2"/>
  <c r="D106" i="2"/>
  <c r="C194" i="2"/>
  <c r="D194" i="2"/>
  <c r="C210" i="2"/>
  <c r="D210" i="2"/>
  <c r="E423" i="2"/>
  <c r="C423" i="2"/>
  <c r="D423" i="2"/>
  <c r="C340" i="2"/>
  <c r="D340" i="2"/>
  <c r="C374" i="2"/>
  <c r="D374" i="2"/>
  <c r="C470" i="2"/>
  <c r="D470" i="2"/>
  <c r="C472" i="2"/>
  <c r="D472" i="2"/>
  <c r="C469" i="2"/>
  <c r="D469" i="2"/>
  <c r="C189" i="2"/>
  <c r="D189" i="2"/>
  <c r="C149" i="2"/>
  <c r="D149" i="2"/>
  <c r="E149" i="2"/>
  <c r="C127" i="2"/>
  <c r="D127" i="2"/>
  <c r="D207" i="2"/>
  <c r="C207" i="2"/>
  <c r="D223" i="2"/>
  <c r="C223" i="2"/>
  <c r="E120" i="2"/>
  <c r="C120" i="2"/>
  <c r="D120" i="2"/>
  <c r="C145" i="2"/>
  <c r="D145" i="2"/>
  <c r="E208" i="2"/>
  <c r="C208" i="2"/>
  <c r="D208" i="2"/>
  <c r="C101" i="2"/>
  <c r="D101" i="2"/>
  <c r="C135" i="2"/>
  <c r="D135" i="2"/>
  <c r="E215" i="2"/>
  <c r="D215" i="2"/>
  <c r="C215" i="2"/>
  <c r="C144" i="2"/>
  <c r="D144" i="2"/>
  <c r="C203" i="2"/>
  <c r="D203" i="2"/>
  <c r="C114" i="2"/>
  <c r="D114" i="2"/>
  <c r="C296" i="2"/>
  <c r="D296" i="2"/>
  <c r="C237" i="2"/>
  <c r="D237" i="2"/>
  <c r="C301" i="2"/>
  <c r="D301" i="2"/>
  <c r="C138" i="2"/>
  <c r="D138" i="2"/>
  <c r="D170" i="2"/>
  <c r="C170" i="2"/>
  <c r="C204" i="2"/>
  <c r="D204" i="2"/>
  <c r="C268" i="2"/>
  <c r="D268" i="2"/>
  <c r="C356" i="2"/>
  <c r="D356" i="2"/>
  <c r="C257" i="2"/>
  <c r="D257" i="2"/>
  <c r="C349" i="2"/>
  <c r="D349" i="2"/>
  <c r="C218" i="2"/>
  <c r="D218" i="2"/>
  <c r="C250" i="2"/>
  <c r="D250" i="2"/>
  <c r="E250" i="2"/>
  <c r="E282" i="2"/>
  <c r="C282" i="2"/>
  <c r="D282" i="2"/>
  <c r="C337" i="2"/>
  <c r="D337" i="2"/>
  <c r="C314" i="2"/>
  <c r="D314" i="2"/>
  <c r="C346" i="2"/>
  <c r="D346" i="2"/>
  <c r="C410" i="2"/>
  <c r="D410" i="2"/>
  <c r="E343" i="2"/>
  <c r="C343" i="2"/>
  <c r="D343" i="2"/>
  <c r="C316" i="2"/>
  <c r="D316" i="2"/>
  <c r="D348" i="2"/>
  <c r="E348" i="2"/>
  <c r="C348" i="2"/>
  <c r="E369" i="2"/>
  <c r="C369" i="2"/>
  <c r="D369" i="2"/>
  <c r="C401" i="2"/>
  <c r="D401" i="2"/>
  <c r="D450" i="2"/>
  <c r="C450" i="2"/>
  <c r="E450" i="2"/>
  <c r="D382" i="2"/>
  <c r="C382" i="2"/>
  <c r="C431" i="2"/>
  <c r="D431" i="2"/>
  <c r="C367" i="2"/>
  <c r="D367" i="2"/>
  <c r="C399" i="2"/>
  <c r="D399" i="2"/>
  <c r="C416" i="2"/>
  <c r="D416" i="2"/>
  <c r="C448" i="2"/>
  <c r="D448" i="2"/>
  <c r="C413" i="2"/>
  <c r="D413" i="2"/>
  <c r="C445" i="2"/>
  <c r="D445" i="2"/>
  <c r="E445" i="2"/>
  <c r="D239" i="2"/>
  <c r="C239" i="2"/>
  <c r="D41" i="2"/>
  <c r="C280" i="2"/>
  <c r="D280" i="2"/>
  <c r="C329" i="2"/>
  <c r="D329" i="2"/>
  <c r="C104" i="2"/>
  <c r="D104" i="2"/>
  <c r="C169" i="2"/>
  <c r="D169" i="2"/>
  <c r="E169" i="2"/>
  <c r="C154" i="2"/>
  <c r="D154" i="2"/>
  <c r="C289" i="2"/>
  <c r="D289" i="2"/>
  <c r="C330" i="2"/>
  <c r="D330" i="2"/>
  <c r="C385" i="2"/>
  <c r="D385" i="2"/>
  <c r="C438" i="2"/>
  <c r="D438" i="2"/>
  <c r="C461" i="2"/>
  <c r="D461" i="2"/>
  <c r="C303" i="2"/>
  <c r="D303" i="2"/>
  <c r="D185" i="2"/>
  <c r="C185" i="2"/>
  <c r="C221" i="2"/>
  <c r="D221" i="2"/>
  <c r="D252" i="2"/>
  <c r="C252" i="2"/>
  <c r="C242" i="2"/>
  <c r="D242" i="2"/>
  <c r="C462" i="2"/>
  <c r="D462" i="2"/>
  <c r="C440" i="2"/>
  <c r="D440" i="2"/>
  <c r="E123" i="2"/>
  <c r="C123" i="2"/>
  <c r="D123" i="2"/>
  <c r="E199" i="2"/>
  <c r="D199" i="2"/>
  <c r="C199" i="2"/>
  <c r="D173" i="2"/>
  <c r="C173" i="2"/>
  <c r="E124" i="2"/>
  <c r="C124" i="2"/>
  <c r="D124" i="2"/>
  <c r="C148" i="2"/>
  <c r="D148" i="2"/>
  <c r="C224" i="2"/>
  <c r="D224" i="2"/>
  <c r="C105" i="2"/>
  <c r="D105" i="2"/>
  <c r="C140" i="2"/>
  <c r="D140" i="2"/>
  <c r="E231" i="2"/>
  <c r="D231" i="2"/>
  <c r="C231" i="2"/>
  <c r="C147" i="2"/>
  <c r="D147" i="2"/>
  <c r="C219" i="2"/>
  <c r="D219" i="2"/>
  <c r="C118" i="2"/>
  <c r="D118" i="2"/>
  <c r="C304" i="2"/>
  <c r="D304" i="2"/>
  <c r="C245" i="2"/>
  <c r="D245" i="2"/>
  <c r="E309" i="2"/>
  <c r="C309" i="2"/>
  <c r="D309" i="2"/>
  <c r="C142" i="2"/>
  <c r="D142" i="2"/>
  <c r="E174" i="2"/>
  <c r="C174" i="2"/>
  <c r="D174" i="2"/>
  <c r="C212" i="2"/>
  <c r="D212" i="2"/>
  <c r="D276" i="2"/>
  <c r="C276" i="2"/>
  <c r="C201" i="2"/>
  <c r="D201" i="2"/>
  <c r="D265" i="2"/>
  <c r="C265" i="2"/>
  <c r="C400" i="2"/>
  <c r="D400" i="2"/>
  <c r="D222" i="2"/>
  <c r="C222" i="2"/>
  <c r="C254" i="2"/>
  <c r="D254" i="2"/>
  <c r="D286" i="2"/>
  <c r="C286" i="2"/>
  <c r="C430" i="2"/>
  <c r="D430" i="2"/>
  <c r="C318" i="2"/>
  <c r="D318" i="2"/>
  <c r="D350" i="2"/>
  <c r="C350" i="2"/>
  <c r="C315" i="2"/>
  <c r="D315" i="2"/>
  <c r="E347" i="2"/>
  <c r="C347" i="2"/>
  <c r="D347" i="2"/>
  <c r="C320" i="2"/>
  <c r="D320" i="2"/>
  <c r="C352" i="2"/>
  <c r="D352" i="2"/>
  <c r="C373" i="2"/>
  <c r="D373" i="2"/>
  <c r="E405" i="2"/>
  <c r="C405" i="2"/>
  <c r="D405" i="2"/>
  <c r="D466" i="2"/>
  <c r="C466" i="2"/>
  <c r="E466" i="2"/>
  <c r="C386" i="2"/>
  <c r="D386" i="2"/>
  <c r="C447" i="2"/>
  <c r="D447" i="2"/>
  <c r="E371" i="2"/>
  <c r="C371" i="2"/>
  <c r="D371" i="2"/>
  <c r="E403" i="2"/>
  <c r="C403" i="2"/>
  <c r="D403" i="2"/>
  <c r="C420" i="2"/>
  <c r="D420" i="2"/>
  <c r="C452" i="2"/>
  <c r="D452" i="2"/>
  <c r="E417" i="2"/>
  <c r="C417" i="2"/>
  <c r="D417" i="2"/>
  <c r="C449" i="2"/>
  <c r="D449" i="2"/>
  <c r="C181" i="2"/>
  <c r="D181" i="2"/>
  <c r="B70" i="2"/>
  <c r="C184" i="2"/>
  <c r="D184" i="2"/>
  <c r="E20" i="2"/>
  <c r="C172" i="2"/>
  <c r="D172" i="2"/>
  <c r="D171" i="2"/>
  <c r="C171" i="2"/>
  <c r="C269" i="2"/>
  <c r="D269" i="2"/>
  <c r="C225" i="2"/>
  <c r="D225" i="2"/>
  <c r="C404" i="2"/>
  <c r="D404" i="2"/>
  <c r="E359" i="2"/>
  <c r="C359" i="2"/>
  <c r="D359" i="2"/>
  <c r="C398" i="2"/>
  <c r="D398" i="2"/>
  <c r="C429" i="2"/>
  <c r="D429" i="2"/>
  <c r="D168" i="2"/>
  <c r="C168" i="2"/>
  <c r="E191" i="2"/>
  <c r="D191" i="2"/>
  <c r="C191" i="2"/>
  <c r="C295" i="2"/>
  <c r="D295" i="2"/>
  <c r="C187" i="2"/>
  <c r="D187" i="2"/>
  <c r="D285" i="2"/>
  <c r="C285" i="2"/>
  <c r="E313" i="2"/>
  <c r="C313" i="2"/>
  <c r="D313" i="2"/>
  <c r="D274" i="2"/>
  <c r="C274" i="2"/>
  <c r="C360" i="2"/>
  <c r="D360" i="2"/>
  <c r="E393" i="2"/>
  <c r="C393" i="2"/>
  <c r="D393" i="2"/>
  <c r="C391" i="2"/>
  <c r="D391" i="2"/>
  <c r="E165" i="2"/>
  <c r="C165" i="2"/>
  <c r="D165" i="2"/>
  <c r="C152" i="2"/>
  <c r="D152" i="2"/>
  <c r="C128" i="2"/>
  <c r="D128" i="2"/>
  <c r="E156" i="2"/>
  <c r="D156" i="2"/>
  <c r="C156" i="2"/>
  <c r="C240" i="2"/>
  <c r="D240" i="2"/>
  <c r="C109" i="2"/>
  <c r="D109" i="2"/>
  <c r="D153" i="2"/>
  <c r="C153" i="2"/>
  <c r="D247" i="2"/>
  <c r="C247" i="2"/>
  <c r="E155" i="2"/>
  <c r="C155" i="2"/>
  <c r="D155" i="2"/>
  <c r="C235" i="2"/>
  <c r="D235" i="2"/>
  <c r="C122" i="2"/>
  <c r="D122" i="2"/>
  <c r="E312" i="2"/>
  <c r="C312" i="2"/>
  <c r="D312" i="2"/>
  <c r="C253" i="2"/>
  <c r="D253" i="2"/>
  <c r="C345" i="2"/>
  <c r="D345" i="2"/>
  <c r="C146" i="2"/>
  <c r="D146" i="2"/>
  <c r="C178" i="2"/>
  <c r="D178" i="2"/>
  <c r="E220" i="2"/>
  <c r="C220" i="2"/>
  <c r="D220" i="2"/>
  <c r="C284" i="2"/>
  <c r="D284" i="2"/>
  <c r="C209" i="2"/>
  <c r="D209" i="2"/>
  <c r="E209" i="2"/>
  <c r="C273" i="2"/>
  <c r="D273" i="2"/>
  <c r="E273" i="2"/>
  <c r="D341" i="2"/>
  <c r="C341" i="2"/>
  <c r="C226" i="2"/>
  <c r="D226" i="2"/>
  <c r="E226" i="2"/>
  <c r="C258" i="2"/>
  <c r="D258" i="2"/>
  <c r="C290" i="2"/>
  <c r="D290" i="2"/>
  <c r="C333" i="2"/>
  <c r="D333" i="2"/>
  <c r="C322" i="2"/>
  <c r="D322" i="2"/>
  <c r="C354" i="2"/>
  <c r="D354" i="2"/>
  <c r="E319" i="2"/>
  <c r="C319" i="2"/>
  <c r="D319" i="2"/>
  <c r="C351" i="2"/>
  <c r="D351" i="2"/>
  <c r="C324" i="2"/>
  <c r="D324" i="2"/>
  <c r="D380" i="2"/>
  <c r="C380" i="2"/>
  <c r="D377" i="2"/>
  <c r="C377" i="2"/>
  <c r="E411" i="2"/>
  <c r="C411" i="2"/>
  <c r="D411" i="2"/>
  <c r="C358" i="2"/>
  <c r="D358" i="2"/>
  <c r="C390" i="2"/>
  <c r="D390" i="2"/>
  <c r="D463" i="2"/>
  <c r="C463" i="2"/>
  <c r="D375" i="2"/>
  <c r="C375" i="2"/>
  <c r="C419" i="2"/>
  <c r="D419" i="2"/>
  <c r="E424" i="2"/>
  <c r="D424" i="2"/>
  <c r="C424" i="2"/>
  <c r="C456" i="2"/>
  <c r="D456" i="2"/>
  <c r="E421" i="2"/>
  <c r="C421" i="2"/>
  <c r="D421" i="2"/>
  <c r="C453" i="2"/>
  <c r="D453" i="2"/>
  <c r="E160" i="2"/>
  <c r="C160" i="2"/>
  <c r="D160" i="2"/>
  <c r="B44" i="2"/>
  <c r="E44" i="2" s="1"/>
  <c r="C111" i="2"/>
  <c r="D111" i="2"/>
  <c r="C271" i="2"/>
  <c r="D271" i="2"/>
  <c r="E159" i="2"/>
  <c r="C159" i="2"/>
  <c r="D159" i="2"/>
  <c r="C259" i="2"/>
  <c r="D259" i="2"/>
  <c r="C117" i="2"/>
  <c r="D117" i="2"/>
  <c r="C130" i="2"/>
  <c r="D130" i="2"/>
  <c r="C236" i="2"/>
  <c r="D236" i="2"/>
  <c r="C202" i="2"/>
  <c r="D202" i="2"/>
  <c r="E202" i="2"/>
  <c r="D396" i="2"/>
  <c r="C396" i="2"/>
  <c r="C443" i="2"/>
  <c r="D443" i="2"/>
  <c r="D432" i="2"/>
  <c r="E432" i="2"/>
  <c r="C432" i="2"/>
  <c r="D442" i="2"/>
  <c r="C442" i="2"/>
  <c r="C305" i="2"/>
  <c r="D305" i="2"/>
  <c r="E338" i="2"/>
  <c r="C338" i="2"/>
  <c r="D338" i="2"/>
  <c r="E418" i="2"/>
  <c r="C418" i="2"/>
  <c r="D418" i="2"/>
  <c r="E197" i="2"/>
  <c r="C197" i="2"/>
  <c r="D197" i="2"/>
  <c r="E211" i="2"/>
  <c r="C211" i="2"/>
  <c r="D211" i="2"/>
  <c r="C137" i="2"/>
  <c r="D137" i="2"/>
  <c r="E103" i="2"/>
  <c r="C103" i="2"/>
  <c r="D103" i="2"/>
  <c r="E132" i="2"/>
  <c r="C132" i="2"/>
  <c r="D132" i="2"/>
  <c r="C164" i="2"/>
  <c r="D164" i="2"/>
  <c r="C256" i="2"/>
  <c r="D256" i="2"/>
  <c r="E256" i="2"/>
  <c r="C113" i="2"/>
  <c r="D113" i="2"/>
  <c r="E161" i="2"/>
  <c r="C161" i="2"/>
  <c r="D161" i="2"/>
  <c r="C263" i="2"/>
  <c r="D263" i="2"/>
  <c r="C163" i="2"/>
  <c r="D163" i="2"/>
  <c r="C251" i="2"/>
  <c r="D251" i="2"/>
  <c r="C126" i="2"/>
  <c r="D126" i="2"/>
  <c r="C353" i="2"/>
  <c r="D353" i="2"/>
  <c r="E261" i="2"/>
  <c r="C261" i="2"/>
  <c r="D261" i="2"/>
  <c r="C376" i="2"/>
  <c r="D376" i="2"/>
  <c r="C150" i="2"/>
  <c r="D150" i="2"/>
  <c r="C182" i="2"/>
  <c r="D182" i="2"/>
  <c r="C228" i="2"/>
  <c r="D228" i="2"/>
  <c r="E292" i="2"/>
  <c r="C292" i="2"/>
  <c r="D292" i="2"/>
  <c r="C217" i="2"/>
  <c r="D217" i="2"/>
  <c r="C281" i="2"/>
  <c r="D281" i="2"/>
  <c r="E368" i="2"/>
  <c r="D368" i="2"/>
  <c r="C368" i="2"/>
  <c r="D230" i="2"/>
  <c r="C230" i="2"/>
  <c r="C262" i="2"/>
  <c r="D262" i="2"/>
  <c r="C294" i="2"/>
  <c r="D294" i="2"/>
  <c r="C372" i="2"/>
  <c r="D372" i="2"/>
  <c r="C326" i="2"/>
  <c r="D326" i="2"/>
  <c r="D364" i="2"/>
  <c r="C364" i="2"/>
  <c r="E323" i="2"/>
  <c r="D323" i="2"/>
  <c r="C323" i="2"/>
  <c r="E388" i="2"/>
  <c r="C388" i="2"/>
  <c r="D388" i="2"/>
  <c r="C328" i="2"/>
  <c r="D328" i="2"/>
  <c r="E446" i="2"/>
  <c r="C446" i="2"/>
  <c r="D446" i="2"/>
  <c r="C381" i="2"/>
  <c r="D381" i="2"/>
  <c r="C427" i="2"/>
  <c r="D427" i="2"/>
  <c r="C362" i="2"/>
  <c r="D362" i="2"/>
  <c r="E362" i="2"/>
  <c r="C394" i="2"/>
  <c r="D394" i="2"/>
  <c r="C422" i="2"/>
  <c r="D422" i="2"/>
  <c r="C379" i="2"/>
  <c r="D379" i="2"/>
  <c r="C435" i="2"/>
  <c r="D435" i="2"/>
  <c r="C428" i="2"/>
  <c r="D428" i="2"/>
  <c r="C460" i="2"/>
  <c r="D460" i="2"/>
  <c r="E425" i="2"/>
  <c r="C425" i="2"/>
  <c r="D425" i="2"/>
  <c r="C457" i="2"/>
  <c r="D457" i="2"/>
  <c r="D151" i="2"/>
  <c r="C151" i="2"/>
  <c r="C176" i="2"/>
  <c r="D176" i="2"/>
  <c r="C255" i="2"/>
  <c r="D255" i="2"/>
  <c r="E248" i="2"/>
  <c r="F11" i="2"/>
  <c r="G11" i="2"/>
  <c r="G12" i="2" s="1"/>
  <c r="D44" i="2"/>
  <c r="D37" i="2"/>
  <c r="B37" i="2"/>
  <c r="E53" i="2" s="1"/>
  <c r="D19" i="2"/>
  <c r="C19" i="2"/>
  <c r="D60" i="2"/>
  <c r="B60" i="2"/>
  <c r="C57" i="2"/>
  <c r="D17" i="2"/>
  <c r="E33" i="2"/>
  <c r="D28" i="2"/>
  <c r="E61" i="2"/>
  <c r="C28" i="2"/>
  <c r="C16" i="2"/>
  <c r="C17" i="2"/>
  <c r="D49" i="2"/>
  <c r="D16" i="2"/>
  <c r="B49" i="2"/>
  <c r="E49" i="2" s="1"/>
  <c r="E32" i="2"/>
  <c r="E45" i="2"/>
  <c r="E41" i="2"/>
  <c r="C62" i="2"/>
  <c r="D62" i="2"/>
  <c r="C59" i="2"/>
  <c r="D59" i="2"/>
  <c r="C27" i="2"/>
  <c r="D27" i="2"/>
  <c r="C38" i="2"/>
  <c r="D38" i="2"/>
  <c r="D18" i="2"/>
  <c r="C18" i="2"/>
  <c r="C84" i="2"/>
  <c r="D84" i="2"/>
  <c r="C65" i="2"/>
  <c r="D65" i="2"/>
  <c r="C97" i="2"/>
  <c r="D97" i="2"/>
  <c r="C78" i="2"/>
  <c r="D78" i="2"/>
  <c r="C55" i="2"/>
  <c r="D55" i="2"/>
  <c r="C23" i="2"/>
  <c r="D23" i="2"/>
  <c r="C63" i="2"/>
  <c r="D63" i="2"/>
  <c r="C34" i="2"/>
  <c r="D34" i="2"/>
  <c r="C88" i="2"/>
  <c r="D88" i="2"/>
  <c r="C69" i="2"/>
  <c r="D69" i="2"/>
  <c r="C82" i="2"/>
  <c r="D82" i="2"/>
  <c r="C75" i="2"/>
  <c r="D75" i="2"/>
  <c r="C51" i="2"/>
  <c r="D51" i="2"/>
  <c r="C96" i="2"/>
  <c r="D96" i="2"/>
  <c r="C43" i="2"/>
  <c r="D43" i="2"/>
  <c r="C54" i="2"/>
  <c r="D54" i="2"/>
  <c r="C26" i="2"/>
  <c r="D26" i="2"/>
  <c r="C68" i="2"/>
  <c r="D68" i="2"/>
  <c r="C100" i="2"/>
  <c r="D100" i="2"/>
  <c r="C81" i="2"/>
  <c r="D81" i="2"/>
  <c r="C94" i="2"/>
  <c r="D94" i="2"/>
  <c r="C30" i="2"/>
  <c r="D30" i="2"/>
  <c r="C39" i="2"/>
  <c r="D39" i="2"/>
  <c r="C99" i="2"/>
  <c r="D99" i="2"/>
  <c r="C50" i="2"/>
  <c r="D50" i="2"/>
  <c r="C72" i="2"/>
  <c r="D72" i="2"/>
  <c r="C85" i="2"/>
  <c r="D85" i="2"/>
  <c r="D98" i="2"/>
  <c r="C98" i="2"/>
  <c r="C92" i="2"/>
  <c r="D92" i="2"/>
  <c r="C73" i="2"/>
  <c r="D73" i="2"/>
  <c r="C86" i="2"/>
  <c r="D86" i="2"/>
  <c r="C64" i="2"/>
  <c r="D64" i="2"/>
  <c r="C90" i="2"/>
  <c r="D90" i="2"/>
  <c r="C91" i="2"/>
  <c r="D91" i="2"/>
  <c r="C35" i="2"/>
  <c r="D35" i="2"/>
  <c r="C46" i="2"/>
  <c r="D46" i="2"/>
  <c r="C22" i="2"/>
  <c r="D22" i="2"/>
  <c r="C76" i="2"/>
  <c r="D76" i="2"/>
  <c r="C89" i="2"/>
  <c r="D89" i="2"/>
  <c r="C14" i="2"/>
  <c r="D14" i="2"/>
  <c r="C47" i="2"/>
  <c r="D47" i="2"/>
  <c r="D58" i="2"/>
  <c r="C58" i="2"/>
  <c r="C77" i="2"/>
  <c r="D77" i="2"/>
  <c r="C71" i="2"/>
  <c r="D71" i="2"/>
  <c r="C95" i="2"/>
  <c r="D95" i="2"/>
  <c r="C31" i="2"/>
  <c r="D31" i="2"/>
  <c r="D42" i="2"/>
  <c r="C42" i="2"/>
  <c r="C80" i="2"/>
  <c r="D80" i="2"/>
  <c r="C93" i="2"/>
  <c r="D93" i="2"/>
  <c r="C74" i="2"/>
  <c r="D74" i="2"/>
  <c r="F12" i="1"/>
  <c r="E26" i="1"/>
  <c r="F50" i="1"/>
  <c r="F244" i="1"/>
  <c r="F323" i="1"/>
  <c r="F463" i="1"/>
  <c r="F42" i="1"/>
  <c r="F361" i="1"/>
  <c r="E361" i="1"/>
  <c r="F349" i="1"/>
  <c r="E450" i="1"/>
  <c r="F46" i="1"/>
  <c r="E324" i="1"/>
  <c r="E50" i="1"/>
  <c r="F62" i="1"/>
  <c r="F77" i="1"/>
  <c r="F218" i="1"/>
  <c r="E244" i="1"/>
  <c r="E345" i="1"/>
  <c r="F324" i="1"/>
  <c r="F391" i="1"/>
  <c r="F66" i="1"/>
  <c r="E77" i="1"/>
  <c r="E269" i="1"/>
  <c r="F260" i="1"/>
  <c r="E349" i="1"/>
  <c r="E18" i="1"/>
  <c r="F122" i="1"/>
  <c r="E62" i="1"/>
  <c r="E66" i="1"/>
  <c r="E260" i="1"/>
  <c r="E357" i="1"/>
  <c r="F345" i="1"/>
  <c r="B91" i="2"/>
  <c r="B64" i="2"/>
  <c r="B77" i="2"/>
  <c r="B75" i="2"/>
  <c r="B71" i="2"/>
  <c r="E87" i="2" s="1"/>
  <c r="B63" i="2"/>
  <c r="B59" i="2"/>
  <c r="B27" i="2"/>
  <c r="E27" i="2" s="1"/>
  <c r="B62" i="2"/>
  <c r="B46" i="2"/>
  <c r="B30" i="2"/>
  <c r="B72" i="2"/>
  <c r="B85" i="2"/>
  <c r="B98" i="2"/>
  <c r="B39" i="2"/>
  <c r="B96" i="2"/>
  <c r="E116" i="2" s="1"/>
  <c r="B23" i="2"/>
  <c r="E23" i="2" s="1"/>
  <c r="B99" i="2"/>
  <c r="E99" i="2" s="1"/>
  <c r="B18" i="2"/>
  <c r="E18" i="2" s="1"/>
  <c r="B89" i="2"/>
  <c r="B86" i="2"/>
  <c r="E86" i="2" s="1"/>
  <c r="B35" i="2"/>
  <c r="B22" i="2"/>
  <c r="E22" i="2" s="1"/>
  <c r="B31" i="2"/>
  <c r="E31" i="2" s="1"/>
  <c r="B55" i="2"/>
  <c r="B51" i="2"/>
  <c r="B58" i="2"/>
  <c r="B42" i="2"/>
  <c r="B80" i="2"/>
  <c r="B93" i="2"/>
  <c r="B74" i="2"/>
  <c r="B34" i="2"/>
  <c r="B95" i="2"/>
  <c r="B68" i="2"/>
  <c r="E68" i="2" s="1"/>
  <c r="B94" i="2"/>
  <c r="B47" i="2"/>
  <c r="B26" i="2"/>
  <c r="E26" i="2" s="1"/>
  <c r="B84" i="2"/>
  <c r="B65" i="2"/>
  <c r="B97" i="2"/>
  <c r="B78" i="2"/>
  <c r="B92" i="2"/>
  <c r="B73" i="2"/>
  <c r="B50" i="2"/>
  <c r="B90" i="2"/>
  <c r="E90" i="2" s="1"/>
  <c r="B81" i="2"/>
  <c r="E81" i="2" s="1"/>
  <c r="B76" i="2"/>
  <c r="B43" i="2"/>
  <c r="B54" i="2"/>
  <c r="B38" i="2"/>
  <c r="B14" i="2"/>
  <c r="E14" i="2" s="1"/>
  <c r="B88" i="2"/>
  <c r="B69" i="2"/>
  <c r="B82" i="2"/>
  <c r="C290" i="1"/>
  <c r="E290" i="1" s="1"/>
  <c r="C132" i="1"/>
  <c r="D161" i="1"/>
  <c r="D226" i="1"/>
  <c r="E343" i="1"/>
  <c r="E310" i="1"/>
  <c r="D213" i="1"/>
  <c r="C161" i="1"/>
  <c r="C226" i="1"/>
  <c r="C223" i="1"/>
  <c r="D343" i="1"/>
  <c r="D381" i="1"/>
  <c r="E351" i="1"/>
  <c r="E264" i="1"/>
  <c r="C276" i="1"/>
  <c r="D328" i="1"/>
  <c r="F328" i="1" s="1"/>
  <c r="F290" i="1"/>
  <c r="E223" i="1"/>
  <c r="D333" i="1"/>
  <c r="F333" i="1" s="1"/>
  <c r="E347" i="1"/>
  <c r="D348" i="1"/>
  <c r="E359" i="1"/>
  <c r="D264" i="1"/>
  <c r="E276" i="1"/>
  <c r="C328" i="1"/>
  <c r="C209" i="1"/>
  <c r="C333" i="1"/>
  <c r="E333" i="1" s="1"/>
  <c r="D337" i="1"/>
  <c r="F337" i="1" s="1"/>
  <c r="C348" i="1"/>
  <c r="D359" i="1"/>
  <c r="C459" i="1"/>
  <c r="E459" i="1" s="1"/>
  <c r="E328" i="1"/>
  <c r="C70" i="1"/>
  <c r="E70" i="1" s="1"/>
  <c r="D70" i="1"/>
  <c r="F70" i="1" s="1"/>
  <c r="C337" i="1"/>
  <c r="E337" i="1" s="1"/>
  <c r="D376" i="1"/>
  <c r="D459" i="1"/>
  <c r="F459" i="1" s="1"/>
  <c r="E148" i="1"/>
  <c r="D224" i="1"/>
  <c r="F224" i="1" s="1"/>
  <c r="E300" i="1"/>
  <c r="D273" i="1"/>
  <c r="D347" i="1"/>
  <c r="F347" i="1" s="1"/>
  <c r="C455" i="1"/>
  <c r="E455" i="1" s="1"/>
  <c r="F205" i="1"/>
  <c r="C181" i="1"/>
  <c r="C185" i="1"/>
  <c r="C273" i="1"/>
  <c r="D144" i="1"/>
  <c r="F144" i="1" s="1"/>
  <c r="C296" i="1"/>
  <c r="D177" i="1"/>
  <c r="D281" i="1"/>
  <c r="C214" i="1"/>
  <c r="E214" i="1" s="1"/>
  <c r="F355" i="1"/>
  <c r="C340" i="1"/>
  <c r="E340" i="1" s="1"/>
  <c r="F381" i="1"/>
  <c r="D360" i="1"/>
  <c r="C352" i="1"/>
  <c r="D287" i="1"/>
  <c r="F304" i="1"/>
  <c r="C365" i="1"/>
  <c r="E365" i="1" s="1"/>
  <c r="C272" i="1"/>
  <c r="D214" i="1"/>
  <c r="F214" i="1" s="1"/>
  <c r="D352" i="1"/>
  <c r="F352" i="1" s="1"/>
  <c r="C13" i="1"/>
  <c r="E13" i="1" s="1"/>
  <c r="G20" i="1" s="1"/>
  <c r="I20" i="1" s="1"/>
  <c r="C34" i="1"/>
  <c r="E34" i="1" s="1"/>
  <c r="C78" i="1"/>
  <c r="E78" i="1" s="1"/>
  <c r="F53" i="1"/>
  <c r="C88" i="1"/>
  <c r="E88" i="1" s="1"/>
  <c r="F181" i="1"/>
  <c r="F185" i="1"/>
  <c r="C144" i="1"/>
  <c r="E144" i="1" s="1"/>
  <c r="E296" i="1"/>
  <c r="D235" i="1"/>
  <c r="F235" i="1" s="1"/>
  <c r="C177" i="1"/>
  <c r="E281" i="1"/>
  <c r="C341" i="1"/>
  <c r="E341" i="1" s="1"/>
  <c r="D341" i="1"/>
  <c r="F341" i="1" s="1"/>
  <c r="D355" i="1"/>
  <c r="C360" i="1"/>
  <c r="D268" i="1"/>
  <c r="F382" i="1"/>
  <c r="D365" i="1"/>
  <c r="F365" i="1" s="1"/>
  <c r="C426" i="1"/>
  <c r="D339" i="1"/>
  <c r="C16" i="1"/>
  <c r="E16" i="1" s="1"/>
  <c r="G22" i="1" s="1"/>
  <c r="I22" i="1" s="1"/>
  <c r="D13" i="1"/>
  <c r="F13" i="1" s="1"/>
  <c r="H20" i="1" s="1"/>
  <c r="C38" i="1"/>
  <c r="E38" i="1" s="1"/>
  <c r="D65" i="1"/>
  <c r="F65" i="1" s="1"/>
  <c r="C235" i="1"/>
  <c r="E235" i="1" s="1"/>
  <c r="F363" i="1"/>
  <c r="C388" i="1"/>
  <c r="C467" i="1"/>
  <c r="E467" i="1" s="1"/>
  <c r="C368" i="1"/>
  <c r="E368" i="1" s="1"/>
  <c r="E25" i="1"/>
  <c r="D103" i="1"/>
  <c r="E292" i="1"/>
  <c r="C42" i="1"/>
  <c r="E42" i="1" s="1"/>
  <c r="D34" i="1"/>
  <c r="F34" i="1" s="1"/>
  <c r="D73" i="1"/>
  <c r="F73" i="1" s="1"/>
  <c r="C65" i="1"/>
  <c r="E65" i="1" s="1"/>
  <c r="C189" i="1"/>
  <c r="F272" i="1"/>
  <c r="D363" i="1"/>
  <c r="F395" i="1"/>
  <c r="D336" i="1"/>
  <c r="F336" i="1" s="1"/>
  <c r="D467" i="1"/>
  <c r="F467" i="1" s="1"/>
  <c r="D388" i="1"/>
  <c r="F388" i="1" s="1"/>
  <c r="D148" i="1"/>
  <c r="C103" i="1"/>
  <c r="E103" i="1" s="1"/>
  <c r="D270" i="1"/>
  <c r="F165" i="1"/>
  <c r="D329" i="1"/>
  <c r="F329" i="1" s="1"/>
  <c r="F23" i="1"/>
  <c r="C205" i="1"/>
  <c r="E213" i="1"/>
  <c r="D351" i="1"/>
  <c r="D38" i="1"/>
  <c r="F38" i="1" s="1"/>
  <c r="D78" i="1"/>
  <c r="F78" i="1" s="1"/>
  <c r="C73" i="1"/>
  <c r="E73" i="1" s="1"/>
  <c r="D88" i="1"/>
  <c r="F88" i="1" s="1"/>
  <c r="F189" i="1"/>
  <c r="D455" i="1"/>
  <c r="F455" i="1" s="1"/>
  <c r="B14" i="1"/>
  <c r="D14" i="1"/>
  <c r="C157" i="1"/>
  <c r="D157" i="1"/>
  <c r="D379" i="1"/>
  <c r="C102" i="1"/>
  <c r="E102" i="1"/>
  <c r="C190" i="1"/>
  <c r="D190" i="1"/>
  <c r="C257" i="1"/>
  <c r="D257" i="1"/>
  <c r="C123" i="1"/>
  <c r="D123" i="1"/>
  <c r="D335" i="1"/>
  <c r="C279" i="1"/>
  <c r="D279" i="1"/>
  <c r="C182" i="1"/>
  <c r="D182" i="1"/>
  <c r="C247" i="1"/>
  <c r="D247" i="1"/>
  <c r="C206" i="1"/>
  <c r="D206" i="1"/>
  <c r="C167" i="1"/>
  <c r="D167" i="1"/>
  <c r="C173" i="1"/>
  <c r="D140" i="1"/>
  <c r="F140" i="1" s="1"/>
  <c r="C353" i="1"/>
  <c r="E353" i="1" s="1"/>
  <c r="C282" i="1"/>
  <c r="E282" i="1" s="1"/>
  <c r="D307" i="1"/>
  <c r="F291" i="1"/>
  <c r="E367" i="1"/>
  <c r="C400" i="1"/>
  <c r="D400" i="1"/>
  <c r="C378" i="1"/>
  <c r="C265" i="1"/>
  <c r="D265" i="1"/>
  <c r="C444" i="1"/>
  <c r="D444" i="1"/>
  <c r="D295" i="1"/>
  <c r="C179" i="1"/>
  <c r="D179" i="1"/>
  <c r="C402" i="1"/>
  <c r="D402" i="1"/>
  <c r="C334" i="1"/>
  <c r="D334" i="1"/>
  <c r="C440" i="1"/>
  <c r="D440" i="1"/>
  <c r="C366" i="1"/>
  <c r="D437" i="1"/>
  <c r="C437" i="1"/>
  <c r="C267" i="1"/>
  <c r="D267" i="1"/>
  <c r="C411" i="1"/>
  <c r="F411" i="1"/>
  <c r="C227" i="1"/>
  <c r="D227" i="1"/>
  <c r="C118" i="1"/>
  <c r="D204" i="1"/>
  <c r="C204" i="1"/>
  <c r="C149" i="1"/>
  <c r="F149" i="1"/>
  <c r="C243" i="1"/>
  <c r="D243" i="1"/>
  <c r="C166" i="1"/>
  <c r="D166" i="1"/>
  <c r="C111" i="1"/>
  <c r="D111" i="1"/>
  <c r="D180" i="1"/>
  <c r="F180" i="1" s="1"/>
  <c r="C180" i="1"/>
  <c r="E180" i="1" s="1"/>
  <c r="B97" i="1"/>
  <c r="C97" i="1"/>
  <c r="D97" i="1"/>
  <c r="D240" i="1"/>
  <c r="C240" i="1"/>
  <c r="C199" i="1"/>
  <c r="D199" i="1"/>
  <c r="C137" i="1"/>
  <c r="C249" i="1"/>
  <c r="D249" i="1"/>
  <c r="C105" i="1"/>
  <c r="D105" i="1"/>
  <c r="C45" i="1"/>
  <c r="B45" i="1"/>
  <c r="C162" i="1"/>
  <c r="D162" i="1"/>
  <c r="C116" i="1"/>
  <c r="D116" i="1"/>
  <c r="C392" i="1"/>
  <c r="D392" i="1"/>
  <c r="C464" i="1"/>
  <c r="D464" i="1"/>
  <c r="D465" i="1"/>
  <c r="C465" i="1"/>
  <c r="D408" i="1"/>
  <c r="F408" i="1"/>
  <c r="C408" i="1"/>
  <c r="C258" i="1"/>
  <c r="D258" i="1"/>
  <c r="C445" i="1"/>
  <c r="D445" i="1"/>
  <c r="B72" i="1"/>
  <c r="D72" i="1"/>
  <c r="C72" i="1"/>
  <c r="C131" i="1"/>
  <c r="D131" i="1"/>
  <c r="D79" i="1"/>
  <c r="B79" i="1"/>
  <c r="C79" i="1"/>
  <c r="C155" i="1"/>
  <c r="D155" i="1"/>
  <c r="C19" i="1"/>
  <c r="B19" i="1"/>
  <c r="C413" i="1"/>
  <c r="D413" i="1"/>
  <c r="C122" i="1"/>
  <c r="E122" i="1" s="1"/>
  <c r="D282" i="1"/>
  <c r="F282" i="1" s="1"/>
  <c r="C291" i="1"/>
  <c r="C468" i="1"/>
  <c r="D468" i="1"/>
  <c r="C407" i="1"/>
  <c r="C94" i="1"/>
  <c r="B94" i="1"/>
  <c r="D286" i="1"/>
  <c r="C286" i="1"/>
  <c r="B35" i="1"/>
  <c r="C35" i="1"/>
  <c r="F370" i="1"/>
  <c r="C370" i="1"/>
  <c r="D120" i="1"/>
  <c r="C120" i="1"/>
  <c r="C90" i="1"/>
  <c r="B90" i="1"/>
  <c r="E90" i="1" s="1"/>
  <c r="C128" i="1"/>
  <c r="D128" i="1"/>
  <c r="C117" i="1"/>
  <c r="D117" i="1"/>
  <c r="B48" i="1"/>
  <c r="C48" i="1"/>
  <c r="D48" i="1"/>
  <c r="C415" i="1"/>
  <c r="D54" i="1"/>
  <c r="F54" i="1" s="1"/>
  <c r="C31" i="1"/>
  <c r="E31" i="1" s="1"/>
  <c r="D269" i="1"/>
  <c r="F269" i="1" s="1"/>
  <c r="C140" i="1"/>
  <c r="E140" i="1" s="1"/>
  <c r="C382" i="1"/>
  <c r="E382" i="1" s="1"/>
  <c r="C391" i="1"/>
  <c r="E391" i="1" s="1"/>
  <c r="D367" i="1"/>
  <c r="C380" i="1"/>
  <c r="E252" i="1"/>
  <c r="C410" i="1"/>
  <c r="D410" i="1"/>
  <c r="C461" i="1"/>
  <c r="D461" i="1"/>
  <c r="D321" i="1"/>
  <c r="C321" i="1"/>
  <c r="C261" i="1"/>
  <c r="D261" i="1"/>
  <c r="C438" i="1"/>
  <c r="D438" i="1"/>
  <c r="B96" i="1"/>
  <c r="C96" i="1"/>
  <c r="D96" i="1"/>
  <c r="C399" i="1"/>
  <c r="F399" i="1"/>
  <c r="D278" i="1"/>
  <c r="C278" i="1"/>
  <c r="C41" i="1"/>
  <c r="B41" i="1"/>
  <c r="C429" i="1"/>
  <c r="D429" i="1"/>
  <c r="C275" i="1"/>
  <c r="D275" i="1"/>
  <c r="C433" i="1"/>
  <c r="D433" i="1"/>
  <c r="C263" i="1"/>
  <c r="D263" i="1"/>
  <c r="C460" i="1"/>
  <c r="D460" i="1"/>
  <c r="C406" i="1"/>
  <c r="D406" i="1"/>
  <c r="C350" i="1"/>
  <c r="C222" i="1"/>
  <c r="D222" i="1"/>
  <c r="C153" i="1"/>
  <c r="E153" i="1"/>
  <c r="C107" i="1"/>
  <c r="D107" i="1"/>
  <c r="B44" i="1"/>
  <c r="D44" i="1"/>
  <c r="C44" i="1"/>
  <c r="D195" i="1"/>
  <c r="C195" i="1"/>
  <c r="C142" i="1"/>
  <c r="B68" i="1"/>
  <c r="C68" i="1"/>
  <c r="D68" i="1"/>
  <c r="C237" i="1"/>
  <c r="D237" i="1"/>
  <c r="C163" i="1"/>
  <c r="D163" i="1"/>
  <c r="C108" i="1"/>
  <c r="D108" i="1"/>
  <c r="D59" i="1"/>
  <c r="B59" i="1"/>
  <c r="C59" i="1"/>
  <c r="D196" i="1"/>
  <c r="C196" i="1"/>
  <c r="E196" i="1" s="1"/>
  <c r="C125" i="1"/>
  <c r="D125" i="1"/>
  <c r="D71" i="1"/>
  <c r="B71" i="1"/>
  <c r="C71" i="1"/>
  <c r="C245" i="1"/>
  <c r="D245" i="1"/>
  <c r="B95" i="1"/>
  <c r="C95" i="1"/>
  <c r="D95" i="1"/>
  <c r="D220" i="1"/>
  <c r="F220" i="1" s="1"/>
  <c r="C220" i="1"/>
  <c r="E220" i="1" s="1"/>
  <c r="C159" i="1"/>
  <c r="D159" i="1"/>
  <c r="C114" i="1"/>
  <c r="F114" i="1"/>
  <c r="D446" i="1"/>
  <c r="C446" i="1"/>
  <c r="F103" i="1"/>
  <c r="F457" i="1"/>
  <c r="E457" i="1"/>
  <c r="D472" i="1"/>
  <c r="C472" i="1"/>
  <c r="B20" i="1"/>
  <c r="D20" i="1"/>
  <c r="C417" i="1"/>
  <c r="D417" i="1"/>
  <c r="C362" i="1"/>
  <c r="D305" i="1"/>
  <c r="C305" i="1"/>
  <c r="D87" i="1"/>
  <c r="B87" i="1"/>
  <c r="F87" i="1" s="1"/>
  <c r="C87" i="1"/>
  <c r="D188" i="1"/>
  <c r="C188" i="1"/>
  <c r="D160" i="1"/>
  <c r="C160" i="1"/>
  <c r="C37" i="1"/>
  <c r="B37" i="1"/>
  <c r="B92" i="1"/>
  <c r="C92" i="1"/>
  <c r="C170" i="1"/>
  <c r="D170" i="1"/>
  <c r="D37" i="1"/>
  <c r="E326" i="1"/>
  <c r="D326" i="1"/>
  <c r="C33" i="1"/>
  <c r="B33" i="1"/>
  <c r="C133" i="1"/>
  <c r="C119" i="1"/>
  <c r="D119" i="1"/>
  <c r="C46" i="1"/>
  <c r="E46" i="1" s="1"/>
  <c r="D19" i="1"/>
  <c r="D58" i="1"/>
  <c r="F58" i="1" s="1"/>
  <c r="D136" i="1"/>
  <c r="D373" i="1"/>
  <c r="D380" i="1"/>
  <c r="F380" i="1" s="1"/>
  <c r="D252" i="1"/>
  <c r="D428" i="1"/>
  <c r="C428" i="1"/>
  <c r="C448" i="1"/>
  <c r="D448" i="1"/>
  <c r="E318" i="1"/>
  <c r="D318" i="1"/>
  <c r="C246" i="1"/>
  <c r="D246" i="1"/>
  <c r="C432" i="1"/>
  <c r="D432" i="1"/>
  <c r="F432" i="1"/>
  <c r="D284" i="1"/>
  <c r="F284" i="1" s="1"/>
  <c r="C284" i="1"/>
  <c r="D473" i="1"/>
  <c r="C473" i="1"/>
  <c r="E386" i="1"/>
  <c r="D386" i="1"/>
  <c r="C322" i="1"/>
  <c r="D466" i="1"/>
  <c r="C466" i="1"/>
  <c r="C427" i="1"/>
  <c r="F427" i="1"/>
  <c r="C431" i="1"/>
  <c r="E431" i="1"/>
  <c r="D301" i="1"/>
  <c r="C301" i="1"/>
  <c r="C259" i="1"/>
  <c r="D259" i="1"/>
  <c r="C404" i="1"/>
  <c r="E404" i="1" s="1"/>
  <c r="D404" i="1"/>
  <c r="C346" i="1"/>
  <c r="D346" i="1"/>
  <c r="C146" i="1"/>
  <c r="F146" i="1"/>
  <c r="D100" i="1"/>
  <c r="C100" i="1"/>
  <c r="D135" i="1"/>
  <c r="C135" i="1"/>
  <c r="C229" i="1"/>
  <c r="D229" i="1"/>
  <c r="C158" i="1"/>
  <c r="D158" i="1"/>
  <c r="C106" i="1"/>
  <c r="B52" i="1"/>
  <c r="C52" i="1"/>
  <c r="D52" i="1"/>
  <c r="C219" i="1"/>
  <c r="D219" i="1"/>
  <c r="D85" i="1"/>
  <c r="B85" i="1"/>
  <c r="C85" i="1"/>
  <c r="D232" i="1"/>
  <c r="C232" i="1"/>
  <c r="C115" i="1"/>
  <c r="D115" i="1"/>
  <c r="B64" i="1"/>
  <c r="C64" i="1"/>
  <c r="D64" i="1"/>
  <c r="C242" i="1"/>
  <c r="D242" i="1"/>
  <c r="C187" i="1"/>
  <c r="D187" i="1"/>
  <c r="B80" i="1"/>
  <c r="C80" i="1"/>
  <c r="D80" i="1"/>
  <c r="B36" i="1"/>
  <c r="C36" i="1"/>
  <c r="D36" i="1"/>
  <c r="C154" i="1"/>
  <c r="F154" i="1"/>
  <c r="B99" i="1"/>
  <c r="C99" i="1"/>
  <c r="D99" i="1"/>
  <c r="C420" i="1"/>
  <c r="D420" i="1"/>
  <c r="D454" i="1"/>
  <c r="C454" i="1"/>
  <c r="C17" i="1"/>
  <c r="B17" i="1"/>
  <c r="F17" i="1" s="1"/>
  <c r="C434" i="1"/>
  <c r="D434" i="1"/>
  <c r="E270" i="1"/>
  <c r="F270" i="1"/>
  <c r="F306" i="1"/>
  <c r="C306" i="1"/>
  <c r="D458" i="1"/>
  <c r="C458" i="1"/>
  <c r="C390" i="1"/>
  <c r="D390" i="1"/>
  <c r="C319" i="1"/>
  <c r="D319" i="1"/>
  <c r="C251" i="1"/>
  <c r="D251" i="1"/>
  <c r="C21" i="1"/>
  <c r="B21" i="1"/>
  <c r="C218" i="1"/>
  <c r="E218" i="1" s="1"/>
  <c r="C331" i="1"/>
  <c r="D331" i="1"/>
  <c r="E241" i="1"/>
  <c r="D241" i="1"/>
  <c r="C316" i="1"/>
  <c r="E316" i="1" s="1"/>
  <c r="D316" i="1"/>
  <c r="F316" i="1" s="1"/>
  <c r="D207" i="1"/>
  <c r="C207" i="1"/>
  <c r="D75" i="1"/>
  <c r="B75" i="1"/>
  <c r="C75" i="1"/>
  <c r="C397" i="1"/>
  <c r="D397" i="1"/>
  <c r="D21" i="1"/>
  <c r="C54" i="1"/>
  <c r="E54" i="1" s="1"/>
  <c r="D30" i="1"/>
  <c r="F30" i="1" s="1"/>
  <c r="D31" i="1"/>
  <c r="F31" i="1" s="1"/>
  <c r="D94" i="1"/>
  <c r="C136" i="1"/>
  <c r="E136" i="1" s="1"/>
  <c r="D215" i="1"/>
  <c r="F215" i="1" s="1"/>
  <c r="C280" i="1"/>
  <c r="E280" i="1" s="1"/>
  <c r="D443" i="1"/>
  <c r="F443" i="1" s="1"/>
  <c r="D450" i="1"/>
  <c r="F450" i="1" s="1"/>
  <c r="D471" i="1"/>
  <c r="F471" i="1" s="1"/>
  <c r="D368" i="1"/>
  <c r="F368" i="1" s="1"/>
  <c r="C442" i="1"/>
  <c r="D442" i="1"/>
  <c r="C354" i="1"/>
  <c r="D313" i="1"/>
  <c r="C313" i="1"/>
  <c r="D51" i="1"/>
  <c r="B51" i="1"/>
  <c r="C51" i="1"/>
  <c r="C421" i="1"/>
  <c r="D421" i="1"/>
  <c r="C274" i="1"/>
  <c r="D274" i="1"/>
  <c r="D462" i="1"/>
  <c r="C462" i="1"/>
  <c r="C320" i="1"/>
  <c r="C239" i="1"/>
  <c r="D239" i="1"/>
  <c r="C452" i="1"/>
  <c r="D452" i="1"/>
  <c r="C414" i="1"/>
  <c r="D414" i="1"/>
  <c r="C254" i="1"/>
  <c r="D254" i="1"/>
  <c r="C418" i="1"/>
  <c r="D418" i="1"/>
  <c r="D297" i="1"/>
  <c r="C297" i="1"/>
  <c r="D234" i="1"/>
  <c r="C234" i="1"/>
  <c r="C453" i="1"/>
  <c r="D453" i="1"/>
  <c r="C401" i="1"/>
  <c r="D401" i="1"/>
  <c r="C250" i="1"/>
  <c r="D250" i="1"/>
  <c r="D200" i="1"/>
  <c r="C200" i="1"/>
  <c r="C139" i="1"/>
  <c r="D139" i="1"/>
  <c r="C98" i="1"/>
  <c r="B98" i="1"/>
  <c r="D174" i="1"/>
  <c r="C174" i="1"/>
  <c r="D63" i="1"/>
  <c r="B63" i="1"/>
  <c r="C63" i="1"/>
  <c r="D93" i="1"/>
  <c r="B93" i="1"/>
  <c r="C93" i="1"/>
  <c r="C49" i="1"/>
  <c r="B49" i="1"/>
  <c r="D216" i="1"/>
  <c r="C216" i="1"/>
  <c r="C141" i="1"/>
  <c r="D228" i="1"/>
  <c r="C228" i="1"/>
  <c r="C178" i="1"/>
  <c r="D178" i="1"/>
  <c r="C112" i="1"/>
  <c r="D112" i="1"/>
  <c r="D55" i="1"/>
  <c r="B55" i="1"/>
  <c r="C55" i="1"/>
  <c r="C238" i="1"/>
  <c r="D238" i="1"/>
  <c r="B32" i="1"/>
  <c r="C32" i="1"/>
  <c r="D32" i="1"/>
  <c r="C203" i="1"/>
  <c r="D203" i="1"/>
  <c r="C147" i="1"/>
  <c r="D147" i="1"/>
  <c r="B76" i="1"/>
  <c r="C76" i="1"/>
  <c r="E395" i="1"/>
  <c r="F25" i="1"/>
  <c r="D470" i="1"/>
  <c r="C470" i="1"/>
  <c r="C311" i="1"/>
  <c r="D311" i="1"/>
  <c r="C451" i="1"/>
  <c r="D451" i="1"/>
  <c r="D302" i="1"/>
  <c r="C302" i="1"/>
  <c r="C422" i="1"/>
  <c r="D422" i="1"/>
  <c r="D210" i="1"/>
  <c r="C210" i="1"/>
  <c r="B60" i="1"/>
  <c r="C60" i="1"/>
  <c r="D60" i="1"/>
  <c r="C405" i="1"/>
  <c r="D405" i="1"/>
  <c r="D353" i="1"/>
  <c r="F353" i="1" s="1"/>
  <c r="C289" i="1"/>
  <c r="D289" i="1"/>
  <c r="D35" i="1"/>
  <c r="D84" i="1"/>
  <c r="C215" i="1"/>
  <c r="E215" i="1" s="1"/>
  <c r="D280" i="1"/>
  <c r="F280" i="1" s="1"/>
  <c r="D362" i="1"/>
  <c r="C233" i="1"/>
  <c r="E233" i="1" s="1"/>
  <c r="D356" i="1"/>
  <c r="D385" i="1"/>
  <c r="C443" i="1"/>
  <c r="E443" i="1" s="1"/>
  <c r="C383" i="1"/>
  <c r="E383" i="1" s="1"/>
  <c r="D271" i="1"/>
  <c r="C271" i="1"/>
  <c r="C430" i="1"/>
  <c r="D430" i="1"/>
  <c r="C419" i="1"/>
  <c r="F419" i="1"/>
  <c r="F330" i="1"/>
  <c r="C330" i="1"/>
  <c r="C266" i="1"/>
  <c r="D266" i="1"/>
  <c r="D436" i="1"/>
  <c r="C436" i="1"/>
  <c r="C312" i="1"/>
  <c r="D312" i="1"/>
  <c r="D217" i="1"/>
  <c r="C449" i="1"/>
  <c r="E449" i="1"/>
  <c r="C412" i="1"/>
  <c r="D412" i="1"/>
  <c r="D317" i="1"/>
  <c r="C317" i="1"/>
  <c r="C109" i="1"/>
  <c r="D109" i="1"/>
  <c r="C396" i="1"/>
  <c r="D396" i="1"/>
  <c r="C342" i="1"/>
  <c r="D342" i="1"/>
  <c r="F294" i="1"/>
  <c r="C294" i="1"/>
  <c r="D294" i="1"/>
  <c r="C191" i="1"/>
  <c r="D191" i="1"/>
  <c r="C441" i="1"/>
  <c r="D441" i="1"/>
  <c r="C398" i="1"/>
  <c r="D398" i="1"/>
  <c r="C231" i="1"/>
  <c r="D231" i="1"/>
  <c r="C198" i="1"/>
  <c r="D198" i="1"/>
  <c r="C127" i="1"/>
  <c r="D127" i="1"/>
  <c r="D171" i="1"/>
  <c r="C171" i="1"/>
  <c r="C113" i="1"/>
  <c r="D113" i="1"/>
  <c r="C29" i="1"/>
  <c r="B29" i="1"/>
  <c r="C145" i="1"/>
  <c r="D47" i="1"/>
  <c r="B47" i="1"/>
  <c r="C47" i="1"/>
  <c r="C202" i="1"/>
  <c r="D202" i="1"/>
  <c r="C134" i="1"/>
  <c r="C175" i="1"/>
  <c r="D175" i="1"/>
  <c r="C110" i="1"/>
  <c r="D43" i="1"/>
  <c r="B43" i="1"/>
  <c r="C43" i="1"/>
  <c r="C230" i="1"/>
  <c r="D230" i="1"/>
  <c r="D164" i="1"/>
  <c r="C164" i="1"/>
  <c r="C194" i="1"/>
  <c r="D194" i="1"/>
  <c r="C358" i="1"/>
  <c r="C403" i="1"/>
  <c r="F403" i="1"/>
  <c r="C423" i="1"/>
  <c r="E423" i="1"/>
  <c r="D39" i="1"/>
  <c r="B39" i="1"/>
  <c r="C39" i="1"/>
  <c r="C186" i="1"/>
  <c r="D186" i="1"/>
  <c r="C121" i="1"/>
  <c r="D121" i="1"/>
  <c r="D208" i="1"/>
  <c r="C208" i="1"/>
  <c r="F332" i="1"/>
  <c r="D387" i="1"/>
  <c r="E387" i="1"/>
  <c r="D298" i="1"/>
  <c r="C298" i="1"/>
  <c r="C456" i="1"/>
  <c r="D456" i="1"/>
  <c r="C416" i="1"/>
  <c r="D416" i="1"/>
  <c r="B56" i="1"/>
  <c r="D56" i="1"/>
  <c r="C56" i="1"/>
  <c r="C183" i="1"/>
  <c r="D183" i="1"/>
  <c r="C253" i="1"/>
  <c r="D253" i="1"/>
  <c r="C439" i="1"/>
  <c r="E439" i="1"/>
  <c r="C58" i="1"/>
  <c r="E58" i="1" s="1"/>
  <c r="D152" i="1"/>
  <c r="F152" i="1" s="1"/>
  <c r="C30" i="1"/>
  <c r="E30" i="1" s="1"/>
  <c r="D102" i="1"/>
  <c r="E217" i="1"/>
  <c r="C379" i="1"/>
  <c r="D371" i="1"/>
  <c r="F371" i="1" s="1"/>
  <c r="D407" i="1"/>
  <c r="D439" i="1"/>
  <c r="E385" i="1"/>
  <c r="D293" i="1"/>
  <c r="C293" i="1"/>
  <c r="B22" i="1"/>
  <c r="C22" i="1"/>
  <c r="D22" i="1"/>
  <c r="C424" i="1"/>
  <c r="D424" i="1"/>
  <c r="D285" i="1"/>
  <c r="C285" i="1"/>
  <c r="C469" i="1"/>
  <c r="D469" i="1"/>
  <c r="C394" i="1"/>
  <c r="D394" i="1"/>
  <c r="D327" i="1"/>
  <c r="C327" i="1"/>
  <c r="C262" i="1"/>
  <c r="E262" i="1"/>
  <c r="D262" i="1"/>
  <c r="C425" i="1"/>
  <c r="D425" i="1"/>
  <c r="D309" i="1"/>
  <c r="C309" i="1"/>
  <c r="D176" i="1"/>
  <c r="F176" i="1" s="1"/>
  <c r="C176" i="1"/>
  <c r="E176" i="1" s="1"/>
  <c r="C447" i="1"/>
  <c r="D447" i="1"/>
  <c r="C409" i="1"/>
  <c r="D409" i="1"/>
  <c r="F314" i="1"/>
  <c r="C314" i="1"/>
  <c r="D314" i="1"/>
  <c r="D91" i="1"/>
  <c r="B91" i="1"/>
  <c r="C91" i="1"/>
  <c r="C393" i="1"/>
  <c r="D393" i="1"/>
  <c r="C338" i="1"/>
  <c r="D338" i="1"/>
  <c r="D288" i="1"/>
  <c r="C288" i="1"/>
  <c r="C150" i="1"/>
  <c r="C435" i="1"/>
  <c r="D124" i="1"/>
  <c r="C124" i="1"/>
  <c r="D83" i="1"/>
  <c r="C83" i="1"/>
  <c r="B83" i="1"/>
  <c r="D168" i="1"/>
  <c r="F168" i="1" s="1"/>
  <c r="C168" i="1"/>
  <c r="E168" i="1" s="1"/>
  <c r="C104" i="1"/>
  <c r="D104" i="1"/>
  <c r="C255" i="1"/>
  <c r="D255" i="1"/>
  <c r="C138" i="1"/>
  <c r="B40" i="1"/>
  <c r="C40" i="1"/>
  <c r="D40" i="1"/>
  <c r="D192" i="1"/>
  <c r="C192" i="1"/>
  <c r="C221" i="1"/>
  <c r="D221" i="1"/>
  <c r="D172" i="1"/>
  <c r="C172" i="1"/>
  <c r="E172" i="1" s="1"/>
  <c r="C101" i="1"/>
  <c r="D101" i="1"/>
  <c r="B28" i="1"/>
  <c r="C28" i="1"/>
  <c r="D28" i="1"/>
  <c r="C211" i="1"/>
  <c r="D211" i="1"/>
  <c r="C151" i="1"/>
  <c r="D151" i="1"/>
  <c r="C129" i="1"/>
  <c r="D129" i="1"/>
  <c r="D67" i="1"/>
  <c r="B67" i="1"/>
  <c r="C67" i="1"/>
  <c r="C143" i="1"/>
  <c r="D143" i="1"/>
  <c r="C15" i="1"/>
  <c r="B15" i="1"/>
  <c r="E15" i="1" s="1"/>
  <c r="C315" i="1"/>
  <c r="D315" i="1"/>
  <c r="G27" i="1"/>
  <c r="G28" i="1"/>
  <c r="G29" i="1"/>
  <c r="G26" i="1"/>
  <c r="H27" i="1"/>
  <c r="H28" i="1"/>
  <c r="H29" i="1"/>
  <c r="H26" i="1"/>
  <c r="E161" i="1"/>
  <c r="F161" i="1"/>
  <c r="E284" i="1"/>
  <c r="F283" i="1"/>
  <c r="E283" i="1"/>
  <c r="F308" i="1"/>
  <c r="E308" i="1"/>
  <c r="E329" i="1"/>
  <c r="E248" i="1"/>
  <c r="F248" i="1"/>
  <c r="F86" i="1"/>
  <c r="E86" i="1"/>
  <c r="E81" i="1"/>
  <c r="F81" i="1"/>
  <c r="F84" i="1"/>
  <c r="E84" i="1"/>
  <c r="E173" i="1"/>
  <c r="F173" i="1"/>
  <c r="E228" i="1"/>
  <c r="F228" i="1"/>
  <c r="E132" i="1"/>
  <c r="F132" i="1"/>
  <c r="E201" i="1"/>
  <c r="F201" i="1"/>
  <c r="E299" i="1"/>
  <c r="F299" i="1"/>
  <c r="F374" i="1"/>
  <c r="E374" i="1"/>
  <c r="E348" i="1"/>
  <c r="F348" i="1"/>
  <c r="E373" i="1"/>
  <c r="F376" i="1"/>
  <c r="E376" i="1"/>
  <c r="E344" i="1"/>
  <c r="F344" i="1"/>
  <c r="F384" i="1"/>
  <c r="E384" i="1"/>
  <c r="E388" i="1"/>
  <c r="E225" i="1"/>
  <c r="F225" i="1"/>
  <c r="E89" i="1"/>
  <c r="F89" i="1"/>
  <c r="F130" i="1"/>
  <c r="E130" i="1"/>
  <c r="F281" i="1"/>
  <c r="F325" i="1"/>
  <c r="E325" i="1"/>
  <c r="F340" i="1"/>
  <c r="F233" i="1"/>
  <c r="E360" i="1"/>
  <c r="F360" i="1"/>
  <c r="E126" i="1"/>
  <c r="F126" i="1"/>
  <c r="E377" i="1"/>
  <c r="F377" i="1"/>
  <c r="E164" i="1"/>
  <c r="F164" i="1"/>
  <c r="E177" i="1"/>
  <c r="F177" i="1"/>
  <c r="E356" i="1"/>
  <c r="F356" i="1"/>
  <c r="F375" i="1"/>
  <c r="E375" i="1"/>
  <c r="F82" i="1"/>
  <c r="E82" i="1"/>
  <c r="E169" i="1"/>
  <c r="F169" i="1"/>
  <c r="F288" i="1"/>
  <c r="E288" i="1"/>
  <c r="E339" i="1"/>
  <c r="F339" i="1"/>
  <c r="E352" i="1"/>
  <c r="E380" i="1"/>
  <c r="E268" i="1"/>
  <c r="E152" i="1"/>
  <c r="E197" i="1"/>
  <c r="F197" i="1"/>
  <c r="E184" i="1"/>
  <c r="F184" i="1"/>
  <c r="F196" i="1"/>
  <c r="E236" i="1"/>
  <c r="F236" i="1"/>
  <c r="E303" i="1"/>
  <c r="F303" i="1"/>
  <c r="F369" i="1"/>
  <c r="E369" i="1"/>
  <c r="F389" i="1"/>
  <c r="E389" i="1"/>
  <c r="E277" i="1"/>
  <c r="F277" i="1"/>
  <c r="E156" i="1"/>
  <c r="F156" i="1"/>
  <c r="F136" i="1"/>
  <c r="E226" i="1"/>
  <c r="F226" i="1"/>
  <c r="F172" i="1"/>
  <c r="E204" i="1"/>
  <c r="F204" i="1"/>
  <c r="E193" i="1"/>
  <c r="F193" i="1"/>
  <c r="F209" i="1"/>
  <c r="E209" i="1"/>
  <c r="E273" i="1"/>
  <c r="F273" i="1"/>
  <c r="E335" i="1"/>
  <c r="F335" i="1"/>
  <c r="E371" i="1"/>
  <c r="E364" i="1"/>
  <c r="F364" i="1"/>
  <c r="E336" i="1"/>
  <c r="F372" i="1"/>
  <c r="E372" i="1"/>
  <c r="F383" i="1"/>
  <c r="H18" i="1"/>
  <c r="H19" i="1"/>
  <c r="G24" i="1"/>
  <c r="G18" i="1"/>
  <c r="G19" i="1"/>
  <c r="G21" i="1"/>
  <c r="H21" i="1"/>
  <c r="H23" i="1"/>
  <c r="H24" i="1"/>
  <c r="G25" i="1"/>
  <c r="G23" i="1"/>
  <c r="H25" i="1"/>
  <c r="F11" i="1"/>
  <c r="E11" i="1"/>
  <c r="E468" i="4" l="1"/>
  <c r="E161" i="4"/>
  <c r="E162" i="4"/>
  <c r="E83" i="4"/>
  <c r="E101" i="4"/>
  <c r="E462" i="4"/>
  <c r="E135" i="4"/>
  <c r="E357" i="4"/>
  <c r="E378" i="4"/>
  <c r="E306" i="4"/>
  <c r="E248" i="4"/>
  <c r="E191" i="4"/>
  <c r="E157" i="4"/>
  <c r="E347" i="4"/>
  <c r="E346" i="4"/>
  <c r="E103" i="4"/>
  <c r="E65" i="4"/>
  <c r="E466" i="4"/>
  <c r="E345" i="4"/>
  <c r="E458" i="4"/>
  <c r="E263" i="4"/>
  <c r="E20" i="4"/>
  <c r="E40" i="4"/>
  <c r="E124" i="4"/>
  <c r="E214" i="4"/>
  <c r="E265" i="4"/>
  <c r="E455" i="4"/>
  <c r="E430" i="4"/>
  <c r="E316" i="4"/>
  <c r="E146" i="4"/>
  <c r="E179" i="4"/>
  <c r="E341" i="4"/>
  <c r="E472" i="4"/>
  <c r="E419" i="4"/>
  <c r="E388" i="4"/>
  <c r="E77" i="4"/>
  <c r="E67" i="4"/>
  <c r="E78" i="4"/>
  <c r="E428" i="4"/>
  <c r="E293" i="4"/>
  <c r="E121" i="4"/>
  <c r="E172" i="4"/>
  <c r="E131" i="4"/>
  <c r="E118" i="4"/>
  <c r="E39" i="4"/>
  <c r="E406" i="4"/>
  <c r="E376" i="4"/>
  <c r="E361" i="4"/>
  <c r="E234" i="4"/>
  <c r="E271" i="4"/>
  <c r="E184" i="4"/>
  <c r="E255" i="4"/>
  <c r="E180" i="4"/>
  <c r="E343" i="4"/>
  <c r="E289" i="4"/>
  <c r="E282" i="4"/>
  <c r="E110" i="4"/>
  <c r="E445" i="4"/>
  <c r="E344" i="4"/>
  <c r="E315" i="4"/>
  <c r="E152" i="4"/>
  <c r="E182" i="4"/>
  <c r="E41" i="4"/>
  <c r="E338" i="4"/>
  <c r="E75" i="4"/>
  <c r="E58" i="4"/>
  <c r="E382" i="4"/>
  <c r="E420" i="4"/>
  <c r="E294" i="4"/>
  <c r="E249" i="4"/>
  <c r="E297" i="4"/>
  <c r="E352" i="4"/>
  <c r="E130" i="4"/>
  <c r="E73" i="4"/>
  <c r="E456" i="4"/>
  <c r="E403" i="4"/>
  <c r="E372" i="4"/>
  <c r="E61" i="4"/>
  <c r="E51" i="4"/>
  <c r="E260" i="4"/>
  <c r="E123" i="4"/>
  <c r="E451" i="4"/>
  <c r="E370" i="4"/>
  <c r="E109" i="4"/>
  <c r="E165" i="4"/>
  <c r="E443" i="4"/>
  <c r="E102" i="4"/>
  <c r="E74" i="4"/>
  <c r="E473" i="4"/>
  <c r="E424" i="4"/>
  <c r="E215" i="4"/>
  <c r="E450" i="4"/>
  <c r="E302" i="4"/>
  <c r="E257" i="4"/>
  <c r="E217" i="4"/>
  <c r="E31" i="4"/>
  <c r="E469" i="4"/>
  <c r="E238" i="4"/>
  <c r="E429" i="4"/>
  <c r="E336" i="4"/>
  <c r="E283" i="4"/>
  <c r="E202" i="4"/>
  <c r="E193" i="4"/>
  <c r="E166" i="4"/>
  <c r="E279" i="4"/>
  <c r="E96" i="4"/>
  <c r="E414" i="4"/>
  <c r="E242" i="4"/>
  <c r="E290" i="4"/>
  <c r="E192" i="4"/>
  <c r="E127" i="4"/>
  <c r="E196" i="4"/>
  <c r="E156" i="4"/>
  <c r="E353" i="4"/>
  <c r="E233" i="4"/>
  <c r="E187" i="4"/>
  <c r="E171" i="4"/>
  <c r="E286" i="4"/>
  <c r="E273" i="4"/>
  <c r="E300" i="4"/>
  <c r="E272" i="4"/>
  <c r="E246" i="4"/>
  <c r="E437" i="4"/>
  <c r="E307" i="4"/>
  <c r="E144" i="4"/>
  <c r="E174" i="4"/>
  <c r="E64" i="4"/>
  <c r="E457" i="4"/>
  <c r="E365" i="4"/>
  <c r="E418" i="4"/>
  <c r="E322" i="4"/>
  <c r="E342" i="4"/>
  <c r="E52" i="4"/>
  <c r="E173" i="4"/>
  <c r="E464" i="4"/>
  <c r="E411" i="4"/>
  <c r="E380" i="4"/>
  <c r="E42" i="4"/>
  <c r="E463" i="4"/>
  <c r="E413" i="4"/>
  <c r="E387" i="4"/>
  <c r="E320" i="4"/>
  <c r="E268" i="4"/>
  <c r="E177" i="4"/>
  <c r="E120" i="4"/>
  <c r="E150" i="4"/>
  <c r="E94" i="4"/>
  <c r="E112" i="4"/>
  <c r="E331" i="4"/>
  <c r="E168" i="4"/>
  <c r="E391" i="4"/>
  <c r="E190" i="4"/>
  <c r="E154" i="4"/>
  <c r="E145" i="4"/>
  <c r="E465" i="4"/>
  <c r="E374" i="4"/>
  <c r="E218" i="4"/>
  <c r="E351" i="4"/>
  <c r="E301" i="4"/>
  <c r="E367" i="4"/>
  <c r="E256" i="4"/>
  <c r="E199" i="4"/>
  <c r="E188" i="4"/>
  <c r="E211" i="4"/>
  <c r="E241" i="4"/>
  <c r="E69" i="4"/>
  <c r="E189" i="4"/>
  <c r="E70" i="4"/>
  <c r="E441" i="4"/>
  <c r="E349" i="4"/>
  <c r="E299" i="4"/>
  <c r="E186" i="4"/>
  <c r="E247" i="4"/>
  <c r="E261" i="4"/>
  <c r="E140" i="4"/>
  <c r="E405" i="4"/>
  <c r="E364" i="4"/>
  <c r="E335" i="4"/>
  <c r="E314" i="4"/>
  <c r="E32" i="4"/>
  <c r="E397" i="4"/>
  <c r="E45" i="4"/>
  <c r="E99" i="4"/>
  <c r="E76" i="4"/>
  <c r="E409" i="4"/>
  <c r="E239" i="4"/>
  <c r="E181" i="4"/>
  <c r="E86" i="4"/>
  <c r="E394" i="4"/>
  <c r="E309" i="4"/>
  <c r="E264" i="4"/>
  <c r="E210" i="4"/>
  <c r="F11" i="4"/>
  <c r="G11" i="4"/>
  <c r="G12" i="4" s="1"/>
  <c r="G13" i="4" s="1"/>
  <c r="G14" i="4" s="1"/>
  <c r="G15" i="4" s="1"/>
  <c r="G16" i="4" s="1"/>
  <c r="G17" i="4" s="1"/>
  <c r="G18" i="4" s="1"/>
  <c r="G19" i="4" s="1"/>
  <c r="E95" i="4"/>
  <c r="E459" i="4"/>
  <c r="E225" i="4"/>
  <c r="E436" i="4"/>
  <c r="E305" i="4"/>
  <c r="E220" i="4"/>
  <c r="E129" i="4"/>
  <c r="E133" i="4"/>
  <c r="E471" i="4"/>
  <c r="E421" i="4"/>
  <c r="E395" i="4"/>
  <c r="E390" i="4"/>
  <c r="E328" i="4"/>
  <c r="E276" i="4"/>
  <c r="E185" i="4"/>
  <c r="E128" i="4"/>
  <c r="E158" i="4"/>
  <c r="E149" i="4"/>
  <c r="E470" i="4"/>
  <c r="E434" i="4"/>
  <c r="E339" i="4"/>
  <c r="E366" i="4"/>
  <c r="E298" i="4"/>
  <c r="E155" i="4"/>
  <c r="E71" i="4"/>
  <c r="E412" i="4"/>
  <c r="E42" i="2"/>
  <c r="G13" i="2"/>
  <c r="G14" i="2" s="1"/>
  <c r="G15" i="2" s="1"/>
  <c r="G16" i="2" s="1"/>
  <c r="G17" i="2" s="1"/>
  <c r="G18" i="2" s="1"/>
  <c r="G19" i="2" s="1"/>
  <c r="G20" i="2" s="1"/>
  <c r="G21" i="2" s="1"/>
  <c r="G22" i="2" s="1"/>
  <c r="G23" i="2" s="1"/>
  <c r="G24" i="2" s="1"/>
  <c r="G25" i="2" s="1"/>
  <c r="G26" i="2" s="1"/>
  <c r="G27" i="2" s="1"/>
  <c r="G28" i="2" s="1"/>
  <c r="H11" i="2"/>
  <c r="E281" i="2"/>
  <c r="E318" i="2"/>
  <c r="E176" i="2"/>
  <c r="E353" i="2"/>
  <c r="E305" i="2"/>
  <c r="E117" i="2"/>
  <c r="E280" i="2"/>
  <c r="E214" i="2"/>
  <c r="E452" i="2"/>
  <c r="E326" i="2"/>
  <c r="E64" i="2"/>
  <c r="E394" i="2"/>
  <c r="E230" i="2"/>
  <c r="E178" i="2"/>
  <c r="E304" i="2"/>
  <c r="E196" i="2"/>
  <c r="E251" i="2"/>
  <c r="E76" i="2"/>
  <c r="E151" i="2"/>
  <c r="E435" i="2"/>
  <c r="E364" i="2"/>
  <c r="E222" i="2"/>
  <c r="E212" i="2"/>
  <c r="E275" i="2"/>
  <c r="E126" i="2"/>
  <c r="E463" i="2"/>
  <c r="E358" i="2"/>
  <c r="E235" i="2"/>
  <c r="E187" i="2"/>
  <c r="E382" i="2"/>
  <c r="E246" i="2"/>
  <c r="E306" i="2"/>
  <c r="E465" i="2"/>
  <c r="E184" i="2"/>
  <c r="E69" i="2"/>
  <c r="E381" i="2"/>
  <c r="E146" i="2"/>
  <c r="E386" i="2"/>
  <c r="E118" i="2"/>
  <c r="E221" i="2"/>
  <c r="E170" i="2"/>
  <c r="E363" i="2"/>
  <c r="E255" i="2"/>
  <c r="E127" i="2"/>
  <c r="E299" i="2"/>
  <c r="E457" i="2"/>
  <c r="E295" i="2"/>
  <c r="E276" i="2"/>
  <c r="E237" i="2"/>
  <c r="E134" i="2"/>
  <c r="E298" i="2"/>
  <c r="E65" i="2"/>
  <c r="E428" i="2"/>
  <c r="E427" i="2"/>
  <c r="E262" i="2"/>
  <c r="E150" i="2"/>
  <c r="E324" i="2"/>
  <c r="E345" i="2"/>
  <c r="E109" i="2"/>
  <c r="E360" i="2"/>
  <c r="E285" i="2"/>
  <c r="E374" i="2"/>
  <c r="E392" i="2"/>
  <c r="E198" i="2"/>
  <c r="E291" i="2"/>
  <c r="E115" i="2"/>
  <c r="E188" i="2"/>
  <c r="E379" i="2"/>
  <c r="E286" i="2"/>
  <c r="E329" i="2"/>
  <c r="E464" i="2"/>
  <c r="E245" i="2"/>
  <c r="E185" i="2"/>
  <c r="E349" i="2"/>
  <c r="E412" i="2"/>
  <c r="E439" i="2"/>
  <c r="E200" i="2"/>
  <c r="E60" i="2"/>
  <c r="E328" i="2"/>
  <c r="E354" i="2"/>
  <c r="E122" i="2"/>
  <c r="E128" i="2"/>
  <c r="E265" i="2"/>
  <c r="E147" i="2"/>
  <c r="E416" i="2"/>
  <c r="E272" i="2"/>
  <c r="E397" i="2"/>
  <c r="E310" i="2"/>
  <c r="E459" i="2"/>
  <c r="E414" i="2"/>
  <c r="E108" i="2"/>
  <c r="E130" i="2"/>
  <c r="E448" i="2"/>
  <c r="E422" i="2"/>
  <c r="E333" i="2"/>
  <c r="E400" i="2"/>
  <c r="E267" i="2"/>
  <c r="E311" i="2"/>
  <c r="E247" i="2"/>
  <c r="E152" i="2"/>
  <c r="E391" i="2"/>
  <c r="E274" i="2"/>
  <c r="E315" i="2"/>
  <c r="E252" i="2"/>
  <c r="E410" i="2"/>
  <c r="E296" i="2"/>
  <c r="E194" i="2"/>
  <c r="E395" i="2"/>
  <c r="E50" i="2"/>
  <c r="E47" i="2"/>
  <c r="E72" i="2"/>
  <c r="E113" i="2"/>
  <c r="E236" i="2"/>
  <c r="E240" i="2"/>
  <c r="E181" i="2"/>
  <c r="E201" i="2"/>
  <c r="E204" i="2"/>
  <c r="E144" i="2"/>
  <c r="E340" i="2"/>
  <c r="E339" i="2"/>
  <c r="E183" i="2"/>
  <c r="E335" i="2"/>
  <c r="E141" i="2"/>
  <c r="E37" i="2"/>
  <c r="E380" i="2"/>
  <c r="E322" i="2"/>
  <c r="E153" i="2"/>
  <c r="E373" i="2"/>
  <c r="E350" i="2"/>
  <c r="E462" i="2"/>
  <c r="E301" i="2"/>
  <c r="E278" i="2"/>
  <c r="E29" i="2"/>
  <c r="E73" i="2"/>
  <c r="E30" i="2"/>
  <c r="E77" i="2"/>
  <c r="E271" i="2"/>
  <c r="E419" i="2"/>
  <c r="E429" i="2"/>
  <c r="E449" i="2"/>
  <c r="E447" i="2"/>
  <c r="E219" i="2"/>
  <c r="E173" i="2"/>
  <c r="E440" i="2"/>
  <c r="E314" i="2"/>
  <c r="E257" i="2"/>
  <c r="E268" i="2"/>
  <c r="E203" i="2"/>
  <c r="E223" i="2"/>
  <c r="E119" i="2"/>
  <c r="E471" i="2"/>
  <c r="E288" i="2"/>
  <c r="E361" i="2"/>
  <c r="E192" i="2"/>
  <c r="E366" i="2"/>
  <c r="E454" i="2"/>
  <c r="E331" i="2"/>
  <c r="E297" i="2"/>
  <c r="E355" i="2"/>
  <c r="E213" i="2"/>
  <c r="E390" i="2"/>
  <c r="E370" i="2"/>
  <c r="E367" i="2"/>
  <c r="E234" i="2"/>
  <c r="E51" i="2"/>
  <c r="E66" i="2"/>
  <c r="E57" i="2"/>
  <c r="E341" i="2"/>
  <c r="E404" i="2"/>
  <c r="E420" i="2"/>
  <c r="E352" i="2"/>
  <c r="E254" i="2"/>
  <c r="E142" i="2"/>
  <c r="E140" i="2"/>
  <c r="E438" i="2"/>
  <c r="E337" i="2"/>
  <c r="E138" i="2"/>
  <c r="E135" i="2"/>
  <c r="E409" i="2"/>
  <c r="E139" i="2"/>
  <c r="E157" i="2"/>
  <c r="E408" i="2"/>
  <c r="E433" i="2"/>
  <c r="E238" i="2"/>
  <c r="E233" i="2"/>
  <c r="E244" i="2"/>
  <c r="E407" i="2"/>
  <c r="E133" i="2"/>
  <c r="E167" i="2"/>
  <c r="E372" i="2"/>
  <c r="E217" i="2"/>
  <c r="E228" i="2"/>
  <c r="E163" i="2"/>
  <c r="E137" i="2"/>
  <c r="E443" i="2"/>
  <c r="E453" i="2"/>
  <c r="E456" i="2"/>
  <c r="E375" i="2"/>
  <c r="E377" i="2"/>
  <c r="E290" i="2"/>
  <c r="E225" i="2"/>
  <c r="E171" i="2"/>
  <c r="E148" i="2"/>
  <c r="E289" i="2"/>
  <c r="E399" i="2"/>
  <c r="E431" i="2"/>
  <c r="E218" i="2"/>
  <c r="E145" i="2"/>
  <c r="E472" i="2"/>
  <c r="E125" i="2"/>
  <c r="E186" i="2"/>
  <c r="E166" i="2"/>
  <c r="E293" i="2"/>
  <c r="E193" i="2"/>
  <c r="E287" i="2"/>
  <c r="E300" i="2"/>
  <c r="E467" i="2"/>
  <c r="E336" i="2"/>
  <c r="E179" i="2"/>
  <c r="E177" i="2"/>
  <c r="E243" i="2"/>
  <c r="E266" i="2"/>
  <c r="E164" i="2"/>
  <c r="E376" i="2"/>
  <c r="E263" i="2"/>
  <c r="E442" i="2"/>
  <c r="E351" i="2"/>
  <c r="E253" i="2"/>
  <c r="E398" i="2"/>
  <c r="E430" i="2"/>
  <c r="E303" i="2"/>
  <c r="E154" i="2"/>
  <c r="E104" i="2"/>
  <c r="E413" i="2"/>
  <c r="E401" i="2"/>
  <c r="E207" i="2"/>
  <c r="E383" i="2"/>
  <c r="E473" i="2"/>
  <c r="E444" i="2"/>
  <c r="E378" i="2"/>
  <c r="E342" i="2"/>
  <c r="E321" i="2"/>
  <c r="E110" i="2"/>
  <c r="E232" i="2"/>
  <c r="E264" i="2"/>
  <c r="E107" i="2"/>
  <c r="E387" i="2"/>
  <c r="E402" i="2"/>
  <c r="E389" i="2"/>
  <c r="E426" i="2"/>
  <c r="E190" i="2"/>
  <c r="E143" i="2"/>
  <c r="E180" i="2"/>
  <c r="E224" i="2"/>
  <c r="E39" i="2"/>
  <c r="E52" i="2"/>
  <c r="E259" i="2"/>
  <c r="E284" i="2"/>
  <c r="E168" i="2"/>
  <c r="E320" i="2"/>
  <c r="E105" i="2"/>
  <c r="E461" i="2"/>
  <c r="E385" i="2"/>
  <c r="E316" i="2"/>
  <c r="E101" i="2"/>
  <c r="E189" i="2"/>
  <c r="E332" i="2"/>
  <c r="E365" i="2"/>
  <c r="E458" i="2"/>
  <c r="E162" i="2"/>
  <c r="E327" i="2"/>
  <c r="E175" i="2"/>
  <c r="E468" i="2"/>
  <c r="E302" i="2"/>
  <c r="E206" i="2"/>
  <c r="E307" i="2"/>
  <c r="E451" i="2"/>
  <c r="E131" i="2"/>
  <c r="E269" i="2"/>
  <c r="E210" i="2"/>
  <c r="E82" i="2"/>
  <c r="E84" i="2"/>
  <c r="E35" i="2"/>
  <c r="E83" i="2"/>
  <c r="E460" i="2"/>
  <c r="E294" i="2"/>
  <c r="E182" i="2"/>
  <c r="E396" i="2"/>
  <c r="E111" i="2"/>
  <c r="E258" i="2"/>
  <c r="E172" i="2"/>
  <c r="E242" i="2"/>
  <c r="E330" i="2"/>
  <c r="E239" i="2"/>
  <c r="E346" i="2"/>
  <c r="E356" i="2"/>
  <c r="E114" i="2"/>
  <c r="E469" i="2"/>
  <c r="E470" i="2"/>
  <c r="E112" i="2"/>
  <c r="E317" i="2"/>
  <c r="E229" i="2"/>
  <c r="E136" i="2"/>
  <c r="E406" i="2"/>
  <c r="E205" i="2"/>
  <c r="E384" i="2"/>
  <c r="E270" i="2"/>
  <c r="E277" i="2"/>
  <c r="E283" i="2"/>
  <c r="E121" i="2"/>
  <c r="E227" i="2"/>
  <c r="E455" i="2"/>
  <c r="E325" i="2"/>
  <c r="I11" i="2"/>
  <c r="F12" i="2"/>
  <c r="F13" i="2" s="1"/>
  <c r="E80" i="2"/>
  <c r="E43" i="2"/>
  <c r="E92" i="2"/>
  <c r="E54" i="2"/>
  <c r="E67" i="2"/>
  <c r="E58" i="2"/>
  <c r="E78" i="2"/>
  <c r="E95" i="2"/>
  <c r="E98" i="2"/>
  <c r="E75" i="2"/>
  <c r="E34" i="2"/>
  <c r="E93" i="2"/>
  <c r="E70" i="2"/>
  <c r="E88" i="2"/>
  <c r="E96" i="2"/>
  <c r="E91" i="2"/>
  <c r="E55" i="2"/>
  <c r="E94" i="2"/>
  <c r="E89" i="2"/>
  <c r="E59" i="2"/>
  <c r="E79" i="2"/>
  <c r="E63" i="2"/>
  <c r="E38" i="2"/>
  <c r="E97" i="2"/>
  <c r="E74" i="2"/>
  <c r="E100" i="2"/>
  <c r="E46" i="2"/>
  <c r="E71" i="2"/>
  <c r="E85" i="2"/>
  <c r="E62" i="2"/>
  <c r="F310" i="1"/>
  <c r="F300" i="1"/>
  <c r="F223" i="1"/>
  <c r="F359" i="1"/>
  <c r="F264" i="1"/>
  <c r="E291" i="1"/>
  <c r="E381" i="1"/>
  <c r="E363" i="1"/>
  <c r="F194" i="1"/>
  <c r="F19" i="1"/>
  <c r="E87" i="1"/>
  <c r="F367" i="1"/>
  <c r="E424" i="1"/>
  <c r="F268" i="1"/>
  <c r="E165" i="1"/>
  <c r="F343" i="1"/>
  <c r="E298" i="1"/>
  <c r="F351" i="1"/>
  <c r="E272" i="1"/>
  <c r="E185" i="1"/>
  <c r="F213" i="1"/>
  <c r="F202" i="1"/>
  <c r="F289" i="1"/>
  <c r="F319" i="1"/>
  <c r="J20" i="1"/>
  <c r="J22" i="1"/>
  <c r="F385" i="1"/>
  <c r="E355" i="1"/>
  <c r="F148" i="1"/>
  <c r="E55" i="1"/>
  <c r="F297" i="1"/>
  <c r="F292" i="1"/>
  <c r="E189" i="1"/>
  <c r="F301" i="1"/>
  <c r="E350" i="1"/>
  <c r="E45" i="1"/>
  <c r="E137" i="1"/>
  <c r="F287" i="1"/>
  <c r="E98" i="1"/>
  <c r="F21" i="1"/>
  <c r="F420" i="1"/>
  <c r="F362" i="1"/>
  <c r="F15" i="1"/>
  <c r="H22" i="1" s="1"/>
  <c r="F276" i="1"/>
  <c r="E181" i="1"/>
  <c r="E202" i="1"/>
  <c r="F307" i="1"/>
  <c r="E319" i="1"/>
  <c r="E306" i="1"/>
  <c r="E258" i="1"/>
  <c r="F407" i="1"/>
  <c r="E304" i="1"/>
  <c r="F59" i="1"/>
  <c r="E14" i="1"/>
  <c r="F14" i="1"/>
  <c r="F296" i="1"/>
  <c r="E254" i="1"/>
  <c r="F71" i="1"/>
  <c r="E205" i="1"/>
  <c r="F309" i="1"/>
  <c r="E134" i="1"/>
  <c r="E145" i="1"/>
  <c r="E317" i="1"/>
  <c r="F266" i="1"/>
  <c r="F246" i="1"/>
  <c r="E428" i="1"/>
  <c r="F137" i="1"/>
  <c r="E19" i="1"/>
  <c r="E332" i="1"/>
  <c r="E293" i="1"/>
  <c r="F153" i="1"/>
  <c r="F298" i="1"/>
  <c r="E194" i="1"/>
  <c r="F43" i="1"/>
  <c r="E246" i="1"/>
  <c r="F258" i="1"/>
  <c r="E407" i="1"/>
  <c r="E307" i="1"/>
  <c r="E76" i="1"/>
  <c r="E141" i="1"/>
  <c r="F250" i="1"/>
  <c r="E354" i="1"/>
  <c r="E287" i="1"/>
  <c r="E75" i="1"/>
  <c r="E426" i="1"/>
  <c r="F426" i="1"/>
  <c r="F160" i="1"/>
  <c r="E435" i="1"/>
  <c r="E314" i="1"/>
  <c r="F262" i="1"/>
  <c r="E412" i="1"/>
  <c r="F373" i="1"/>
  <c r="E420" i="1"/>
  <c r="E415" i="1"/>
  <c r="E358" i="1"/>
  <c r="F436" i="1"/>
  <c r="E436" i="1"/>
  <c r="F32" i="1"/>
  <c r="E32" i="1"/>
  <c r="F207" i="1"/>
  <c r="E207" i="1"/>
  <c r="E219" i="1"/>
  <c r="F219" i="1"/>
  <c r="E322" i="1"/>
  <c r="F143" i="1"/>
  <c r="E143" i="1"/>
  <c r="E83" i="1"/>
  <c r="F83" i="1"/>
  <c r="F150" i="1"/>
  <c r="E150" i="1"/>
  <c r="E393" i="1"/>
  <c r="F393" i="1"/>
  <c r="F469" i="1"/>
  <c r="E469" i="1"/>
  <c r="E39" i="1"/>
  <c r="F39" i="1"/>
  <c r="F171" i="1"/>
  <c r="E171" i="1"/>
  <c r="E441" i="1"/>
  <c r="F441" i="1"/>
  <c r="F435" i="1"/>
  <c r="E112" i="1"/>
  <c r="F112" i="1"/>
  <c r="E139" i="1"/>
  <c r="F139" i="1"/>
  <c r="E250" i="1"/>
  <c r="F234" i="1"/>
  <c r="E234" i="1"/>
  <c r="F254" i="1"/>
  <c r="E452" i="1"/>
  <c r="F452" i="1"/>
  <c r="E51" i="1"/>
  <c r="F51" i="1"/>
  <c r="F431" i="1"/>
  <c r="F145" i="1"/>
  <c r="F242" i="1"/>
  <c r="E242" i="1"/>
  <c r="F232" i="1"/>
  <c r="E232" i="1"/>
  <c r="E100" i="1"/>
  <c r="F100" i="1"/>
  <c r="F404" i="1"/>
  <c r="F326" i="1"/>
  <c r="E68" i="1"/>
  <c r="F68" i="1"/>
  <c r="E44" i="1"/>
  <c r="F44" i="1"/>
  <c r="E460" i="1"/>
  <c r="F460" i="1"/>
  <c r="F461" i="1"/>
  <c r="E461" i="1"/>
  <c r="F48" i="1"/>
  <c r="E48" i="1"/>
  <c r="E445" i="1"/>
  <c r="F445" i="1"/>
  <c r="E392" i="1"/>
  <c r="F392" i="1"/>
  <c r="E400" i="1"/>
  <c r="F400" i="1"/>
  <c r="E379" i="1"/>
  <c r="F379" i="1"/>
  <c r="E160" i="1"/>
  <c r="F252" i="1"/>
  <c r="E151" i="1"/>
  <c r="F151" i="1"/>
  <c r="F192" i="1"/>
  <c r="E192" i="1"/>
  <c r="E409" i="1"/>
  <c r="F409" i="1"/>
  <c r="E309" i="1"/>
  <c r="F439" i="1"/>
  <c r="F102" i="1"/>
  <c r="E56" i="1"/>
  <c r="F56" i="1"/>
  <c r="E43" i="1"/>
  <c r="F342" i="1"/>
  <c r="E342" i="1"/>
  <c r="F317" i="1"/>
  <c r="F217" i="1"/>
  <c r="E266" i="1"/>
  <c r="F405" i="1"/>
  <c r="E405" i="1"/>
  <c r="F134" i="1"/>
  <c r="E470" i="1"/>
  <c r="F470" i="1"/>
  <c r="F147" i="1"/>
  <c r="E147" i="1"/>
  <c r="F216" i="1"/>
  <c r="E216" i="1"/>
  <c r="E63" i="1"/>
  <c r="F63" i="1"/>
  <c r="E397" i="1"/>
  <c r="F397" i="1"/>
  <c r="E17" i="1"/>
  <c r="E146" i="1"/>
  <c r="E427" i="1"/>
  <c r="F386" i="1"/>
  <c r="E432" i="1"/>
  <c r="F354" i="1"/>
  <c r="E305" i="1"/>
  <c r="F159" i="1"/>
  <c r="E159" i="1"/>
  <c r="E245" i="1"/>
  <c r="F245" i="1"/>
  <c r="E142" i="1"/>
  <c r="F142" i="1"/>
  <c r="E107" i="1"/>
  <c r="F107" i="1"/>
  <c r="E275" i="1"/>
  <c r="F275" i="1"/>
  <c r="F278" i="1"/>
  <c r="E278" i="1"/>
  <c r="F286" i="1"/>
  <c r="E286" i="1"/>
  <c r="F465" i="1"/>
  <c r="E465" i="1"/>
  <c r="E97" i="1"/>
  <c r="F97" i="1"/>
  <c r="E166" i="1"/>
  <c r="F166" i="1"/>
  <c r="E118" i="1"/>
  <c r="F118" i="1"/>
  <c r="E265" i="1"/>
  <c r="F265" i="1"/>
  <c r="E206" i="1"/>
  <c r="F206" i="1"/>
  <c r="F183" i="1"/>
  <c r="E183" i="1"/>
  <c r="E186" i="1"/>
  <c r="F186" i="1"/>
  <c r="F251" i="1"/>
  <c r="E251" i="1"/>
  <c r="F434" i="1"/>
  <c r="E434" i="1"/>
  <c r="E222" i="1"/>
  <c r="F222" i="1"/>
  <c r="E96" i="1"/>
  <c r="F96" i="1"/>
  <c r="E162" i="1"/>
  <c r="F162" i="1"/>
  <c r="E249" i="1"/>
  <c r="F249" i="1"/>
  <c r="E111" i="1"/>
  <c r="F111" i="1"/>
  <c r="F167" i="1"/>
  <c r="E167" i="1"/>
  <c r="E28" i="1"/>
  <c r="F28" i="1"/>
  <c r="F449" i="1"/>
  <c r="F456" i="1"/>
  <c r="E456" i="1"/>
  <c r="F175" i="1"/>
  <c r="E175" i="1"/>
  <c r="F37" i="1"/>
  <c r="E37" i="1"/>
  <c r="E108" i="1"/>
  <c r="F108" i="1"/>
  <c r="E366" i="1"/>
  <c r="F366" i="1"/>
  <c r="E444" i="1"/>
  <c r="F444" i="1"/>
  <c r="E231" i="1"/>
  <c r="F231" i="1"/>
  <c r="F35" i="1"/>
  <c r="E238" i="1"/>
  <c r="F238" i="1"/>
  <c r="E119" i="1"/>
  <c r="F119" i="1"/>
  <c r="F453" i="1"/>
  <c r="E453" i="1"/>
  <c r="F418" i="1"/>
  <c r="E418" i="1"/>
  <c r="E115" i="1"/>
  <c r="F115" i="1"/>
  <c r="E92" i="1"/>
  <c r="F92" i="1"/>
  <c r="F128" i="1"/>
  <c r="E128" i="1"/>
  <c r="F221" i="1"/>
  <c r="E221" i="1"/>
  <c r="E208" i="1"/>
  <c r="F208" i="1"/>
  <c r="E311" i="1"/>
  <c r="F311" i="1"/>
  <c r="E462" i="1"/>
  <c r="F462" i="1"/>
  <c r="E36" i="1"/>
  <c r="F36" i="1"/>
  <c r="E158" i="1"/>
  <c r="F158" i="1"/>
  <c r="E448" i="1"/>
  <c r="F448" i="1"/>
  <c r="E417" i="1"/>
  <c r="F417" i="1"/>
  <c r="E125" i="1"/>
  <c r="F125" i="1"/>
  <c r="E438" i="1"/>
  <c r="F438" i="1"/>
  <c r="E35" i="1"/>
  <c r="F255" i="1"/>
  <c r="E255" i="1"/>
  <c r="E127" i="1"/>
  <c r="F127" i="1"/>
  <c r="F313" i="1"/>
  <c r="E313" i="1"/>
  <c r="F229" i="1"/>
  <c r="E229" i="1"/>
  <c r="F163" i="1"/>
  <c r="E163" i="1"/>
  <c r="F131" i="1"/>
  <c r="E131" i="1"/>
  <c r="F267" i="1"/>
  <c r="E267" i="1"/>
  <c r="E440" i="1"/>
  <c r="F440" i="1"/>
  <c r="E279" i="1"/>
  <c r="F279" i="1"/>
  <c r="E257" i="1"/>
  <c r="F257" i="1"/>
  <c r="E315" i="1"/>
  <c r="F315" i="1"/>
  <c r="F91" i="1"/>
  <c r="E91" i="1"/>
  <c r="E327" i="1"/>
  <c r="F327" i="1"/>
  <c r="E253" i="1"/>
  <c r="F253" i="1"/>
  <c r="E416" i="1"/>
  <c r="F387" i="1"/>
  <c r="F121" i="1"/>
  <c r="E121" i="1"/>
  <c r="E110" i="1"/>
  <c r="F110" i="1"/>
  <c r="F191" i="1"/>
  <c r="E191" i="1"/>
  <c r="F312" i="1"/>
  <c r="E312" i="1"/>
  <c r="E330" i="1"/>
  <c r="E271" i="1"/>
  <c r="F271" i="1"/>
  <c r="E451" i="1"/>
  <c r="F451" i="1"/>
  <c r="E178" i="1"/>
  <c r="F178" i="1"/>
  <c r="E49" i="1"/>
  <c r="E200" i="1"/>
  <c r="F200" i="1"/>
  <c r="E297" i="1"/>
  <c r="F239" i="1"/>
  <c r="E239" i="1"/>
  <c r="F358" i="1"/>
  <c r="F241" i="1"/>
  <c r="E21" i="1"/>
  <c r="E390" i="1"/>
  <c r="E454" i="1"/>
  <c r="F454" i="1"/>
  <c r="E154" i="1"/>
  <c r="E64" i="1"/>
  <c r="F64" i="1"/>
  <c r="F85" i="1"/>
  <c r="E85" i="1"/>
  <c r="E106" i="1"/>
  <c r="E259" i="1"/>
  <c r="F259" i="1"/>
  <c r="F428" i="1"/>
  <c r="F141" i="1"/>
  <c r="E133" i="1"/>
  <c r="F188" i="1"/>
  <c r="E188" i="1"/>
  <c r="F305" i="1"/>
  <c r="F446" i="1"/>
  <c r="E446" i="1"/>
  <c r="E71" i="1"/>
  <c r="E59" i="1"/>
  <c r="E263" i="1"/>
  <c r="F263" i="1"/>
  <c r="E429" i="1"/>
  <c r="F429" i="1"/>
  <c r="E399" i="1"/>
  <c r="F45" i="1"/>
  <c r="E117" i="1"/>
  <c r="F117" i="1"/>
  <c r="E120" i="1"/>
  <c r="F120" i="1"/>
  <c r="E94" i="1"/>
  <c r="F94" i="1"/>
  <c r="E116" i="1"/>
  <c r="F116" i="1"/>
  <c r="E105" i="1"/>
  <c r="F105" i="1"/>
  <c r="E199" i="1"/>
  <c r="F199" i="1"/>
  <c r="E227" i="1"/>
  <c r="F227" i="1"/>
  <c r="F179" i="1"/>
  <c r="E179" i="1"/>
  <c r="F415" i="1"/>
  <c r="F338" i="1"/>
  <c r="E338" i="1"/>
  <c r="E113" i="1"/>
  <c r="F113" i="1"/>
  <c r="E302" i="1"/>
  <c r="F302" i="1"/>
  <c r="E95" i="1"/>
  <c r="F95" i="1"/>
  <c r="F79" i="1"/>
  <c r="E79" i="1"/>
  <c r="F430" i="1"/>
  <c r="E430" i="1"/>
  <c r="E442" i="1"/>
  <c r="F442" i="1"/>
  <c r="E468" i="1"/>
  <c r="F468" i="1"/>
  <c r="E411" i="1"/>
  <c r="E402" i="1"/>
  <c r="F402" i="1"/>
  <c r="E67" i="1"/>
  <c r="F67" i="1"/>
  <c r="E22" i="1"/>
  <c r="F22" i="1"/>
  <c r="F29" i="1"/>
  <c r="E29" i="1"/>
  <c r="E274" i="1"/>
  <c r="F274" i="1"/>
  <c r="F80" i="1"/>
  <c r="E80" i="1"/>
  <c r="E52" i="1"/>
  <c r="F52" i="1"/>
  <c r="E20" i="1"/>
  <c r="F20" i="1"/>
  <c r="E261" i="1"/>
  <c r="F261" i="1"/>
  <c r="F423" i="1"/>
  <c r="E211" i="1"/>
  <c r="F211" i="1"/>
  <c r="F447" i="1"/>
  <c r="E447" i="1"/>
  <c r="E425" i="1"/>
  <c r="F425" i="1"/>
  <c r="E394" i="1"/>
  <c r="F394" i="1"/>
  <c r="E285" i="1"/>
  <c r="F285" i="1"/>
  <c r="F98" i="1"/>
  <c r="F416" i="1"/>
  <c r="E398" i="1"/>
  <c r="F398" i="1"/>
  <c r="E396" i="1"/>
  <c r="F396" i="1"/>
  <c r="E203" i="1"/>
  <c r="F203" i="1"/>
  <c r="F174" i="1"/>
  <c r="E174" i="1"/>
  <c r="F414" i="1"/>
  <c r="E414" i="1"/>
  <c r="E320" i="1"/>
  <c r="F320" i="1"/>
  <c r="E421" i="1"/>
  <c r="F421" i="1"/>
  <c r="F390" i="1"/>
  <c r="E135" i="1"/>
  <c r="F135" i="1"/>
  <c r="F466" i="1"/>
  <c r="E466" i="1"/>
  <c r="F473" i="1"/>
  <c r="E473" i="1"/>
  <c r="F170" i="1"/>
  <c r="E170" i="1"/>
  <c r="F472" i="1"/>
  <c r="E472" i="1"/>
  <c r="E195" i="1"/>
  <c r="F195" i="1"/>
  <c r="E406" i="1"/>
  <c r="F406" i="1"/>
  <c r="E410" i="1"/>
  <c r="F410" i="1"/>
  <c r="F350" i="1"/>
  <c r="E155" i="1"/>
  <c r="F155" i="1"/>
  <c r="E243" i="1"/>
  <c r="F243" i="1"/>
  <c r="F437" i="1"/>
  <c r="E437" i="1"/>
  <c r="F295" i="1"/>
  <c r="E295" i="1"/>
  <c r="E247" i="1"/>
  <c r="F247" i="1"/>
  <c r="F157" i="1"/>
  <c r="E157" i="1"/>
  <c r="F133" i="1"/>
  <c r="F138" i="1"/>
  <c r="E138" i="1"/>
  <c r="F47" i="1"/>
  <c r="E47" i="1"/>
  <c r="F93" i="1"/>
  <c r="E93" i="1"/>
  <c r="E413" i="1"/>
  <c r="F413" i="1"/>
  <c r="E230" i="1"/>
  <c r="F230" i="1"/>
  <c r="E109" i="1"/>
  <c r="F109" i="1"/>
  <c r="E210" i="1"/>
  <c r="F210" i="1"/>
  <c r="E123" i="1"/>
  <c r="F123" i="1"/>
  <c r="E101" i="1"/>
  <c r="F101" i="1"/>
  <c r="E422" i="1"/>
  <c r="F422" i="1"/>
  <c r="E401" i="1"/>
  <c r="F401" i="1"/>
  <c r="E99" i="1"/>
  <c r="F99" i="1"/>
  <c r="E129" i="1"/>
  <c r="F129" i="1"/>
  <c r="F40" i="1"/>
  <c r="E40" i="1"/>
  <c r="E104" i="1"/>
  <c r="F104" i="1"/>
  <c r="F124" i="1"/>
  <c r="E124" i="1"/>
  <c r="F424" i="1"/>
  <c r="F293" i="1"/>
  <c r="F322" i="1"/>
  <c r="F76" i="1"/>
  <c r="E403" i="1"/>
  <c r="E198" i="1"/>
  <c r="F198" i="1"/>
  <c r="E294" i="1"/>
  <c r="F412" i="1"/>
  <c r="E419" i="1"/>
  <c r="E289" i="1"/>
  <c r="F60" i="1"/>
  <c r="E60" i="1"/>
  <c r="F55" i="1"/>
  <c r="F75" i="1"/>
  <c r="F331" i="1"/>
  <c r="E331" i="1"/>
  <c r="E458" i="1"/>
  <c r="F458" i="1"/>
  <c r="F187" i="1"/>
  <c r="E187" i="1"/>
  <c r="F346" i="1"/>
  <c r="E346" i="1"/>
  <c r="E301" i="1"/>
  <c r="F318" i="1"/>
  <c r="F49" i="1"/>
  <c r="E33" i="1"/>
  <c r="F33" i="1"/>
  <c r="E362" i="1"/>
  <c r="E114" i="1"/>
  <c r="F237" i="1"/>
  <c r="E237" i="1"/>
  <c r="E433" i="1"/>
  <c r="F433" i="1"/>
  <c r="E41" i="1"/>
  <c r="F41" i="1"/>
  <c r="E321" i="1"/>
  <c r="F321" i="1"/>
  <c r="E370" i="1"/>
  <c r="E72" i="1"/>
  <c r="F72" i="1"/>
  <c r="E408" i="1"/>
  <c r="E464" i="1"/>
  <c r="F464" i="1"/>
  <c r="E240" i="1"/>
  <c r="F240" i="1"/>
  <c r="E149" i="1"/>
  <c r="F334" i="1"/>
  <c r="E334" i="1"/>
  <c r="E378" i="1"/>
  <c r="F378" i="1"/>
  <c r="F182" i="1"/>
  <c r="E182" i="1"/>
  <c r="E190" i="1"/>
  <c r="F190" i="1"/>
  <c r="F106" i="1"/>
  <c r="F90" i="1"/>
  <c r="I28" i="1"/>
  <c r="J28" i="1"/>
  <c r="I27" i="1"/>
  <c r="J27" i="1"/>
  <c r="I26" i="1"/>
  <c r="J26" i="1"/>
  <c r="I29" i="1"/>
  <c r="J29" i="1"/>
  <c r="I18" i="1"/>
  <c r="J18" i="1"/>
  <c r="I24" i="1"/>
  <c r="J24" i="1"/>
  <c r="J21" i="1"/>
  <c r="I21" i="1"/>
  <c r="J23" i="1"/>
  <c r="I23" i="1"/>
  <c r="I25" i="1"/>
  <c r="J25" i="1"/>
  <c r="J19" i="1"/>
  <c r="I19" i="1"/>
  <c r="H13" i="2" l="1"/>
  <c r="G20" i="4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G34" i="4" s="1"/>
  <c r="G35" i="4" s="1"/>
  <c r="G36" i="4" s="1"/>
  <c r="G37" i="4" s="1"/>
  <c r="G38" i="4" s="1"/>
  <c r="G39" i="4" s="1"/>
  <c r="G40" i="4" s="1"/>
  <c r="G41" i="4" s="1"/>
  <c r="G42" i="4" s="1"/>
  <c r="G43" i="4" s="1"/>
  <c r="G44" i="4" s="1"/>
  <c r="G45" i="4" s="1"/>
  <c r="G46" i="4" s="1"/>
  <c r="G47" i="4" s="1"/>
  <c r="G48" i="4" s="1"/>
  <c r="G49" i="4" s="1"/>
  <c r="G50" i="4" s="1"/>
  <c r="G51" i="4" s="1"/>
  <c r="G52" i="4" s="1"/>
  <c r="G53" i="4" s="1"/>
  <c r="G54" i="4" s="1"/>
  <c r="G55" i="4" s="1"/>
  <c r="G56" i="4" s="1"/>
  <c r="G57" i="4" s="1"/>
  <c r="G58" i="4" s="1"/>
  <c r="G59" i="4" s="1"/>
  <c r="G60" i="4" s="1"/>
  <c r="G61" i="4" s="1"/>
  <c r="G62" i="4" s="1"/>
  <c r="G63" i="4" s="1"/>
  <c r="G64" i="4" s="1"/>
  <c r="G65" i="4" s="1"/>
  <c r="G66" i="4" s="1"/>
  <c r="G67" i="4" s="1"/>
  <c r="G68" i="4" s="1"/>
  <c r="G69" i="4" s="1"/>
  <c r="G70" i="4" s="1"/>
  <c r="G71" i="4" s="1"/>
  <c r="G72" i="4" s="1"/>
  <c r="G73" i="4" s="1"/>
  <c r="G74" i="4" s="1"/>
  <c r="G75" i="4" s="1"/>
  <c r="G76" i="4" s="1"/>
  <c r="G77" i="4" s="1"/>
  <c r="G78" i="4" s="1"/>
  <c r="G79" i="4" s="1"/>
  <c r="G80" i="4" s="1"/>
  <c r="G81" i="4" s="1"/>
  <c r="G82" i="4" s="1"/>
  <c r="G83" i="4" s="1"/>
  <c r="G84" i="4" s="1"/>
  <c r="G85" i="4" s="1"/>
  <c r="G86" i="4" s="1"/>
  <c r="G87" i="4" s="1"/>
  <c r="G88" i="4" s="1"/>
  <c r="G89" i="4" s="1"/>
  <c r="G90" i="4" s="1"/>
  <c r="G91" i="4" s="1"/>
  <c r="G92" i="4" s="1"/>
  <c r="G93" i="4" s="1"/>
  <c r="G94" i="4" s="1"/>
  <c r="G95" i="4" s="1"/>
  <c r="G96" i="4" s="1"/>
  <c r="G97" i="4" s="1"/>
  <c r="G98" i="4" s="1"/>
  <c r="G99" i="4" s="1"/>
  <c r="G100" i="4" s="1"/>
  <c r="G101" i="4" s="1"/>
  <c r="G102" i="4" s="1"/>
  <c r="G103" i="4" s="1"/>
  <c r="G104" i="4" s="1"/>
  <c r="G105" i="4" s="1"/>
  <c r="G106" i="4" s="1"/>
  <c r="G107" i="4" s="1"/>
  <c r="G108" i="4" s="1"/>
  <c r="G109" i="4" s="1"/>
  <c r="G110" i="4" s="1"/>
  <c r="G111" i="4" s="1"/>
  <c r="G112" i="4" s="1"/>
  <c r="G113" i="4" s="1"/>
  <c r="G114" i="4" s="1"/>
  <c r="G115" i="4" s="1"/>
  <c r="G116" i="4" s="1"/>
  <c r="G117" i="4" s="1"/>
  <c r="G118" i="4" s="1"/>
  <c r="G119" i="4" s="1"/>
  <c r="G120" i="4" s="1"/>
  <c r="G121" i="4" s="1"/>
  <c r="G122" i="4" s="1"/>
  <c r="G123" i="4" s="1"/>
  <c r="G124" i="4" s="1"/>
  <c r="G125" i="4" s="1"/>
  <c r="G126" i="4" s="1"/>
  <c r="G127" i="4" s="1"/>
  <c r="G128" i="4" s="1"/>
  <c r="G129" i="4" s="1"/>
  <c r="G130" i="4" s="1"/>
  <c r="G131" i="4" s="1"/>
  <c r="G132" i="4" s="1"/>
  <c r="G133" i="4" s="1"/>
  <c r="G134" i="4" s="1"/>
  <c r="G135" i="4" s="1"/>
  <c r="G136" i="4" s="1"/>
  <c r="G137" i="4" s="1"/>
  <c r="G138" i="4" s="1"/>
  <c r="G139" i="4" s="1"/>
  <c r="G140" i="4" s="1"/>
  <c r="G141" i="4" s="1"/>
  <c r="G142" i="4" s="1"/>
  <c r="G143" i="4" s="1"/>
  <c r="G144" i="4" s="1"/>
  <c r="G145" i="4" s="1"/>
  <c r="G146" i="4" s="1"/>
  <c r="G147" i="4" s="1"/>
  <c r="G148" i="4" s="1"/>
  <c r="G149" i="4" s="1"/>
  <c r="G150" i="4" s="1"/>
  <c r="G151" i="4" s="1"/>
  <c r="G152" i="4" s="1"/>
  <c r="G153" i="4" s="1"/>
  <c r="G154" i="4" s="1"/>
  <c r="G155" i="4" s="1"/>
  <c r="G156" i="4" s="1"/>
  <c r="G157" i="4" s="1"/>
  <c r="G158" i="4" s="1"/>
  <c r="G159" i="4" s="1"/>
  <c r="G160" i="4" s="1"/>
  <c r="G161" i="4" s="1"/>
  <c r="G162" i="4" s="1"/>
  <c r="G163" i="4" s="1"/>
  <c r="G164" i="4" s="1"/>
  <c r="G165" i="4" s="1"/>
  <c r="G166" i="4" s="1"/>
  <c r="G167" i="4" s="1"/>
  <c r="G168" i="4" s="1"/>
  <c r="G169" i="4" s="1"/>
  <c r="G170" i="4" s="1"/>
  <c r="G171" i="4" s="1"/>
  <c r="G172" i="4" s="1"/>
  <c r="G173" i="4" s="1"/>
  <c r="G174" i="4" s="1"/>
  <c r="G175" i="4" s="1"/>
  <c r="G176" i="4" s="1"/>
  <c r="G177" i="4" s="1"/>
  <c r="G178" i="4" s="1"/>
  <c r="G179" i="4" s="1"/>
  <c r="G180" i="4" s="1"/>
  <c r="G181" i="4" s="1"/>
  <c r="G182" i="4" s="1"/>
  <c r="G183" i="4" s="1"/>
  <c r="G184" i="4" s="1"/>
  <c r="G185" i="4" s="1"/>
  <c r="G186" i="4" s="1"/>
  <c r="G187" i="4" s="1"/>
  <c r="G188" i="4" s="1"/>
  <c r="G189" i="4" s="1"/>
  <c r="G190" i="4" s="1"/>
  <c r="G191" i="4" s="1"/>
  <c r="G192" i="4" s="1"/>
  <c r="G193" i="4" s="1"/>
  <c r="G194" i="4" s="1"/>
  <c r="G195" i="4" s="1"/>
  <c r="G196" i="4" s="1"/>
  <c r="G197" i="4" s="1"/>
  <c r="G198" i="4" s="1"/>
  <c r="G199" i="4" s="1"/>
  <c r="G200" i="4" s="1"/>
  <c r="G201" i="4" s="1"/>
  <c r="G202" i="4" s="1"/>
  <c r="G203" i="4" s="1"/>
  <c r="G204" i="4" s="1"/>
  <c r="G205" i="4" s="1"/>
  <c r="G206" i="4" s="1"/>
  <c r="G207" i="4" s="1"/>
  <c r="G208" i="4" s="1"/>
  <c r="G209" i="4" s="1"/>
  <c r="G210" i="4" s="1"/>
  <c r="G211" i="4" s="1"/>
  <c r="G212" i="4" s="1"/>
  <c r="G213" i="4" s="1"/>
  <c r="G214" i="4" s="1"/>
  <c r="G215" i="4" s="1"/>
  <c r="G216" i="4" s="1"/>
  <c r="G217" i="4" s="1"/>
  <c r="G218" i="4" s="1"/>
  <c r="G219" i="4" s="1"/>
  <c r="G220" i="4" s="1"/>
  <c r="G221" i="4" s="1"/>
  <c r="G222" i="4" s="1"/>
  <c r="G223" i="4" s="1"/>
  <c r="G224" i="4" s="1"/>
  <c r="G225" i="4" s="1"/>
  <c r="G226" i="4" s="1"/>
  <c r="G227" i="4" s="1"/>
  <c r="G228" i="4" s="1"/>
  <c r="G229" i="4" s="1"/>
  <c r="G230" i="4" s="1"/>
  <c r="G231" i="4" s="1"/>
  <c r="G232" i="4" s="1"/>
  <c r="G233" i="4" s="1"/>
  <c r="G234" i="4" s="1"/>
  <c r="G235" i="4" s="1"/>
  <c r="G236" i="4" s="1"/>
  <c r="G237" i="4" s="1"/>
  <c r="G238" i="4" s="1"/>
  <c r="G239" i="4" s="1"/>
  <c r="G240" i="4" s="1"/>
  <c r="G241" i="4" s="1"/>
  <c r="G242" i="4" s="1"/>
  <c r="G243" i="4" s="1"/>
  <c r="G244" i="4" s="1"/>
  <c r="G245" i="4" s="1"/>
  <c r="G246" i="4" s="1"/>
  <c r="G247" i="4" s="1"/>
  <c r="G248" i="4" s="1"/>
  <c r="G249" i="4" s="1"/>
  <c r="G250" i="4" s="1"/>
  <c r="G251" i="4" s="1"/>
  <c r="G252" i="4" s="1"/>
  <c r="G253" i="4" s="1"/>
  <c r="G254" i="4" s="1"/>
  <c r="G255" i="4" s="1"/>
  <c r="G256" i="4" s="1"/>
  <c r="G257" i="4" s="1"/>
  <c r="G258" i="4" s="1"/>
  <c r="G259" i="4" s="1"/>
  <c r="G260" i="4" s="1"/>
  <c r="G261" i="4" s="1"/>
  <c r="G262" i="4" s="1"/>
  <c r="G263" i="4" s="1"/>
  <c r="G264" i="4" s="1"/>
  <c r="G265" i="4" s="1"/>
  <c r="G266" i="4" s="1"/>
  <c r="G267" i="4" s="1"/>
  <c r="G268" i="4" s="1"/>
  <c r="G269" i="4" s="1"/>
  <c r="G270" i="4" s="1"/>
  <c r="G271" i="4" s="1"/>
  <c r="G272" i="4" s="1"/>
  <c r="G273" i="4" s="1"/>
  <c r="G274" i="4" s="1"/>
  <c r="G275" i="4" s="1"/>
  <c r="G276" i="4" s="1"/>
  <c r="G277" i="4" s="1"/>
  <c r="G278" i="4" s="1"/>
  <c r="G279" i="4" s="1"/>
  <c r="G280" i="4" s="1"/>
  <c r="G281" i="4" s="1"/>
  <c r="G282" i="4" s="1"/>
  <c r="G283" i="4" s="1"/>
  <c r="G284" i="4" s="1"/>
  <c r="G285" i="4" s="1"/>
  <c r="G286" i="4" s="1"/>
  <c r="G287" i="4" s="1"/>
  <c r="G288" i="4" s="1"/>
  <c r="G289" i="4" s="1"/>
  <c r="G290" i="4" s="1"/>
  <c r="G291" i="4" s="1"/>
  <c r="G292" i="4" s="1"/>
  <c r="G293" i="4" s="1"/>
  <c r="G294" i="4" s="1"/>
  <c r="G295" i="4" s="1"/>
  <c r="G296" i="4" s="1"/>
  <c r="G297" i="4" s="1"/>
  <c r="G298" i="4" s="1"/>
  <c r="G299" i="4" s="1"/>
  <c r="G300" i="4" s="1"/>
  <c r="G301" i="4" s="1"/>
  <c r="G302" i="4" s="1"/>
  <c r="G303" i="4" s="1"/>
  <c r="G304" i="4" s="1"/>
  <c r="G305" i="4" s="1"/>
  <c r="G306" i="4" s="1"/>
  <c r="G307" i="4" s="1"/>
  <c r="G308" i="4" s="1"/>
  <c r="G309" i="4" s="1"/>
  <c r="G310" i="4" s="1"/>
  <c r="G311" i="4" s="1"/>
  <c r="G312" i="4" s="1"/>
  <c r="G313" i="4" s="1"/>
  <c r="G314" i="4" s="1"/>
  <c r="G315" i="4" s="1"/>
  <c r="G316" i="4" s="1"/>
  <c r="G317" i="4" s="1"/>
  <c r="G318" i="4" s="1"/>
  <c r="G319" i="4" s="1"/>
  <c r="G320" i="4" s="1"/>
  <c r="G321" i="4" s="1"/>
  <c r="G322" i="4" s="1"/>
  <c r="G323" i="4" s="1"/>
  <c r="G324" i="4" s="1"/>
  <c r="G325" i="4" s="1"/>
  <c r="G326" i="4" s="1"/>
  <c r="G327" i="4" s="1"/>
  <c r="G328" i="4" s="1"/>
  <c r="G329" i="4" s="1"/>
  <c r="G330" i="4" s="1"/>
  <c r="G331" i="4" s="1"/>
  <c r="G332" i="4" s="1"/>
  <c r="G333" i="4" s="1"/>
  <c r="G334" i="4" s="1"/>
  <c r="G335" i="4" s="1"/>
  <c r="G336" i="4" s="1"/>
  <c r="G337" i="4" s="1"/>
  <c r="G338" i="4" s="1"/>
  <c r="G339" i="4" s="1"/>
  <c r="G340" i="4" s="1"/>
  <c r="G341" i="4" s="1"/>
  <c r="G342" i="4" s="1"/>
  <c r="G343" i="4" s="1"/>
  <c r="G344" i="4" s="1"/>
  <c r="G345" i="4" s="1"/>
  <c r="G346" i="4" s="1"/>
  <c r="G347" i="4" s="1"/>
  <c r="G348" i="4" s="1"/>
  <c r="G349" i="4" s="1"/>
  <c r="G350" i="4" s="1"/>
  <c r="G351" i="4" s="1"/>
  <c r="G352" i="4" s="1"/>
  <c r="G353" i="4" s="1"/>
  <c r="G354" i="4" s="1"/>
  <c r="G355" i="4" s="1"/>
  <c r="G356" i="4" s="1"/>
  <c r="G357" i="4" s="1"/>
  <c r="G358" i="4" s="1"/>
  <c r="G359" i="4" s="1"/>
  <c r="G360" i="4" s="1"/>
  <c r="G361" i="4" s="1"/>
  <c r="G362" i="4" s="1"/>
  <c r="G363" i="4" s="1"/>
  <c r="G364" i="4" s="1"/>
  <c r="G365" i="4" s="1"/>
  <c r="G366" i="4" s="1"/>
  <c r="G367" i="4" s="1"/>
  <c r="G368" i="4" s="1"/>
  <c r="G369" i="4" s="1"/>
  <c r="G370" i="4" s="1"/>
  <c r="G371" i="4" s="1"/>
  <c r="G372" i="4" s="1"/>
  <c r="G373" i="4" s="1"/>
  <c r="G374" i="4" s="1"/>
  <c r="G375" i="4" s="1"/>
  <c r="G376" i="4" s="1"/>
  <c r="G377" i="4" s="1"/>
  <c r="G378" i="4" s="1"/>
  <c r="G379" i="4" s="1"/>
  <c r="G380" i="4" s="1"/>
  <c r="G381" i="4" s="1"/>
  <c r="G382" i="4" s="1"/>
  <c r="G383" i="4" s="1"/>
  <c r="G384" i="4" s="1"/>
  <c r="G385" i="4" s="1"/>
  <c r="G386" i="4" s="1"/>
  <c r="G387" i="4" s="1"/>
  <c r="G388" i="4" s="1"/>
  <c r="G389" i="4" s="1"/>
  <c r="G390" i="4" s="1"/>
  <c r="G391" i="4" s="1"/>
  <c r="G392" i="4" s="1"/>
  <c r="G393" i="4" s="1"/>
  <c r="G394" i="4" s="1"/>
  <c r="G395" i="4" s="1"/>
  <c r="G396" i="4" s="1"/>
  <c r="G397" i="4" s="1"/>
  <c r="G398" i="4" s="1"/>
  <c r="G399" i="4" s="1"/>
  <c r="G400" i="4" s="1"/>
  <c r="G401" i="4" s="1"/>
  <c r="G402" i="4" s="1"/>
  <c r="G403" i="4" s="1"/>
  <c r="G404" i="4" s="1"/>
  <c r="G405" i="4" s="1"/>
  <c r="G406" i="4" s="1"/>
  <c r="G407" i="4" s="1"/>
  <c r="G408" i="4" s="1"/>
  <c r="G409" i="4" s="1"/>
  <c r="G410" i="4" s="1"/>
  <c r="G411" i="4" s="1"/>
  <c r="G412" i="4" s="1"/>
  <c r="G413" i="4" s="1"/>
  <c r="G414" i="4" s="1"/>
  <c r="G415" i="4" s="1"/>
  <c r="G416" i="4" s="1"/>
  <c r="G417" i="4" s="1"/>
  <c r="G418" i="4" s="1"/>
  <c r="G419" i="4" s="1"/>
  <c r="G420" i="4" s="1"/>
  <c r="G421" i="4" s="1"/>
  <c r="G422" i="4" s="1"/>
  <c r="G423" i="4" s="1"/>
  <c r="G424" i="4" s="1"/>
  <c r="G425" i="4" s="1"/>
  <c r="G426" i="4" s="1"/>
  <c r="G427" i="4" s="1"/>
  <c r="G428" i="4" s="1"/>
  <c r="G429" i="4" s="1"/>
  <c r="G430" i="4" s="1"/>
  <c r="G431" i="4" s="1"/>
  <c r="G432" i="4" s="1"/>
  <c r="G433" i="4" s="1"/>
  <c r="G434" i="4" s="1"/>
  <c r="G435" i="4" s="1"/>
  <c r="G436" i="4" s="1"/>
  <c r="G437" i="4" s="1"/>
  <c r="G438" i="4" s="1"/>
  <c r="G439" i="4" s="1"/>
  <c r="G440" i="4" s="1"/>
  <c r="G441" i="4" s="1"/>
  <c r="G442" i="4" s="1"/>
  <c r="G443" i="4" s="1"/>
  <c r="G444" i="4" s="1"/>
  <c r="G445" i="4" s="1"/>
  <c r="G446" i="4" s="1"/>
  <c r="G447" i="4" s="1"/>
  <c r="G448" i="4" s="1"/>
  <c r="G449" i="4" s="1"/>
  <c r="G450" i="4" s="1"/>
  <c r="G451" i="4" s="1"/>
  <c r="G452" i="4" s="1"/>
  <c r="G453" i="4" s="1"/>
  <c r="G454" i="4" s="1"/>
  <c r="G455" i="4" s="1"/>
  <c r="G456" i="4" s="1"/>
  <c r="G457" i="4" s="1"/>
  <c r="G458" i="4" s="1"/>
  <c r="G459" i="4" s="1"/>
  <c r="G460" i="4" s="1"/>
  <c r="G461" i="4" s="1"/>
  <c r="G462" i="4" s="1"/>
  <c r="G463" i="4" s="1"/>
  <c r="G464" i="4" s="1"/>
  <c r="G465" i="4" s="1"/>
  <c r="G466" i="4" s="1"/>
  <c r="G467" i="4" s="1"/>
  <c r="G468" i="4" s="1"/>
  <c r="G469" i="4" s="1"/>
  <c r="G470" i="4" s="1"/>
  <c r="G471" i="4" s="1"/>
  <c r="G472" i="4" s="1"/>
  <c r="G473" i="4" s="1"/>
  <c r="I11" i="4"/>
  <c r="F12" i="4"/>
  <c r="H11" i="4"/>
  <c r="F14" i="2"/>
  <c r="I14" i="2" s="1"/>
  <c r="G29" i="2"/>
  <c r="G30" i="2" s="1"/>
  <c r="G31" i="2" s="1"/>
  <c r="G32" i="2" s="1"/>
  <c r="G33" i="2" s="1"/>
  <c r="G34" i="2" s="1"/>
  <c r="G35" i="2" s="1"/>
  <c r="G36" i="2" s="1"/>
  <c r="G37" i="2" s="1"/>
  <c r="G38" i="2" s="1"/>
  <c r="G39" i="2" s="1"/>
  <c r="G40" i="2" s="1"/>
  <c r="G41" i="2" s="1"/>
  <c r="G42" i="2" s="1"/>
  <c r="G43" i="2" s="1"/>
  <c r="G44" i="2" s="1"/>
  <c r="G45" i="2" s="1"/>
  <c r="G46" i="2" s="1"/>
  <c r="G47" i="2" s="1"/>
  <c r="G48" i="2" s="1"/>
  <c r="G49" i="2" s="1"/>
  <c r="G50" i="2" s="1"/>
  <c r="G51" i="2" s="1"/>
  <c r="G52" i="2" s="1"/>
  <c r="G53" i="2" s="1"/>
  <c r="G54" i="2" s="1"/>
  <c r="G55" i="2" s="1"/>
  <c r="G56" i="2" s="1"/>
  <c r="G57" i="2" s="1"/>
  <c r="G58" i="2" s="1"/>
  <c r="G59" i="2" s="1"/>
  <c r="G60" i="2" s="1"/>
  <c r="G61" i="2" s="1"/>
  <c r="G62" i="2" s="1"/>
  <c r="G63" i="2" s="1"/>
  <c r="G64" i="2" s="1"/>
  <c r="G65" i="2" s="1"/>
  <c r="G66" i="2" s="1"/>
  <c r="G67" i="2" s="1"/>
  <c r="G68" i="2" s="1"/>
  <c r="G69" i="2" s="1"/>
  <c r="G70" i="2" s="1"/>
  <c r="G71" i="2" s="1"/>
  <c r="G72" i="2" s="1"/>
  <c r="G73" i="2" s="1"/>
  <c r="G74" i="2" s="1"/>
  <c r="G75" i="2" s="1"/>
  <c r="G76" i="2" s="1"/>
  <c r="G77" i="2" s="1"/>
  <c r="G78" i="2" s="1"/>
  <c r="G79" i="2" s="1"/>
  <c r="G80" i="2" s="1"/>
  <c r="G81" i="2" s="1"/>
  <c r="G82" i="2" s="1"/>
  <c r="G83" i="2" s="1"/>
  <c r="G84" i="2" s="1"/>
  <c r="G85" i="2" s="1"/>
  <c r="G86" i="2" s="1"/>
  <c r="G87" i="2" s="1"/>
  <c r="G88" i="2" s="1"/>
  <c r="G89" i="2" s="1"/>
  <c r="G90" i="2" s="1"/>
  <c r="G91" i="2" s="1"/>
  <c r="G92" i="2" s="1"/>
  <c r="G93" i="2" s="1"/>
  <c r="G94" i="2" s="1"/>
  <c r="G95" i="2" s="1"/>
  <c r="G96" i="2" s="1"/>
  <c r="G97" i="2" s="1"/>
  <c r="G98" i="2" s="1"/>
  <c r="G99" i="2" s="1"/>
  <c r="G100" i="2" s="1"/>
  <c r="G101" i="2" s="1"/>
  <c r="G102" i="2" s="1"/>
  <c r="G103" i="2" s="1"/>
  <c r="G104" i="2" s="1"/>
  <c r="G105" i="2" s="1"/>
  <c r="G106" i="2" s="1"/>
  <c r="G107" i="2" s="1"/>
  <c r="G108" i="2" s="1"/>
  <c r="G109" i="2" s="1"/>
  <c r="G110" i="2" s="1"/>
  <c r="G111" i="2" s="1"/>
  <c r="G112" i="2" s="1"/>
  <c r="G113" i="2" s="1"/>
  <c r="G114" i="2" s="1"/>
  <c r="G115" i="2" s="1"/>
  <c r="G116" i="2" s="1"/>
  <c r="G117" i="2" s="1"/>
  <c r="G118" i="2" s="1"/>
  <c r="G119" i="2" s="1"/>
  <c r="G120" i="2" s="1"/>
  <c r="G121" i="2" s="1"/>
  <c r="G122" i="2" s="1"/>
  <c r="G123" i="2" s="1"/>
  <c r="G124" i="2" s="1"/>
  <c r="G125" i="2" s="1"/>
  <c r="G126" i="2" s="1"/>
  <c r="G127" i="2" s="1"/>
  <c r="G128" i="2" s="1"/>
  <c r="G129" i="2" s="1"/>
  <c r="G130" i="2" s="1"/>
  <c r="G131" i="2" s="1"/>
  <c r="G132" i="2" s="1"/>
  <c r="G133" i="2" s="1"/>
  <c r="G134" i="2" s="1"/>
  <c r="G135" i="2" s="1"/>
  <c r="G136" i="2" s="1"/>
  <c r="G137" i="2" s="1"/>
  <c r="G138" i="2" s="1"/>
  <c r="G139" i="2" s="1"/>
  <c r="G140" i="2" s="1"/>
  <c r="G141" i="2" s="1"/>
  <c r="G142" i="2" s="1"/>
  <c r="G143" i="2" s="1"/>
  <c r="G144" i="2" s="1"/>
  <c r="G145" i="2" s="1"/>
  <c r="G146" i="2" s="1"/>
  <c r="G147" i="2" s="1"/>
  <c r="G148" i="2" s="1"/>
  <c r="G149" i="2" s="1"/>
  <c r="G150" i="2" s="1"/>
  <c r="G151" i="2" s="1"/>
  <c r="G152" i="2" s="1"/>
  <c r="G153" i="2" s="1"/>
  <c r="G154" i="2" s="1"/>
  <c r="G155" i="2" s="1"/>
  <c r="G156" i="2" s="1"/>
  <c r="G157" i="2" s="1"/>
  <c r="G158" i="2" s="1"/>
  <c r="G159" i="2" s="1"/>
  <c r="G160" i="2" s="1"/>
  <c r="G161" i="2" s="1"/>
  <c r="G162" i="2" s="1"/>
  <c r="G163" i="2" s="1"/>
  <c r="G164" i="2" s="1"/>
  <c r="G165" i="2" s="1"/>
  <c r="G166" i="2" s="1"/>
  <c r="G167" i="2" s="1"/>
  <c r="G168" i="2" s="1"/>
  <c r="G169" i="2" s="1"/>
  <c r="G170" i="2" s="1"/>
  <c r="G171" i="2" s="1"/>
  <c r="G172" i="2" s="1"/>
  <c r="G173" i="2" s="1"/>
  <c r="G174" i="2" s="1"/>
  <c r="G175" i="2" s="1"/>
  <c r="G176" i="2" s="1"/>
  <c r="G177" i="2" s="1"/>
  <c r="G178" i="2" s="1"/>
  <c r="G179" i="2" s="1"/>
  <c r="G180" i="2" s="1"/>
  <c r="G181" i="2" s="1"/>
  <c r="G182" i="2" s="1"/>
  <c r="G183" i="2" s="1"/>
  <c r="G184" i="2" s="1"/>
  <c r="G185" i="2" s="1"/>
  <c r="G186" i="2" s="1"/>
  <c r="G187" i="2" s="1"/>
  <c r="G188" i="2" s="1"/>
  <c r="G189" i="2" s="1"/>
  <c r="G190" i="2" s="1"/>
  <c r="G191" i="2" s="1"/>
  <c r="G192" i="2" s="1"/>
  <c r="G193" i="2" s="1"/>
  <c r="G194" i="2" s="1"/>
  <c r="G195" i="2" s="1"/>
  <c r="G196" i="2" s="1"/>
  <c r="G197" i="2" s="1"/>
  <c r="G198" i="2" s="1"/>
  <c r="G199" i="2" s="1"/>
  <c r="G200" i="2" s="1"/>
  <c r="G201" i="2" s="1"/>
  <c r="G202" i="2" s="1"/>
  <c r="G203" i="2" s="1"/>
  <c r="G204" i="2" s="1"/>
  <c r="G205" i="2" s="1"/>
  <c r="G206" i="2" s="1"/>
  <c r="G207" i="2" s="1"/>
  <c r="G208" i="2" s="1"/>
  <c r="G209" i="2" s="1"/>
  <c r="G210" i="2" s="1"/>
  <c r="G211" i="2" s="1"/>
  <c r="G212" i="2" s="1"/>
  <c r="G213" i="2" s="1"/>
  <c r="G214" i="2" s="1"/>
  <c r="G215" i="2" s="1"/>
  <c r="G216" i="2" s="1"/>
  <c r="G217" i="2" s="1"/>
  <c r="G218" i="2" s="1"/>
  <c r="G219" i="2" s="1"/>
  <c r="G220" i="2" s="1"/>
  <c r="G221" i="2" s="1"/>
  <c r="G222" i="2" s="1"/>
  <c r="G223" i="2" s="1"/>
  <c r="G224" i="2" s="1"/>
  <c r="G225" i="2" s="1"/>
  <c r="G226" i="2" s="1"/>
  <c r="G227" i="2" s="1"/>
  <c r="G228" i="2" s="1"/>
  <c r="G229" i="2" s="1"/>
  <c r="G230" i="2" s="1"/>
  <c r="G231" i="2" s="1"/>
  <c r="G232" i="2" s="1"/>
  <c r="G233" i="2" s="1"/>
  <c r="G234" i="2" s="1"/>
  <c r="G235" i="2" s="1"/>
  <c r="G236" i="2" s="1"/>
  <c r="G237" i="2" s="1"/>
  <c r="G238" i="2" s="1"/>
  <c r="G239" i="2" s="1"/>
  <c r="G240" i="2" s="1"/>
  <c r="G241" i="2" s="1"/>
  <c r="G242" i="2" s="1"/>
  <c r="G243" i="2" s="1"/>
  <c r="G244" i="2" s="1"/>
  <c r="G245" i="2" s="1"/>
  <c r="G246" i="2" s="1"/>
  <c r="G247" i="2" s="1"/>
  <c r="G248" i="2" s="1"/>
  <c r="G249" i="2" s="1"/>
  <c r="G250" i="2" s="1"/>
  <c r="G251" i="2" s="1"/>
  <c r="G252" i="2" s="1"/>
  <c r="G253" i="2" s="1"/>
  <c r="G254" i="2" s="1"/>
  <c r="G255" i="2" s="1"/>
  <c r="G256" i="2" s="1"/>
  <c r="G257" i="2" s="1"/>
  <c r="G258" i="2" s="1"/>
  <c r="G259" i="2" s="1"/>
  <c r="G260" i="2" s="1"/>
  <c r="G261" i="2" s="1"/>
  <c r="G262" i="2" s="1"/>
  <c r="G263" i="2" s="1"/>
  <c r="G264" i="2" s="1"/>
  <c r="G265" i="2" s="1"/>
  <c r="G266" i="2" s="1"/>
  <c r="G267" i="2" s="1"/>
  <c r="G268" i="2" s="1"/>
  <c r="G269" i="2" s="1"/>
  <c r="G270" i="2" s="1"/>
  <c r="G271" i="2" s="1"/>
  <c r="G272" i="2" s="1"/>
  <c r="G273" i="2" s="1"/>
  <c r="G274" i="2" s="1"/>
  <c r="G275" i="2" s="1"/>
  <c r="G276" i="2" s="1"/>
  <c r="G277" i="2" s="1"/>
  <c r="G278" i="2" s="1"/>
  <c r="G279" i="2" s="1"/>
  <c r="G280" i="2" s="1"/>
  <c r="G281" i="2" s="1"/>
  <c r="G282" i="2" s="1"/>
  <c r="G283" i="2" s="1"/>
  <c r="G284" i="2" s="1"/>
  <c r="G285" i="2" s="1"/>
  <c r="G286" i="2" s="1"/>
  <c r="G287" i="2" s="1"/>
  <c r="G288" i="2" s="1"/>
  <c r="G289" i="2" s="1"/>
  <c r="G290" i="2" s="1"/>
  <c r="G291" i="2" s="1"/>
  <c r="G292" i="2" s="1"/>
  <c r="G293" i="2" s="1"/>
  <c r="G294" i="2" s="1"/>
  <c r="G295" i="2" s="1"/>
  <c r="G296" i="2" s="1"/>
  <c r="G297" i="2" s="1"/>
  <c r="G298" i="2" s="1"/>
  <c r="G299" i="2" s="1"/>
  <c r="G300" i="2" s="1"/>
  <c r="G301" i="2" s="1"/>
  <c r="G302" i="2" s="1"/>
  <c r="G303" i="2" s="1"/>
  <c r="G304" i="2" s="1"/>
  <c r="G305" i="2" s="1"/>
  <c r="G306" i="2" s="1"/>
  <c r="G307" i="2" s="1"/>
  <c r="G308" i="2" s="1"/>
  <c r="G309" i="2" s="1"/>
  <c r="G310" i="2" s="1"/>
  <c r="G311" i="2" s="1"/>
  <c r="G312" i="2" s="1"/>
  <c r="G313" i="2" s="1"/>
  <c r="G314" i="2" s="1"/>
  <c r="G315" i="2" s="1"/>
  <c r="G316" i="2" s="1"/>
  <c r="G317" i="2" s="1"/>
  <c r="G318" i="2" s="1"/>
  <c r="G319" i="2" s="1"/>
  <c r="G320" i="2" s="1"/>
  <c r="G321" i="2" s="1"/>
  <c r="G322" i="2" s="1"/>
  <c r="G323" i="2" s="1"/>
  <c r="G324" i="2" s="1"/>
  <c r="G325" i="2" s="1"/>
  <c r="G326" i="2" s="1"/>
  <c r="G327" i="2" s="1"/>
  <c r="G328" i="2" s="1"/>
  <c r="G329" i="2" s="1"/>
  <c r="G330" i="2" s="1"/>
  <c r="G331" i="2" s="1"/>
  <c r="G332" i="2" s="1"/>
  <c r="G333" i="2" s="1"/>
  <c r="G334" i="2" s="1"/>
  <c r="G335" i="2" s="1"/>
  <c r="G336" i="2" s="1"/>
  <c r="G337" i="2" s="1"/>
  <c r="G338" i="2" s="1"/>
  <c r="G339" i="2" s="1"/>
  <c r="G340" i="2" s="1"/>
  <c r="G341" i="2" s="1"/>
  <c r="G342" i="2" s="1"/>
  <c r="G343" i="2" s="1"/>
  <c r="G344" i="2" s="1"/>
  <c r="G345" i="2" s="1"/>
  <c r="G346" i="2" s="1"/>
  <c r="G347" i="2" s="1"/>
  <c r="G348" i="2" s="1"/>
  <c r="G349" i="2" s="1"/>
  <c r="G350" i="2" s="1"/>
  <c r="G351" i="2" s="1"/>
  <c r="G352" i="2" s="1"/>
  <c r="G353" i="2" s="1"/>
  <c r="G354" i="2" s="1"/>
  <c r="G355" i="2" s="1"/>
  <c r="G356" i="2" s="1"/>
  <c r="G357" i="2" s="1"/>
  <c r="G358" i="2" s="1"/>
  <c r="G359" i="2" s="1"/>
  <c r="G360" i="2" s="1"/>
  <c r="G361" i="2" s="1"/>
  <c r="G362" i="2" s="1"/>
  <c r="G363" i="2" s="1"/>
  <c r="G364" i="2" s="1"/>
  <c r="G365" i="2" s="1"/>
  <c r="G366" i="2" s="1"/>
  <c r="G367" i="2" s="1"/>
  <c r="G368" i="2" s="1"/>
  <c r="G369" i="2" s="1"/>
  <c r="G370" i="2" s="1"/>
  <c r="G371" i="2" s="1"/>
  <c r="G372" i="2" s="1"/>
  <c r="G373" i="2" s="1"/>
  <c r="G374" i="2" s="1"/>
  <c r="G375" i="2" s="1"/>
  <c r="G376" i="2" s="1"/>
  <c r="G377" i="2" s="1"/>
  <c r="G378" i="2" s="1"/>
  <c r="G379" i="2" s="1"/>
  <c r="G380" i="2" s="1"/>
  <c r="G381" i="2" s="1"/>
  <c r="G382" i="2" s="1"/>
  <c r="G383" i="2" s="1"/>
  <c r="G384" i="2" s="1"/>
  <c r="G385" i="2" s="1"/>
  <c r="G386" i="2" s="1"/>
  <c r="G387" i="2" s="1"/>
  <c r="G388" i="2" s="1"/>
  <c r="G389" i="2" s="1"/>
  <c r="G390" i="2" s="1"/>
  <c r="G391" i="2" s="1"/>
  <c r="G392" i="2" s="1"/>
  <c r="G393" i="2" s="1"/>
  <c r="G394" i="2" s="1"/>
  <c r="G395" i="2" s="1"/>
  <c r="G396" i="2" s="1"/>
  <c r="G397" i="2" s="1"/>
  <c r="G398" i="2" s="1"/>
  <c r="G399" i="2" s="1"/>
  <c r="G400" i="2" s="1"/>
  <c r="G401" i="2" s="1"/>
  <c r="G402" i="2" s="1"/>
  <c r="G403" i="2" s="1"/>
  <c r="G404" i="2" s="1"/>
  <c r="G405" i="2" s="1"/>
  <c r="G406" i="2" s="1"/>
  <c r="G407" i="2" s="1"/>
  <c r="G408" i="2" s="1"/>
  <c r="G409" i="2" s="1"/>
  <c r="G410" i="2" s="1"/>
  <c r="G411" i="2" s="1"/>
  <c r="G412" i="2" s="1"/>
  <c r="G413" i="2" s="1"/>
  <c r="G414" i="2" s="1"/>
  <c r="G415" i="2" s="1"/>
  <c r="G416" i="2" s="1"/>
  <c r="G417" i="2" s="1"/>
  <c r="G418" i="2" s="1"/>
  <c r="G419" i="2" s="1"/>
  <c r="G420" i="2" s="1"/>
  <c r="G421" i="2" s="1"/>
  <c r="G422" i="2" s="1"/>
  <c r="G423" i="2" s="1"/>
  <c r="G424" i="2" s="1"/>
  <c r="G425" i="2" s="1"/>
  <c r="G426" i="2" s="1"/>
  <c r="G427" i="2" s="1"/>
  <c r="G428" i="2" s="1"/>
  <c r="G429" i="2" s="1"/>
  <c r="G430" i="2" s="1"/>
  <c r="G431" i="2" s="1"/>
  <c r="G432" i="2" s="1"/>
  <c r="G433" i="2" s="1"/>
  <c r="G434" i="2" s="1"/>
  <c r="G435" i="2" s="1"/>
  <c r="G436" i="2" s="1"/>
  <c r="G437" i="2" s="1"/>
  <c r="G438" i="2" s="1"/>
  <c r="G439" i="2" s="1"/>
  <c r="G440" i="2" s="1"/>
  <c r="G441" i="2" s="1"/>
  <c r="G442" i="2" s="1"/>
  <c r="G443" i="2" s="1"/>
  <c r="G444" i="2" s="1"/>
  <c r="G445" i="2" s="1"/>
  <c r="G446" i="2" s="1"/>
  <c r="G447" i="2" s="1"/>
  <c r="G448" i="2" s="1"/>
  <c r="G449" i="2" s="1"/>
  <c r="G450" i="2" s="1"/>
  <c r="G451" i="2" s="1"/>
  <c r="G452" i="2" s="1"/>
  <c r="G453" i="2" s="1"/>
  <c r="G454" i="2" s="1"/>
  <c r="G455" i="2" s="1"/>
  <c r="G456" i="2" s="1"/>
  <c r="G457" i="2" s="1"/>
  <c r="G458" i="2" s="1"/>
  <c r="G459" i="2" s="1"/>
  <c r="G460" i="2" s="1"/>
  <c r="G461" i="2" s="1"/>
  <c r="G462" i="2" s="1"/>
  <c r="G463" i="2" s="1"/>
  <c r="G464" i="2" s="1"/>
  <c r="G465" i="2" s="1"/>
  <c r="G466" i="2" s="1"/>
  <c r="G467" i="2" s="1"/>
  <c r="G468" i="2" s="1"/>
  <c r="G469" i="2" s="1"/>
  <c r="G470" i="2" s="1"/>
  <c r="G471" i="2" s="1"/>
  <c r="G472" i="2" s="1"/>
  <c r="G473" i="2" s="1"/>
  <c r="I13" i="2"/>
  <c r="H12" i="2"/>
  <c r="I12" i="2"/>
  <c r="G387" i="1"/>
  <c r="H68" i="1"/>
  <c r="H241" i="1"/>
  <c r="G157" i="1"/>
  <c r="G186" i="1"/>
  <c r="H40" i="1"/>
  <c r="G196" i="1"/>
  <c r="G315" i="1"/>
  <c r="G346" i="1"/>
  <c r="G288" i="1"/>
  <c r="G86" i="1"/>
  <c r="G351" i="1"/>
  <c r="H82" i="1"/>
  <c r="G256" i="1"/>
  <c r="H343" i="1"/>
  <c r="G307" i="1"/>
  <c r="H137" i="1"/>
  <c r="G303" i="1"/>
  <c r="H143" i="1"/>
  <c r="H61" i="1"/>
  <c r="G55" i="1"/>
  <c r="G56" i="1"/>
  <c r="G282" i="1"/>
  <c r="G64" i="1"/>
  <c r="H37" i="1"/>
  <c r="G430" i="1"/>
  <c r="H87" i="1"/>
  <c r="G78" i="1"/>
  <c r="G82" i="1"/>
  <c r="G83" i="1"/>
  <c r="H65" i="1"/>
  <c r="G39" i="1"/>
  <c r="H32" i="1"/>
  <c r="G88" i="1"/>
  <c r="H170" i="1"/>
  <c r="G347" i="1"/>
  <c r="G239" i="1"/>
  <c r="G53" i="1"/>
  <c r="G57" i="1"/>
  <c r="G46" i="1"/>
  <c r="G45" i="1"/>
  <c r="G47" i="1"/>
  <c r="H80" i="1"/>
  <c r="H81" i="1"/>
  <c r="G62" i="1"/>
  <c r="H67" i="1"/>
  <c r="H41" i="1"/>
  <c r="G34" i="1"/>
  <c r="H88" i="1"/>
  <c r="H71" i="1"/>
  <c r="H56" i="1"/>
  <c r="G80" i="1"/>
  <c r="G81" i="1"/>
  <c r="H75" i="1"/>
  <c r="H395" i="1"/>
  <c r="H210" i="1"/>
  <c r="H288" i="1"/>
  <c r="G460" i="1"/>
  <c r="G38" i="1"/>
  <c r="H30" i="1"/>
  <c r="H33" i="1"/>
  <c r="H64" i="1"/>
  <c r="G74" i="1"/>
  <c r="G72" i="1"/>
  <c r="G75" i="1"/>
  <c r="H31" i="1"/>
  <c r="G31" i="1"/>
  <c r="G32" i="1"/>
  <c r="G30" i="1"/>
  <c r="G33" i="1"/>
  <c r="H83" i="1"/>
  <c r="H398" i="1"/>
  <c r="H84" i="1"/>
  <c r="H368" i="1"/>
  <c r="H193" i="1"/>
  <c r="H69" i="1"/>
  <c r="H70" i="1"/>
  <c r="H34" i="1"/>
  <c r="G42" i="1"/>
  <c r="H38" i="1"/>
  <c r="H78" i="1"/>
  <c r="H76" i="1"/>
  <c r="H77" i="1"/>
  <c r="G41" i="1"/>
  <c r="G43" i="1"/>
  <c r="H339" i="1"/>
  <c r="G85" i="1"/>
  <c r="G185" i="1"/>
  <c r="H74" i="1"/>
  <c r="H72" i="1"/>
  <c r="H73" i="1"/>
  <c r="G167" i="1"/>
  <c r="H305" i="1"/>
  <c r="G461" i="1"/>
  <c r="G54" i="1"/>
  <c r="G69" i="1"/>
  <c r="G70" i="1"/>
  <c r="H57" i="1"/>
  <c r="H58" i="1"/>
  <c r="G44" i="1"/>
  <c r="H35" i="1"/>
  <c r="H85" i="1"/>
  <c r="G73" i="1"/>
  <c r="G431" i="1"/>
  <c r="G263" i="1"/>
  <c r="G79" i="1"/>
  <c r="H231" i="1"/>
  <c r="G280" i="1"/>
  <c r="G267" i="1"/>
  <c r="G162" i="1"/>
  <c r="G40" i="1"/>
  <c r="G68" i="1"/>
  <c r="G391" i="1"/>
  <c r="H316" i="1"/>
  <c r="G36" i="1"/>
  <c r="G35" i="1"/>
  <c r="H63" i="1"/>
  <c r="G58" i="1"/>
  <c r="G49" i="1"/>
  <c r="G51" i="1"/>
  <c r="G50" i="1"/>
  <c r="H62" i="1"/>
  <c r="G61" i="1"/>
  <c r="H89" i="1"/>
  <c r="G379" i="1"/>
  <c r="G286" i="1"/>
  <c r="H60" i="1"/>
  <c r="H79" i="1"/>
  <c r="G59" i="1"/>
  <c r="H179" i="1"/>
  <c r="G66" i="1"/>
  <c r="G192" i="1"/>
  <c r="G63" i="1"/>
  <c r="H49" i="1"/>
  <c r="H51" i="1"/>
  <c r="H50" i="1"/>
  <c r="G65" i="1"/>
  <c r="G77" i="1"/>
  <c r="H36" i="1"/>
  <c r="H98" i="1"/>
  <c r="H48" i="1"/>
  <c r="G151" i="1"/>
  <c r="G71" i="1"/>
  <c r="G37" i="1"/>
  <c r="G305" i="1"/>
  <c r="G84" i="1"/>
  <c r="G308" i="1"/>
  <c r="G87" i="1"/>
  <c r="G182" i="1"/>
  <c r="G89" i="1"/>
  <c r="G376" i="1"/>
  <c r="H451" i="1"/>
  <c r="G60" i="1"/>
  <c r="G52" i="1"/>
  <c r="H59" i="1"/>
  <c r="H66" i="1"/>
  <c r="H39" i="1"/>
  <c r="G48" i="1"/>
  <c r="H55" i="1"/>
  <c r="H54" i="1"/>
  <c r="H53" i="1"/>
  <c r="H45" i="1"/>
  <c r="H44" i="1"/>
  <c r="H43" i="1"/>
  <c r="H46" i="1"/>
  <c r="H47" i="1"/>
  <c r="G67" i="1"/>
  <c r="H86" i="1"/>
  <c r="G76" i="1"/>
  <c r="H270" i="1"/>
  <c r="H205" i="1"/>
  <c r="H126" i="1"/>
  <c r="G321" i="1"/>
  <c r="H173" i="1"/>
  <c r="H299" i="1"/>
  <c r="H422" i="1"/>
  <c r="G326" i="1"/>
  <c r="G325" i="1"/>
  <c r="G233" i="1"/>
  <c r="G232" i="1"/>
  <c r="G234" i="1"/>
  <c r="G231" i="1"/>
  <c r="H206" i="1"/>
  <c r="H213" i="1"/>
  <c r="H214" i="1"/>
  <c r="H211" i="1"/>
  <c r="H212" i="1"/>
  <c r="H209" i="1"/>
  <c r="H200" i="1"/>
  <c r="H283" i="1"/>
  <c r="H148" i="1"/>
  <c r="H156" i="1"/>
  <c r="H157" i="1"/>
  <c r="H155" i="1"/>
  <c r="H151" i="1"/>
  <c r="H158" i="1"/>
  <c r="H152" i="1"/>
  <c r="H417" i="1"/>
  <c r="H416" i="1"/>
  <c r="H407" i="1"/>
  <c r="H414" i="1"/>
  <c r="H415" i="1"/>
  <c r="H406" i="1"/>
  <c r="G277" i="1"/>
  <c r="G278" i="1"/>
  <c r="G276" i="1"/>
  <c r="G272" i="1"/>
  <c r="G275" i="1"/>
  <c r="G273" i="1"/>
  <c r="G199" i="1"/>
  <c r="G197" i="1"/>
  <c r="G194" i="1"/>
  <c r="G189" i="1"/>
  <c r="G191" i="1"/>
  <c r="G187" i="1"/>
  <c r="G190" i="1"/>
  <c r="G198" i="1"/>
  <c r="G342" i="1"/>
  <c r="G341" i="1"/>
  <c r="G210" i="1"/>
  <c r="G212" i="1"/>
  <c r="G211" i="1"/>
  <c r="H133" i="1"/>
  <c r="H139" i="1"/>
  <c r="H141" i="1"/>
  <c r="H136" i="1"/>
  <c r="H142" i="1"/>
  <c r="H140" i="1"/>
  <c r="H138" i="1"/>
  <c r="H437" i="1"/>
  <c r="H436" i="1"/>
  <c r="H434" i="1"/>
  <c r="H435" i="1"/>
  <c r="G257" i="1"/>
  <c r="G255" i="1"/>
  <c r="G270" i="1"/>
  <c r="G268" i="1"/>
  <c r="G269" i="1"/>
  <c r="H321" i="1"/>
  <c r="H331" i="1"/>
  <c r="H332" i="1"/>
  <c r="H330" i="1"/>
  <c r="H327" i="1"/>
  <c r="G427" i="1"/>
  <c r="H340" i="1"/>
  <c r="H346" i="1"/>
  <c r="H392" i="1"/>
  <c r="H391" i="1"/>
  <c r="G311" i="1"/>
  <c r="G284" i="1"/>
  <c r="G279" i="1"/>
  <c r="G281" i="1"/>
  <c r="G285" i="1"/>
  <c r="G283" i="1"/>
  <c r="I283" i="1" s="1"/>
  <c r="G176" i="1"/>
  <c r="G354" i="1"/>
  <c r="H235" i="1"/>
  <c r="H232" i="1"/>
  <c r="H229" i="1"/>
  <c r="H233" i="1"/>
  <c r="H230" i="1"/>
  <c r="H227" i="1"/>
  <c r="H226" i="1"/>
  <c r="H234" i="1"/>
  <c r="H237" i="1"/>
  <c r="G419" i="1"/>
  <c r="G421" i="1"/>
  <c r="G407" i="1"/>
  <c r="G418" i="1"/>
  <c r="G404" i="1"/>
  <c r="G405" i="1"/>
  <c r="H236" i="1"/>
  <c r="G99" i="1"/>
  <c r="G98" i="1"/>
  <c r="G91" i="1"/>
  <c r="G95" i="1"/>
  <c r="G90" i="1"/>
  <c r="G97" i="1"/>
  <c r="G94" i="1"/>
  <c r="G172" i="1"/>
  <c r="G173" i="1"/>
  <c r="G390" i="1"/>
  <c r="H296" i="1"/>
  <c r="G393" i="1"/>
  <c r="H384" i="1"/>
  <c r="H389" i="1"/>
  <c r="G220" i="1"/>
  <c r="H268" i="1"/>
  <c r="H203" i="1"/>
  <c r="G415" i="1"/>
  <c r="G442" i="1"/>
  <c r="H381" i="1"/>
  <c r="H271" i="1"/>
  <c r="H164" i="1"/>
  <c r="G260" i="1"/>
  <c r="G261" i="1"/>
  <c r="G259" i="1"/>
  <c r="H379" i="1"/>
  <c r="G138" i="1"/>
  <c r="G331" i="1"/>
  <c r="H201" i="1"/>
  <c r="H182" i="1"/>
  <c r="G221" i="1"/>
  <c r="H172" i="1"/>
  <c r="H286" i="1"/>
  <c r="G230" i="1"/>
  <c r="G328" i="1"/>
  <c r="H380" i="1"/>
  <c r="G380" i="1"/>
  <c r="H178" i="1"/>
  <c r="G207" i="1"/>
  <c r="H217" i="1"/>
  <c r="H215" i="1"/>
  <c r="H216" i="1"/>
  <c r="H363" i="1"/>
  <c r="H374" i="1"/>
  <c r="H370" i="1"/>
  <c r="H367" i="1"/>
  <c r="H373" i="1"/>
  <c r="G249" i="1"/>
  <c r="G248" i="1"/>
  <c r="G247" i="1"/>
  <c r="H467" i="1"/>
  <c r="H468" i="1"/>
  <c r="H469" i="1"/>
  <c r="H253" i="1"/>
  <c r="H251" i="1"/>
  <c r="H252" i="1"/>
  <c r="H105" i="1"/>
  <c r="H176" i="1"/>
  <c r="H177" i="1"/>
  <c r="G174" i="1"/>
  <c r="H329" i="1"/>
  <c r="H405" i="1"/>
  <c r="H402" i="1"/>
  <c r="H404" i="1"/>
  <c r="H224" i="1"/>
  <c r="H223" i="1"/>
  <c r="H313" i="1"/>
  <c r="H311" i="1"/>
  <c r="H312" i="1"/>
  <c r="H310" i="1"/>
  <c r="H192" i="1"/>
  <c r="H187" i="1"/>
  <c r="H188" i="1"/>
  <c r="H181" i="1"/>
  <c r="G302" i="1"/>
  <c r="G298" i="1"/>
  <c r="G294" i="1"/>
  <c r="G301" i="1"/>
  <c r="G304" i="1"/>
  <c r="G297" i="1"/>
  <c r="G292" i="1"/>
  <c r="G296" i="1"/>
  <c r="G293" i="1"/>
  <c r="G289" i="1"/>
  <c r="G287" i="1"/>
  <c r="G290" i="1"/>
  <c r="G291" i="1"/>
  <c r="G299" i="1"/>
  <c r="G295" i="1"/>
  <c r="G306" i="1"/>
  <c r="G100" i="1"/>
  <c r="G128" i="1"/>
  <c r="G124" i="1"/>
  <c r="H306" i="1"/>
  <c r="H439" i="1"/>
  <c r="H445" i="1"/>
  <c r="H444" i="1"/>
  <c r="H443" i="1"/>
  <c r="H440" i="1"/>
  <c r="G227" i="1"/>
  <c r="G313" i="1"/>
  <c r="H239" i="1"/>
  <c r="G349" i="1"/>
  <c r="H204" i="1"/>
  <c r="G446" i="1"/>
  <c r="H403" i="1"/>
  <c r="G218" i="1"/>
  <c r="H163" i="1"/>
  <c r="G454" i="1"/>
  <c r="G271" i="1"/>
  <c r="H292" i="1"/>
  <c r="G360" i="1"/>
  <c r="G370" i="1"/>
  <c r="G266" i="1"/>
  <c r="G319" i="1"/>
  <c r="G312" i="1"/>
  <c r="G309" i="1"/>
  <c r="G441" i="1"/>
  <c r="G440" i="1"/>
  <c r="G438" i="1"/>
  <c r="G423" i="1"/>
  <c r="G439" i="1"/>
  <c r="G435" i="1"/>
  <c r="G139" i="1"/>
  <c r="G131" i="1"/>
  <c r="G129" i="1"/>
  <c r="G135" i="1"/>
  <c r="G183" i="1"/>
  <c r="G181" i="1"/>
  <c r="G179" i="1"/>
  <c r="G180" i="1"/>
  <c r="G177" i="1"/>
  <c r="G159" i="1"/>
  <c r="H196" i="1"/>
  <c r="G143" i="1"/>
  <c r="H335" i="1"/>
  <c r="H240" i="1"/>
  <c r="H185" i="1"/>
  <c r="H419" i="1"/>
  <c r="H358" i="1"/>
  <c r="G336" i="1"/>
  <c r="H238" i="1"/>
  <c r="H189" i="1"/>
  <c r="H284" i="1"/>
  <c r="G381" i="1"/>
  <c r="G334" i="1"/>
  <c r="G373" i="1"/>
  <c r="H455" i="1"/>
  <c r="H454" i="1"/>
  <c r="H457" i="1"/>
  <c r="H453" i="1"/>
  <c r="H449" i="1"/>
  <c r="H456" i="1"/>
  <c r="H448" i="1"/>
  <c r="H452" i="1"/>
  <c r="H450" i="1"/>
  <c r="G120" i="1"/>
  <c r="G112" i="1"/>
  <c r="G355" i="1"/>
  <c r="G366" i="1"/>
  <c r="G365" i="1"/>
  <c r="G362" i="1"/>
  <c r="G363" i="1"/>
  <c r="J363" i="1" s="1"/>
  <c r="G359" i="1"/>
  <c r="G367" i="1"/>
  <c r="G361" i="1"/>
  <c r="G357" i="1"/>
  <c r="G356" i="1"/>
  <c r="H401" i="1"/>
  <c r="H119" i="1"/>
  <c r="G385" i="1"/>
  <c r="H278" i="1"/>
  <c r="H361" i="1"/>
  <c r="H290" i="1"/>
  <c r="H337" i="1"/>
  <c r="H351" i="1"/>
  <c r="H375" i="1"/>
  <c r="H350" i="1"/>
  <c r="G333" i="1"/>
  <c r="G203" i="1"/>
  <c r="G206" i="1"/>
  <c r="G204" i="1"/>
  <c r="G202" i="1"/>
  <c r="G201" i="1"/>
  <c r="G246" i="1"/>
  <c r="H167" i="1"/>
  <c r="H162" i="1"/>
  <c r="H159" i="1"/>
  <c r="H171" i="1"/>
  <c r="H165" i="1"/>
  <c r="H175" i="1"/>
  <c r="H161" i="1"/>
  <c r="H160" i="1"/>
  <c r="H174" i="1"/>
  <c r="H168" i="1"/>
  <c r="H265" i="1"/>
  <c r="H263" i="1"/>
  <c r="H255" i="1"/>
  <c r="H264" i="1"/>
  <c r="G125" i="1"/>
  <c r="H144" i="1"/>
  <c r="G320" i="1"/>
  <c r="H333" i="1"/>
  <c r="H221" i="1"/>
  <c r="H378" i="1"/>
  <c r="H386" i="1"/>
  <c r="H387" i="1"/>
  <c r="H376" i="1"/>
  <c r="H385" i="1"/>
  <c r="H390" i="1"/>
  <c r="H383" i="1"/>
  <c r="H377" i="1"/>
  <c r="G399" i="1"/>
  <c r="G472" i="1"/>
  <c r="G467" i="1"/>
  <c r="G464" i="1"/>
  <c r="G468" i="1"/>
  <c r="G448" i="1"/>
  <c r="G455" i="1"/>
  <c r="G465" i="1"/>
  <c r="H323" i="1"/>
  <c r="H345" i="1"/>
  <c r="G398" i="1"/>
  <c r="H108" i="1"/>
  <c r="H94" i="1"/>
  <c r="G150" i="1"/>
  <c r="G164" i="1"/>
  <c r="G160" i="1"/>
  <c r="G163" i="1"/>
  <c r="G155" i="1"/>
  <c r="G144" i="1"/>
  <c r="G145" i="1"/>
  <c r="G140" i="1"/>
  <c r="G156" i="1"/>
  <c r="G154" i="1"/>
  <c r="G152" i="1"/>
  <c r="G161" i="1"/>
  <c r="G146" i="1"/>
  <c r="H466" i="1"/>
  <c r="H394" i="1"/>
  <c r="H393" i="1"/>
  <c r="G222" i="1"/>
  <c r="G329" i="1"/>
  <c r="G426" i="1"/>
  <c r="H353" i="1"/>
  <c r="H336" i="1"/>
  <c r="G394" i="1"/>
  <c r="G364" i="1"/>
  <c r="G274" i="1"/>
  <c r="H276" i="1"/>
  <c r="G188" i="1"/>
  <c r="H95" i="1"/>
  <c r="G343" i="1"/>
  <c r="H315" i="1"/>
  <c r="H314" i="1"/>
  <c r="H317" i="1"/>
  <c r="G153" i="1"/>
  <c r="G358" i="1"/>
  <c r="G368" i="1"/>
  <c r="G158" i="1"/>
  <c r="I158" i="1" s="1"/>
  <c r="G400" i="1"/>
  <c r="G392" i="1"/>
  <c r="G200" i="1"/>
  <c r="H180" i="1"/>
  <c r="H219" i="1"/>
  <c r="H269" i="1"/>
  <c r="G208" i="1"/>
  <c r="H342" i="1"/>
  <c r="G369" i="1"/>
  <c r="H382" i="1"/>
  <c r="H388" i="1"/>
  <c r="G219" i="1"/>
  <c r="G384" i="1"/>
  <c r="H349" i="1"/>
  <c r="H365" i="1"/>
  <c r="G184" i="1"/>
  <c r="G178" i="1"/>
  <c r="G395" i="1"/>
  <c r="G93" i="1"/>
  <c r="G226" i="1"/>
  <c r="H242" i="1"/>
  <c r="H198" i="1"/>
  <c r="G96" i="1"/>
  <c r="G195" i="1"/>
  <c r="G452" i="1"/>
  <c r="H372" i="1"/>
  <c r="H208" i="1"/>
  <c r="H285" i="1"/>
  <c r="H273" i="1"/>
  <c r="J273" i="1" s="1"/>
  <c r="H267" i="1"/>
  <c r="H289" i="1"/>
  <c r="G420" i="1"/>
  <c r="G340" i="1"/>
  <c r="I340" i="1" s="1"/>
  <c r="G338" i="1"/>
  <c r="G337" i="1"/>
  <c r="I337" i="1" s="1"/>
  <c r="G339" i="1"/>
  <c r="G330" i="1"/>
  <c r="G348" i="1"/>
  <c r="G345" i="1"/>
  <c r="G352" i="1"/>
  <c r="G353" i="1"/>
  <c r="I353" i="1" s="1"/>
  <c r="G350" i="1"/>
  <c r="G344" i="1"/>
  <c r="G147" i="1"/>
  <c r="H207" i="1"/>
  <c r="G254" i="1"/>
  <c r="H243" i="1"/>
  <c r="G175" i="1"/>
  <c r="G264" i="1"/>
  <c r="H459" i="1"/>
  <c r="G133" i="1"/>
  <c r="H129" i="1"/>
  <c r="G141" i="1"/>
  <c r="J141" i="1" s="1"/>
  <c r="H298" i="1"/>
  <c r="G245" i="1"/>
  <c r="H357" i="1"/>
  <c r="G324" i="1"/>
  <c r="G225" i="1"/>
  <c r="H446" i="1"/>
  <c r="H458" i="1"/>
  <c r="H442" i="1"/>
  <c r="G111" i="1"/>
  <c r="G386" i="1"/>
  <c r="H307" i="1"/>
  <c r="G332" i="1"/>
  <c r="H190" i="1"/>
  <c r="G323" i="1"/>
  <c r="G383" i="1"/>
  <c r="G127" i="1"/>
  <c r="H347" i="1"/>
  <c r="H308" i="1"/>
  <c r="H355" i="1"/>
  <c r="H282" i="1"/>
  <c r="H260" i="1"/>
  <c r="H261" i="1"/>
  <c r="H120" i="1"/>
  <c r="H112" i="1"/>
  <c r="G119" i="1"/>
  <c r="H359" i="1"/>
  <c r="G378" i="1"/>
  <c r="H428" i="1"/>
  <c r="H429" i="1"/>
  <c r="G253" i="1"/>
  <c r="G251" i="1"/>
  <c r="H99" i="1"/>
  <c r="G108" i="1"/>
  <c r="G456" i="1"/>
  <c r="H320" i="1"/>
  <c r="H256" i="1"/>
  <c r="H369" i="1"/>
  <c r="H423" i="1"/>
  <c r="H254" i="1"/>
  <c r="G241" i="1"/>
  <c r="G92" i="1"/>
  <c r="H225" i="1"/>
  <c r="G458" i="1"/>
  <c r="H127" i="1"/>
  <c r="H399" i="1"/>
  <c r="H472" i="1"/>
  <c r="G463" i="1"/>
  <c r="H111" i="1"/>
  <c r="H110" i="1"/>
  <c r="G459" i="1"/>
  <c r="H222" i="1"/>
  <c r="H463" i="1"/>
  <c r="H418" i="1"/>
  <c r="H461" i="1"/>
  <c r="G126" i="1"/>
  <c r="G314" i="1"/>
  <c r="H93" i="1"/>
  <c r="H301" i="1"/>
  <c r="H184" i="1"/>
  <c r="H338" i="1"/>
  <c r="G224" i="1"/>
  <c r="G372" i="1"/>
  <c r="H266" i="1"/>
  <c r="G235" i="1"/>
  <c r="J235" i="1" s="1"/>
  <c r="G137" i="1"/>
  <c r="H371" i="1"/>
  <c r="H295" i="1"/>
  <c r="H90" i="1"/>
  <c r="I90" i="1" s="1"/>
  <c r="G213" i="1"/>
  <c r="H194" i="1"/>
  <c r="H257" i="1"/>
  <c r="H366" i="1"/>
  <c r="G316" i="1"/>
  <c r="H97" i="1"/>
  <c r="G412" i="1"/>
  <c r="G411" i="1"/>
  <c r="H150" i="1"/>
  <c r="H149" i="1"/>
  <c r="H397" i="1"/>
  <c r="G410" i="1"/>
  <c r="H309" i="1"/>
  <c r="H169" i="1"/>
  <c r="G101" i="1"/>
  <c r="G110" i="1"/>
  <c r="G149" i="1"/>
  <c r="G148" i="1"/>
  <c r="H318" i="1"/>
  <c r="H220" i="1"/>
  <c r="G205" i="1"/>
  <c r="H287" i="1"/>
  <c r="H42" i="1"/>
  <c r="H114" i="1"/>
  <c r="H113" i="1"/>
  <c r="G262" i="1"/>
  <c r="H433" i="1"/>
  <c r="G122" i="1"/>
  <c r="H471" i="1"/>
  <c r="H470" i="1"/>
  <c r="H218" i="1"/>
  <c r="H250" i="1"/>
  <c r="H228" i="1"/>
  <c r="H297" i="1"/>
  <c r="G437" i="1"/>
  <c r="G434" i="1"/>
  <c r="G436" i="1"/>
  <c r="G462" i="1"/>
  <c r="G397" i="1"/>
  <c r="G453" i="1"/>
  <c r="G252" i="1"/>
  <c r="H147" i="1"/>
  <c r="G388" i="1"/>
  <c r="G223" i="1"/>
  <c r="G214" i="1"/>
  <c r="H195" i="1"/>
  <c r="H249" i="1"/>
  <c r="H356" i="1"/>
  <c r="G243" i="1"/>
  <c r="G335" i="1"/>
  <c r="G443" i="1"/>
  <c r="G445" i="1"/>
  <c r="G444" i="1"/>
  <c r="G403" i="1"/>
  <c r="H420" i="1"/>
  <c r="H421" i="1"/>
  <c r="G250" i="1"/>
  <c r="G450" i="1"/>
  <c r="H100" i="1"/>
  <c r="G109" i="1"/>
  <c r="H186" i="1"/>
  <c r="G310" i="1"/>
  <c r="H199" i="1"/>
  <c r="H302" i="1"/>
  <c r="G169" i="1"/>
  <c r="H344" i="1"/>
  <c r="J344" i="1" s="1"/>
  <c r="G377" i="1"/>
  <c r="G165" i="1"/>
  <c r="H92" i="1"/>
  <c r="H272" i="1"/>
  <c r="H91" i="1"/>
  <c r="H259" i="1"/>
  <c r="H341" i="1"/>
  <c r="G317" i="1"/>
  <c r="H411" i="1"/>
  <c r="H413" i="1"/>
  <c r="H409" i="1"/>
  <c r="H408" i="1"/>
  <c r="H410" i="1"/>
  <c r="G236" i="1"/>
  <c r="H322" i="1"/>
  <c r="G413" i="1"/>
  <c r="H473" i="1"/>
  <c r="H430" i="1"/>
  <c r="H146" i="1"/>
  <c r="H145" i="1"/>
  <c r="G258" i="1"/>
  <c r="H52" i="1"/>
  <c r="H124" i="1"/>
  <c r="G406" i="1"/>
  <c r="H294" i="1"/>
  <c r="H106" i="1"/>
  <c r="H102" i="1"/>
  <c r="H104" i="1"/>
  <c r="H107" i="1"/>
  <c r="H103" i="1"/>
  <c r="H262" i="1"/>
  <c r="H197" i="1"/>
  <c r="G142" i="1"/>
  <c r="H135" i="1"/>
  <c r="G470" i="1"/>
  <c r="G471" i="1"/>
  <c r="H117" i="1"/>
  <c r="H118" i="1"/>
  <c r="G433" i="1"/>
  <c r="H426" i="1"/>
  <c r="H354" i="1"/>
  <c r="H191" i="1"/>
  <c r="H300" i="1"/>
  <c r="G375" i="1"/>
  <c r="G240" i="1"/>
  <c r="G457" i="1"/>
  <c r="H364" i="1"/>
  <c r="H131" i="1"/>
  <c r="G265" i="1"/>
  <c r="H96" i="1"/>
  <c r="G229" i="1"/>
  <c r="H183" i="1"/>
  <c r="G209" i="1"/>
  <c r="H130" i="1"/>
  <c r="G136" i="1"/>
  <c r="G132" i="1"/>
  <c r="G322" i="1"/>
  <c r="H303" i="1"/>
  <c r="G170" i="1"/>
  <c r="G134" i="1"/>
  <c r="G237" i="1"/>
  <c r="G168" i="1"/>
  <c r="G327" i="1"/>
  <c r="G215" i="1"/>
  <c r="G382" i="1"/>
  <c r="G371" i="1"/>
  <c r="G166" i="1"/>
  <c r="H275" i="1"/>
  <c r="H166" i="1"/>
  <c r="G449" i="1"/>
  <c r="G447" i="1"/>
  <c r="G424" i="1"/>
  <c r="G425" i="1"/>
  <c r="G422" i="1"/>
  <c r="H154" i="1"/>
  <c r="H153" i="1"/>
  <c r="H396" i="1"/>
  <c r="H202" i="1"/>
  <c r="H125" i="1"/>
  <c r="G473" i="1"/>
  <c r="G396" i="1"/>
  <c r="H248" i="1"/>
  <c r="H258" i="1"/>
  <c r="H121" i="1"/>
  <c r="H334" i="1"/>
  <c r="H115" i="1"/>
  <c r="G300" i="1"/>
  <c r="G106" i="1"/>
  <c r="G104" i="1"/>
  <c r="G107" i="1"/>
  <c r="G102" i="1"/>
  <c r="J102" i="1" s="1"/>
  <c r="G105" i="1"/>
  <c r="G103" i="1"/>
  <c r="H328" i="1"/>
  <c r="H462" i="1"/>
  <c r="H460" i="1"/>
  <c r="H464" i="1"/>
  <c r="H465" i="1"/>
  <c r="H412" i="1"/>
  <c r="H304" i="1"/>
  <c r="H123" i="1"/>
  <c r="H122" i="1"/>
  <c r="G118" i="1"/>
  <c r="G117" i="1"/>
  <c r="H431" i="1"/>
  <c r="G428" i="1"/>
  <c r="H247" i="1"/>
  <c r="G429" i="1"/>
  <c r="H348" i="1"/>
  <c r="H291" i="1"/>
  <c r="G242" i="1"/>
  <c r="H293" i="1"/>
  <c r="G389" i="1"/>
  <c r="G374" i="1"/>
  <c r="H128" i="1"/>
  <c r="G116" i="1"/>
  <c r="H281" i="1"/>
  <c r="H280" i="1"/>
  <c r="H101" i="1"/>
  <c r="G318" i="1"/>
  <c r="G113" i="1"/>
  <c r="G114" i="1"/>
  <c r="H246" i="1"/>
  <c r="G414" i="1"/>
  <c r="H438" i="1"/>
  <c r="G401" i="1"/>
  <c r="H279" i="1"/>
  <c r="H352" i="1"/>
  <c r="H362" i="1"/>
  <c r="G130" i="1"/>
  <c r="G171" i="1"/>
  <c r="H274" i="1"/>
  <c r="G228" i="1"/>
  <c r="G238" i="1"/>
  <c r="H277" i="1"/>
  <c r="H319" i="1"/>
  <c r="H400" i="1"/>
  <c r="G121" i="1"/>
  <c r="G193" i="1"/>
  <c r="H425" i="1"/>
  <c r="H424" i="1"/>
  <c r="H134" i="1"/>
  <c r="H132" i="1"/>
  <c r="H427" i="1"/>
  <c r="G217" i="1"/>
  <c r="H326" i="1"/>
  <c r="H325" i="1"/>
  <c r="G451" i="1"/>
  <c r="H447" i="1"/>
  <c r="G417" i="1"/>
  <c r="G416" i="1"/>
  <c r="G469" i="1"/>
  <c r="G409" i="1"/>
  <c r="G408" i="1"/>
  <c r="G115" i="1"/>
  <c r="G216" i="1"/>
  <c r="H116" i="1"/>
  <c r="G402" i="1"/>
  <c r="H441" i="1"/>
  <c r="H244" i="1"/>
  <c r="H245" i="1"/>
  <c r="H324" i="1"/>
  <c r="H109" i="1"/>
  <c r="G123" i="1"/>
  <c r="G466" i="1"/>
  <c r="H432" i="1"/>
  <c r="H360" i="1"/>
  <c r="G432" i="1"/>
  <c r="G244" i="1"/>
  <c r="I12" i="4" l="1"/>
  <c r="H12" i="4"/>
  <c r="F13" i="4"/>
  <c r="H14" i="2"/>
  <c r="F15" i="2"/>
  <c r="H15" i="2" s="1"/>
  <c r="J86" i="1"/>
  <c r="J288" i="1"/>
  <c r="J387" i="1"/>
  <c r="J346" i="1"/>
  <c r="I229" i="1"/>
  <c r="I387" i="1"/>
  <c r="I220" i="1"/>
  <c r="J314" i="1"/>
  <c r="I207" i="1"/>
  <c r="J94" i="1"/>
  <c r="J388" i="1"/>
  <c r="I226" i="1"/>
  <c r="I376" i="1"/>
  <c r="J82" i="1"/>
  <c r="J186" i="1"/>
  <c r="J57" i="1"/>
  <c r="J418" i="1"/>
  <c r="I196" i="1"/>
  <c r="I182" i="1"/>
  <c r="I366" i="1"/>
  <c r="I372" i="1"/>
  <c r="J395" i="1"/>
  <c r="I392" i="1"/>
  <c r="I315" i="1"/>
  <c r="J271" i="1"/>
  <c r="I282" i="1"/>
  <c r="J202" i="1"/>
  <c r="J177" i="1"/>
  <c r="J278" i="1"/>
  <c r="I195" i="1"/>
  <c r="J287" i="1"/>
  <c r="I162" i="1"/>
  <c r="J157" i="1"/>
  <c r="J37" i="1"/>
  <c r="I256" i="1"/>
  <c r="I171" i="1"/>
  <c r="J382" i="1"/>
  <c r="J351" i="1"/>
  <c r="I268" i="1"/>
  <c r="J234" i="1"/>
  <c r="J39" i="1"/>
  <c r="J238" i="1"/>
  <c r="I395" i="1"/>
  <c r="I384" i="1"/>
  <c r="I370" i="1"/>
  <c r="I286" i="1"/>
  <c r="I339" i="1"/>
  <c r="I285" i="1"/>
  <c r="I335" i="1"/>
  <c r="J321" i="1"/>
  <c r="J364" i="1"/>
  <c r="I288" i="1"/>
  <c r="I317" i="1"/>
  <c r="J376" i="1"/>
  <c r="J270" i="1"/>
  <c r="J285" i="1"/>
  <c r="I202" i="1"/>
  <c r="J264" i="1"/>
  <c r="J178" i="1"/>
  <c r="I263" i="1"/>
  <c r="I206" i="1"/>
  <c r="I39" i="1"/>
  <c r="I86" i="1"/>
  <c r="J337" i="1"/>
  <c r="I364" i="1"/>
  <c r="I274" i="1"/>
  <c r="J414" i="1"/>
  <c r="J304" i="1"/>
  <c r="I275" i="1"/>
  <c r="I183" i="1"/>
  <c r="I375" i="1"/>
  <c r="I145" i="1"/>
  <c r="J272" i="1"/>
  <c r="J310" i="1"/>
  <c r="J355" i="1"/>
  <c r="J307" i="1"/>
  <c r="J357" i="1"/>
  <c r="I175" i="1"/>
  <c r="I352" i="1"/>
  <c r="I377" i="1"/>
  <c r="J221" i="1"/>
  <c r="J139" i="1"/>
  <c r="I128" i="1"/>
  <c r="I331" i="1"/>
  <c r="J281" i="1"/>
  <c r="J140" i="1"/>
  <c r="I210" i="1"/>
  <c r="I194" i="1"/>
  <c r="J277" i="1"/>
  <c r="J209" i="1"/>
  <c r="J239" i="1"/>
  <c r="J402" i="1"/>
  <c r="I291" i="1"/>
  <c r="J146" i="1"/>
  <c r="J301" i="1"/>
  <c r="J386" i="1"/>
  <c r="I383" i="1"/>
  <c r="I373" i="1"/>
  <c r="I180" i="1"/>
  <c r="J138" i="1"/>
  <c r="I151" i="1"/>
  <c r="I130" i="1"/>
  <c r="I135" i="1"/>
  <c r="J165" i="1"/>
  <c r="I137" i="1"/>
  <c r="I198" i="1"/>
  <c r="I349" i="1"/>
  <c r="J269" i="1"/>
  <c r="J185" i="1"/>
  <c r="J306" i="1"/>
  <c r="I230" i="1"/>
  <c r="J180" i="1"/>
  <c r="J254" i="1"/>
  <c r="J334" i="1"/>
  <c r="J143" i="1"/>
  <c r="J219" i="1"/>
  <c r="J328" i="1"/>
  <c r="I345" i="1"/>
  <c r="I89" i="1"/>
  <c r="J322" i="1"/>
  <c r="J214" i="1"/>
  <c r="I88" i="1"/>
  <c r="J320" i="1"/>
  <c r="I238" i="1"/>
  <c r="I228" i="1"/>
  <c r="I214" i="1"/>
  <c r="J168" i="1"/>
  <c r="I302" i="1"/>
  <c r="J327" i="1"/>
  <c r="J341" i="1"/>
  <c r="I357" i="1"/>
  <c r="I94" i="1"/>
  <c r="I460" i="1"/>
  <c r="I215" i="1"/>
  <c r="I157" i="1"/>
  <c r="J210" i="1"/>
  <c r="J237" i="1"/>
  <c r="J332" i="1"/>
  <c r="I85" i="1"/>
  <c r="I320" i="1"/>
  <c r="J174" i="1"/>
  <c r="I167" i="1"/>
  <c r="I296" i="1"/>
  <c r="I232" i="1"/>
  <c r="J155" i="1"/>
  <c r="J325" i="1"/>
  <c r="J308" i="1"/>
  <c r="I193" i="1"/>
  <c r="J170" i="1"/>
  <c r="J87" i="1"/>
  <c r="I143" i="1"/>
  <c r="J175" i="1"/>
  <c r="J347" i="1"/>
  <c r="I363" i="1"/>
  <c r="I186" i="1"/>
  <c r="I219" i="1"/>
  <c r="I140" i="1"/>
  <c r="I385" i="1"/>
  <c r="J160" i="1"/>
  <c r="I292" i="1"/>
  <c r="J203" i="1"/>
  <c r="J88" i="1"/>
  <c r="J194" i="1"/>
  <c r="I126" i="1"/>
  <c r="I78" i="1"/>
  <c r="I307" i="1"/>
  <c r="I82" i="1"/>
  <c r="J89" i="1"/>
  <c r="J373" i="1"/>
  <c r="I277" i="1"/>
  <c r="I300" i="1"/>
  <c r="I169" i="1"/>
  <c r="I55" i="1"/>
  <c r="I37" i="1"/>
  <c r="I371" i="1"/>
  <c r="I293" i="1"/>
  <c r="I197" i="1"/>
  <c r="J162" i="1"/>
  <c r="I328" i="1"/>
  <c r="I168" i="1"/>
  <c r="J302" i="1"/>
  <c r="I239" i="1"/>
  <c r="J352" i="1"/>
  <c r="J317" i="1"/>
  <c r="I281" i="1"/>
  <c r="I209" i="1"/>
  <c r="I91" i="1"/>
  <c r="I161" i="1"/>
  <c r="I163" i="1"/>
  <c r="J313" i="1"/>
  <c r="I64" i="1"/>
  <c r="I235" i="1"/>
  <c r="J130" i="1"/>
  <c r="I185" i="1"/>
  <c r="I153" i="1"/>
  <c r="I134" i="1"/>
  <c r="I403" i="1"/>
  <c r="J184" i="1"/>
  <c r="J377" i="1"/>
  <c r="J359" i="1"/>
  <c r="J358" i="1"/>
  <c r="I289" i="1"/>
  <c r="J311" i="1"/>
  <c r="I174" i="1"/>
  <c r="J374" i="1"/>
  <c r="I87" i="1"/>
  <c r="J267" i="1"/>
  <c r="J371" i="1"/>
  <c r="I325" i="1"/>
  <c r="J193" i="1"/>
  <c r="I170" i="1"/>
  <c r="I308" i="1"/>
  <c r="J435" i="1"/>
  <c r="I279" i="1"/>
  <c r="I327" i="1"/>
  <c r="I341" i="1"/>
  <c r="J197" i="1"/>
  <c r="I212" i="1"/>
  <c r="J280" i="1"/>
  <c r="I69" i="1"/>
  <c r="J181" i="1"/>
  <c r="I295" i="1"/>
  <c r="I303" i="1"/>
  <c r="I266" i="1"/>
  <c r="J145" i="1"/>
  <c r="I360" i="1"/>
  <c r="I297" i="1"/>
  <c r="I172" i="1"/>
  <c r="I347" i="1"/>
  <c r="J362" i="1"/>
  <c r="I242" i="1"/>
  <c r="J392" i="1"/>
  <c r="J133" i="1"/>
  <c r="J187" i="1"/>
  <c r="I148" i="1"/>
  <c r="I431" i="1"/>
  <c r="J167" i="1"/>
  <c r="J150" i="1"/>
  <c r="I350" i="1"/>
  <c r="I269" i="1"/>
  <c r="I211" i="1"/>
  <c r="J276" i="1"/>
  <c r="I165" i="1"/>
  <c r="J135" i="1"/>
  <c r="J207" i="1"/>
  <c r="I334" i="1"/>
  <c r="J127" i="1"/>
  <c r="I428" i="1"/>
  <c r="J323" i="1"/>
  <c r="I336" i="1"/>
  <c r="J339" i="1"/>
  <c r="I83" i="1"/>
  <c r="J56" i="1"/>
  <c r="J279" i="1"/>
  <c r="J292" i="1"/>
  <c r="J266" i="1"/>
  <c r="I355" i="1"/>
  <c r="I461" i="1"/>
  <c r="I394" i="1"/>
  <c r="J144" i="1"/>
  <c r="J151" i="1"/>
  <c r="J201" i="1"/>
  <c r="I187" i="1"/>
  <c r="I305" i="1"/>
  <c r="J226" i="1"/>
  <c r="J331" i="1"/>
  <c r="I221" i="1"/>
  <c r="J172" i="1"/>
  <c r="J384" i="1"/>
  <c r="J215" i="1"/>
  <c r="J163" i="1"/>
  <c r="I166" i="1"/>
  <c r="I240" i="1"/>
  <c r="I199" i="1"/>
  <c r="I224" i="1"/>
  <c r="I155" i="1"/>
  <c r="I255" i="1"/>
  <c r="I204" i="1"/>
  <c r="I129" i="1"/>
  <c r="I271" i="1"/>
  <c r="I306" i="1"/>
  <c r="I290" i="1"/>
  <c r="I301" i="1"/>
  <c r="I367" i="1"/>
  <c r="I389" i="1"/>
  <c r="I354" i="1"/>
  <c r="I391" i="1"/>
  <c r="J190" i="1"/>
  <c r="J275" i="1"/>
  <c r="J156" i="1"/>
  <c r="J53" i="1"/>
  <c r="J84" i="1"/>
  <c r="I179" i="1"/>
  <c r="I56" i="1"/>
  <c r="I304" i="1"/>
  <c r="J85" i="1"/>
  <c r="J171" i="1"/>
  <c r="J128" i="1"/>
  <c r="I393" i="1"/>
  <c r="J293" i="1"/>
  <c r="I184" i="1"/>
  <c r="J158" i="1"/>
  <c r="I311" i="1"/>
  <c r="I351" i="1"/>
  <c r="J126" i="1"/>
  <c r="J83" i="1"/>
  <c r="I374" i="1"/>
  <c r="J303" i="1"/>
  <c r="I430" i="1"/>
  <c r="J169" i="1"/>
  <c r="J289" i="1"/>
  <c r="I96" i="1"/>
  <c r="I208" i="1"/>
  <c r="I368" i="1"/>
  <c r="J329" i="1"/>
  <c r="I154" i="1"/>
  <c r="J383" i="1"/>
  <c r="J212" i="1"/>
  <c r="I203" i="1"/>
  <c r="I312" i="1"/>
  <c r="J380" i="1"/>
  <c r="J381" i="1"/>
  <c r="I95" i="1"/>
  <c r="J393" i="1"/>
  <c r="I344" i="1"/>
  <c r="J431" i="1"/>
  <c r="I322" i="1"/>
  <c r="I205" i="1"/>
  <c r="I267" i="1"/>
  <c r="J176" i="1"/>
  <c r="I379" i="1"/>
  <c r="J415" i="1"/>
  <c r="I233" i="1"/>
  <c r="J35" i="1"/>
  <c r="I35" i="1"/>
  <c r="I33" i="1"/>
  <c r="J33" i="1"/>
  <c r="I53" i="1"/>
  <c r="I332" i="1"/>
  <c r="J129" i="1"/>
  <c r="J368" i="1"/>
  <c r="J255" i="1"/>
  <c r="I323" i="1"/>
  <c r="J461" i="1"/>
  <c r="I361" i="1"/>
  <c r="J336" i="1"/>
  <c r="J131" i="1"/>
  <c r="I309" i="1"/>
  <c r="I313" i="1"/>
  <c r="I287" i="1"/>
  <c r="I294" i="1"/>
  <c r="I52" i="1"/>
  <c r="J52" i="1"/>
  <c r="J66" i="1"/>
  <c r="I66" i="1"/>
  <c r="I61" i="1"/>
  <c r="J61" i="1"/>
  <c r="I36" i="1"/>
  <c r="J36" i="1"/>
  <c r="I44" i="1"/>
  <c r="J44" i="1"/>
  <c r="I43" i="1"/>
  <c r="J43" i="1"/>
  <c r="J30" i="1"/>
  <c r="I30" i="1"/>
  <c r="I81" i="1"/>
  <c r="J81" i="1"/>
  <c r="I62" i="1"/>
  <c r="J62" i="1"/>
  <c r="J196" i="1"/>
  <c r="I77" i="1"/>
  <c r="J77" i="1"/>
  <c r="J90" i="1"/>
  <c r="I386" i="1"/>
  <c r="J345" i="1"/>
  <c r="J389" i="1"/>
  <c r="J354" i="1"/>
  <c r="I316" i="1"/>
  <c r="I93" i="1"/>
  <c r="I110" i="1"/>
  <c r="I254" i="1"/>
  <c r="I348" i="1"/>
  <c r="I358" i="1"/>
  <c r="I156" i="1"/>
  <c r="I150" i="1"/>
  <c r="J268" i="1"/>
  <c r="I138" i="1"/>
  <c r="J189" i="1"/>
  <c r="I278" i="1"/>
  <c r="J152" i="1"/>
  <c r="I234" i="1"/>
  <c r="I321" i="1"/>
  <c r="I65" i="1"/>
  <c r="J65" i="1"/>
  <c r="I59" i="1"/>
  <c r="J59" i="1"/>
  <c r="I50" i="1"/>
  <c r="J50" i="1"/>
  <c r="I31" i="1"/>
  <c r="J31" i="1"/>
  <c r="I38" i="1"/>
  <c r="J38" i="1"/>
  <c r="J78" i="1"/>
  <c r="I227" i="1"/>
  <c r="J76" i="1"/>
  <c r="I76" i="1"/>
  <c r="I60" i="1"/>
  <c r="J60" i="1"/>
  <c r="I79" i="1"/>
  <c r="J79" i="1"/>
  <c r="I41" i="1"/>
  <c r="J41" i="1"/>
  <c r="J291" i="1"/>
  <c r="I272" i="1"/>
  <c r="J95" i="1"/>
  <c r="J305" i="1"/>
  <c r="I264" i="1"/>
  <c r="J179" i="1"/>
  <c r="J132" i="1"/>
  <c r="J413" i="1"/>
  <c r="I127" i="1"/>
  <c r="J242" i="1"/>
  <c r="I223" i="1"/>
  <c r="J247" i="1"/>
  <c r="I390" i="1"/>
  <c r="I67" i="1"/>
  <c r="J67" i="1"/>
  <c r="J51" i="1"/>
  <c r="I51" i="1"/>
  <c r="I68" i="1"/>
  <c r="J68" i="1"/>
  <c r="J70" i="1"/>
  <c r="I70" i="1"/>
  <c r="I47" i="1"/>
  <c r="J47" i="1"/>
  <c r="J64" i="1"/>
  <c r="I191" i="1"/>
  <c r="J32" i="1"/>
  <c r="I32" i="1"/>
  <c r="J80" i="1"/>
  <c r="I80" i="1"/>
  <c r="J290" i="1"/>
  <c r="J391" i="1"/>
  <c r="J96" i="1"/>
  <c r="J340" i="1"/>
  <c r="I359" i="1"/>
  <c r="I160" i="1"/>
  <c r="I365" i="1"/>
  <c r="I381" i="1"/>
  <c r="J295" i="1"/>
  <c r="I259" i="1"/>
  <c r="J173" i="1"/>
  <c r="J48" i="1"/>
  <c r="I48" i="1"/>
  <c r="I71" i="1"/>
  <c r="J71" i="1"/>
  <c r="I49" i="1"/>
  <c r="J49" i="1"/>
  <c r="I40" i="1"/>
  <c r="J40" i="1"/>
  <c r="J69" i="1"/>
  <c r="I75" i="1"/>
  <c r="J75" i="1"/>
  <c r="J45" i="1"/>
  <c r="I45" i="1"/>
  <c r="I164" i="1"/>
  <c r="J312" i="1"/>
  <c r="I84" i="1"/>
  <c r="I280" i="1"/>
  <c r="J457" i="1"/>
  <c r="I388" i="1"/>
  <c r="J161" i="1"/>
  <c r="J366" i="1"/>
  <c r="J335" i="1"/>
  <c r="J183" i="1"/>
  <c r="J360" i="1"/>
  <c r="J204" i="1"/>
  <c r="J297" i="1"/>
  <c r="J136" i="1"/>
  <c r="J342" i="1"/>
  <c r="J199" i="1"/>
  <c r="I270" i="1"/>
  <c r="I58" i="1"/>
  <c r="J58" i="1"/>
  <c r="I73" i="1"/>
  <c r="J73" i="1"/>
  <c r="I54" i="1"/>
  <c r="J54" i="1"/>
  <c r="J72" i="1"/>
  <c r="I72" i="1"/>
  <c r="J34" i="1"/>
  <c r="I34" i="1"/>
  <c r="I46" i="1"/>
  <c r="J46" i="1"/>
  <c r="I177" i="1"/>
  <c r="J353" i="1"/>
  <c r="J154" i="1"/>
  <c r="I380" i="1"/>
  <c r="I178" i="1"/>
  <c r="I116" i="1"/>
  <c r="J213" i="1"/>
  <c r="J369" i="1"/>
  <c r="I190" i="1"/>
  <c r="J338" i="1"/>
  <c r="J372" i="1"/>
  <c r="I146" i="1"/>
  <c r="I440" i="1"/>
  <c r="I192" i="1"/>
  <c r="J63" i="1"/>
  <c r="I63" i="1"/>
  <c r="I42" i="1"/>
  <c r="J42" i="1"/>
  <c r="J74" i="1"/>
  <c r="I74" i="1"/>
  <c r="I57" i="1"/>
  <c r="J55" i="1"/>
  <c r="J258" i="1"/>
  <c r="I258" i="1"/>
  <c r="J246" i="1"/>
  <c r="I246" i="1"/>
  <c r="J182" i="1"/>
  <c r="J274" i="1"/>
  <c r="I152" i="1"/>
  <c r="I136" i="1"/>
  <c r="J350" i="1"/>
  <c r="J259" i="1"/>
  <c r="J283" i="1"/>
  <c r="I276" i="1"/>
  <c r="J256" i="1"/>
  <c r="J349" i="1"/>
  <c r="J206" i="1"/>
  <c r="J115" i="1"/>
  <c r="I115" i="1"/>
  <c r="I247" i="1"/>
  <c r="J300" i="1"/>
  <c r="I470" i="1"/>
  <c r="J470" i="1"/>
  <c r="I102" i="1"/>
  <c r="J444" i="1"/>
  <c r="I444" i="1"/>
  <c r="I397" i="1"/>
  <c r="J397" i="1"/>
  <c r="I101" i="1"/>
  <c r="J101" i="1"/>
  <c r="J412" i="1"/>
  <c r="I412" i="1"/>
  <c r="I458" i="1"/>
  <c r="J458" i="1"/>
  <c r="I378" i="1"/>
  <c r="J378" i="1"/>
  <c r="I420" i="1"/>
  <c r="J420" i="1"/>
  <c r="I400" i="1"/>
  <c r="J400" i="1"/>
  <c r="J343" i="1"/>
  <c r="I343" i="1"/>
  <c r="J472" i="1"/>
  <c r="I472" i="1"/>
  <c r="I249" i="1"/>
  <c r="J249" i="1"/>
  <c r="J261" i="1"/>
  <c r="I261" i="1"/>
  <c r="J407" i="1"/>
  <c r="I407" i="1"/>
  <c r="I427" i="1"/>
  <c r="J427" i="1"/>
  <c r="J103" i="1"/>
  <c r="I103" i="1"/>
  <c r="I398" i="1"/>
  <c r="J398" i="1"/>
  <c r="J423" i="1"/>
  <c r="I423" i="1"/>
  <c r="I98" i="1"/>
  <c r="J98" i="1"/>
  <c r="I231" i="1"/>
  <c r="J231" i="1"/>
  <c r="J228" i="1"/>
  <c r="I123" i="1"/>
  <c r="J123" i="1"/>
  <c r="J216" i="1"/>
  <c r="I216" i="1"/>
  <c r="J451" i="1"/>
  <c r="I451" i="1"/>
  <c r="J116" i="1"/>
  <c r="I429" i="1"/>
  <c r="J429" i="1"/>
  <c r="I105" i="1"/>
  <c r="J105" i="1"/>
  <c r="J471" i="1"/>
  <c r="I471" i="1"/>
  <c r="J453" i="1"/>
  <c r="I453" i="1"/>
  <c r="J110" i="1"/>
  <c r="J411" i="1"/>
  <c r="I411" i="1"/>
  <c r="I338" i="1"/>
  <c r="J324" i="1"/>
  <c r="I324" i="1"/>
  <c r="I452" i="1"/>
  <c r="J452" i="1"/>
  <c r="J379" i="1"/>
  <c r="J467" i="1"/>
  <c r="I467" i="1"/>
  <c r="I125" i="1"/>
  <c r="J125" i="1"/>
  <c r="J356" i="1"/>
  <c r="I356" i="1"/>
  <c r="I438" i="1"/>
  <c r="J438" i="1"/>
  <c r="I299" i="1"/>
  <c r="J299" i="1"/>
  <c r="I248" i="1"/>
  <c r="J248" i="1"/>
  <c r="I99" i="1"/>
  <c r="J99" i="1"/>
  <c r="I418" i="1"/>
  <c r="I176" i="1"/>
  <c r="I189" i="1"/>
  <c r="J316" i="1"/>
  <c r="J286" i="1"/>
  <c r="J232" i="1"/>
  <c r="J309" i="1"/>
  <c r="J365" i="1"/>
  <c r="J230" i="1"/>
  <c r="I181" i="1"/>
  <c r="I369" i="1"/>
  <c r="J223" i="1"/>
  <c r="J394" i="1"/>
  <c r="J91" i="1"/>
  <c r="I408" i="1"/>
  <c r="J408" i="1"/>
  <c r="J121" i="1"/>
  <c r="I121" i="1"/>
  <c r="I114" i="1"/>
  <c r="J114" i="1"/>
  <c r="J428" i="1"/>
  <c r="I107" i="1"/>
  <c r="J107" i="1"/>
  <c r="I422" i="1"/>
  <c r="J422" i="1"/>
  <c r="I413" i="1"/>
  <c r="J109" i="1"/>
  <c r="I109" i="1"/>
  <c r="J445" i="1"/>
  <c r="I445" i="1"/>
  <c r="I462" i="1"/>
  <c r="J462" i="1"/>
  <c r="J459" i="1"/>
  <c r="I459" i="1"/>
  <c r="J456" i="1"/>
  <c r="I456" i="1"/>
  <c r="I245" i="1"/>
  <c r="J245" i="1"/>
  <c r="I342" i="1"/>
  <c r="J426" i="1"/>
  <c r="I426" i="1"/>
  <c r="J399" i="1"/>
  <c r="I399" i="1"/>
  <c r="I112" i="1"/>
  <c r="J112" i="1"/>
  <c r="I457" i="1"/>
  <c r="J441" i="1"/>
  <c r="I441" i="1"/>
  <c r="I402" i="1"/>
  <c r="I260" i="1"/>
  <c r="J260" i="1"/>
  <c r="I421" i="1"/>
  <c r="J421" i="1"/>
  <c r="J229" i="1"/>
  <c r="J233" i="1"/>
  <c r="J205" i="1"/>
  <c r="J192" i="1"/>
  <c r="I436" i="1"/>
  <c r="J436" i="1"/>
  <c r="J108" i="1"/>
  <c r="I108" i="1"/>
  <c r="I111" i="1"/>
  <c r="J111" i="1"/>
  <c r="J188" i="1"/>
  <c r="I188" i="1"/>
  <c r="J241" i="1"/>
  <c r="I241" i="1"/>
  <c r="J330" i="1"/>
  <c r="I330" i="1"/>
  <c r="I298" i="1"/>
  <c r="J298" i="1"/>
  <c r="I435" i="1"/>
  <c r="I141" i="1"/>
  <c r="I414" i="1"/>
  <c r="J326" i="1"/>
  <c r="I326" i="1"/>
  <c r="J466" i="1"/>
  <c r="I466" i="1"/>
  <c r="I252" i="1"/>
  <c r="J252" i="1"/>
  <c r="I200" i="1"/>
  <c r="J200" i="1"/>
  <c r="J464" i="1"/>
  <c r="I464" i="1"/>
  <c r="I446" i="1"/>
  <c r="J446" i="1"/>
  <c r="J244" i="1"/>
  <c r="I244" i="1"/>
  <c r="J409" i="1"/>
  <c r="I409" i="1"/>
  <c r="J113" i="1"/>
  <c r="I113" i="1"/>
  <c r="I396" i="1"/>
  <c r="J396" i="1"/>
  <c r="I443" i="1"/>
  <c r="J443" i="1"/>
  <c r="J92" i="1"/>
  <c r="I92" i="1"/>
  <c r="J465" i="1"/>
  <c r="I465" i="1"/>
  <c r="I120" i="1"/>
  <c r="J120" i="1"/>
  <c r="I454" i="1"/>
  <c r="J454" i="1"/>
  <c r="I124" i="1"/>
  <c r="J124" i="1"/>
  <c r="J367" i="1"/>
  <c r="I419" i="1"/>
  <c r="J419" i="1"/>
  <c r="J284" i="1"/>
  <c r="I284" i="1"/>
  <c r="I415" i="1"/>
  <c r="J370" i="1"/>
  <c r="J294" i="1"/>
  <c r="J191" i="1"/>
  <c r="J166" i="1"/>
  <c r="J227" i="1"/>
  <c r="I382" i="1"/>
  <c r="I144" i="1"/>
  <c r="J153" i="1"/>
  <c r="J198" i="1"/>
  <c r="J432" i="1"/>
  <c r="I432" i="1"/>
  <c r="J469" i="1"/>
  <c r="I469" i="1"/>
  <c r="J318" i="1"/>
  <c r="I318" i="1"/>
  <c r="J117" i="1"/>
  <c r="I117" i="1"/>
  <c r="I106" i="1"/>
  <c r="J106" i="1"/>
  <c r="I424" i="1"/>
  <c r="J424" i="1"/>
  <c r="J406" i="1"/>
  <c r="I406" i="1"/>
  <c r="J434" i="1"/>
  <c r="I434" i="1"/>
  <c r="I455" i="1"/>
  <c r="J455" i="1"/>
  <c r="I329" i="1"/>
  <c r="J348" i="1"/>
  <c r="I237" i="1"/>
  <c r="I362" i="1"/>
  <c r="I131" i="1"/>
  <c r="J220" i="1"/>
  <c r="J93" i="1"/>
  <c r="I132" i="1"/>
  <c r="J315" i="1"/>
  <c r="I273" i="1"/>
  <c r="J240" i="1"/>
  <c r="I173" i="1"/>
  <c r="J224" i="1"/>
  <c r="J195" i="1"/>
  <c r="J375" i="1"/>
  <c r="I346" i="1"/>
  <c r="I314" i="1"/>
  <c r="J390" i="1"/>
  <c r="J134" i="1"/>
  <c r="J416" i="1"/>
  <c r="I416" i="1"/>
  <c r="J118" i="1"/>
  <c r="I118" i="1"/>
  <c r="I447" i="1"/>
  <c r="J447" i="1"/>
  <c r="I433" i="1"/>
  <c r="J433" i="1"/>
  <c r="I250" i="1"/>
  <c r="J250" i="1"/>
  <c r="I243" i="1"/>
  <c r="J243" i="1"/>
  <c r="I437" i="1"/>
  <c r="J437" i="1"/>
  <c r="J463" i="1"/>
  <c r="I463" i="1"/>
  <c r="J251" i="1"/>
  <c r="I251" i="1"/>
  <c r="J147" i="1"/>
  <c r="I147" i="1"/>
  <c r="J448" i="1"/>
  <c r="I448" i="1"/>
  <c r="I333" i="1"/>
  <c r="J333" i="1"/>
  <c r="I319" i="1"/>
  <c r="J319" i="1"/>
  <c r="J218" i="1"/>
  <c r="I218" i="1"/>
  <c r="J440" i="1"/>
  <c r="I100" i="1"/>
  <c r="J100" i="1"/>
  <c r="J430" i="1"/>
  <c r="I139" i="1"/>
  <c r="J460" i="1"/>
  <c r="J263" i="1"/>
  <c r="I149" i="1"/>
  <c r="J149" i="1"/>
  <c r="I225" i="1"/>
  <c r="J225" i="1"/>
  <c r="I404" i="1"/>
  <c r="J404" i="1"/>
  <c r="J217" i="1"/>
  <c r="I217" i="1"/>
  <c r="I104" i="1"/>
  <c r="J104" i="1"/>
  <c r="I425" i="1"/>
  <c r="J425" i="1"/>
  <c r="I265" i="1"/>
  <c r="J265" i="1"/>
  <c r="I142" i="1"/>
  <c r="J142" i="1"/>
  <c r="I119" i="1"/>
  <c r="J119" i="1"/>
  <c r="J159" i="1"/>
  <c r="I159" i="1"/>
  <c r="I97" i="1"/>
  <c r="J97" i="1"/>
  <c r="I257" i="1"/>
  <c r="J257" i="1"/>
  <c r="I201" i="1"/>
  <c r="I310" i="1"/>
  <c r="J164" i="1"/>
  <c r="I473" i="1"/>
  <c r="J473" i="1"/>
  <c r="I450" i="1"/>
  <c r="J450" i="1"/>
  <c r="J122" i="1"/>
  <c r="I122" i="1"/>
  <c r="I410" i="1"/>
  <c r="J410" i="1"/>
  <c r="I222" i="1"/>
  <c r="J222" i="1"/>
  <c r="J137" i="1"/>
  <c r="J211" i="1"/>
  <c r="J282" i="1"/>
  <c r="I213" i="1"/>
  <c r="J361" i="1"/>
  <c r="J208" i="1"/>
  <c r="I417" i="1"/>
  <c r="J417" i="1"/>
  <c r="I401" i="1"/>
  <c r="J401" i="1"/>
  <c r="I449" i="1"/>
  <c r="J449" i="1"/>
  <c r="I236" i="1"/>
  <c r="J236" i="1"/>
  <c r="I262" i="1"/>
  <c r="J262" i="1"/>
  <c r="I253" i="1"/>
  <c r="J253" i="1"/>
  <c r="J468" i="1"/>
  <c r="I468" i="1"/>
  <c r="J385" i="1"/>
  <c r="I439" i="1"/>
  <c r="J439" i="1"/>
  <c r="J403" i="1"/>
  <c r="J442" i="1"/>
  <c r="I442" i="1"/>
  <c r="J296" i="1"/>
  <c r="I405" i="1"/>
  <c r="J405" i="1"/>
  <c r="I133" i="1"/>
  <c r="J148" i="1"/>
  <c r="H13" i="4" l="1"/>
  <c r="F14" i="4"/>
  <c r="I13" i="4"/>
  <c r="F16" i="2"/>
  <c r="F17" i="2" s="1"/>
  <c r="I15" i="2"/>
  <c r="H14" i="4" l="1"/>
  <c r="F15" i="4"/>
  <c r="I14" i="4"/>
  <c r="H16" i="2"/>
  <c r="I16" i="2"/>
  <c r="H17" i="2"/>
  <c r="I17" i="2"/>
  <c r="F18" i="2"/>
  <c r="F16" i="4" l="1"/>
  <c r="I15" i="4"/>
  <c r="H15" i="4"/>
  <c r="H18" i="2"/>
  <c r="I18" i="2"/>
  <c r="F19" i="2"/>
  <c r="F17" i="4" l="1"/>
  <c r="H16" i="4"/>
  <c r="I16" i="4"/>
  <c r="F20" i="2"/>
  <c r="H19" i="2"/>
  <c r="I19" i="2"/>
  <c r="H17" i="4" l="1"/>
  <c r="I17" i="4"/>
  <c r="F18" i="4"/>
  <c r="H20" i="2"/>
  <c r="I20" i="2"/>
  <c r="F21" i="2"/>
  <c r="I18" i="4" l="1"/>
  <c r="H18" i="4"/>
  <c r="F19" i="4"/>
  <c r="H21" i="2"/>
  <c r="I21" i="2"/>
  <c r="F22" i="2"/>
  <c r="I19" i="4" l="1"/>
  <c r="F20" i="4"/>
  <c r="H19" i="4"/>
  <c r="F23" i="2"/>
  <c r="H22" i="2"/>
  <c r="I22" i="2"/>
  <c r="I20" i="4" l="1"/>
  <c r="H20" i="4"/>
  <c r="F21" i="4"/>
  <c r="I23" i="2"/>
  <c r="H23" i="2"/>
  <c r="F24" i="2"/>
  <c r="I21" i="4" l="1"/>
  <c r="H21" i="4"/>
  <c r="F22" i="4"/>
  <c r="I24" i="2"/>
  <c r="F25" i="2"/>
  <c r="H24" i="2"/>
  <c r="H22" i="4" l="1"/>
  <c r="F23" i="4"/>
  <c r="I22" i="4"/>
  <c r="H25" i="2"/>
  <c r="I25" i="2"/>
  <c r="F26" i="2"/>
  <c r="F24" i="4" l="1"/>
  <c r="I23" i="4"/>
  <c r="H23" i="4"/>
  <c r="H26" i="2"/>
  <c r="I26" i="2"/>
  <c r="F27" i="2"/>
  <c r="F25" i="4" l="1"/>
  <c r="I24" i="4"/>
  <c r="H24" i="4"/>
  <c r="F28" i="2"/>
  <c r="I27" i="2"/>
  <c r="H27" i="2"/>
  <c r="I25" i="4" l="1"/>
  <c r="H25" i="4"/>
  <c r="F26" i="4"/>
  <c r="H28" i="2"/>
  <c r="I28" i="2"/>
  <c r="F29" i="2"/>
  <c r="I26" i="4" l="1"/>
  <c r="F27" i="4"/>
  <c r="H26" i="4"/>
  <c r="H29" i="2"/>
  <c r="I29" i="2"/>
  <c r="F30" i="2"/>
  <c r="I27" i="4" l="1"/>
  <c r="H27" i="4"/>
  <c r="F28" i="4"/>
  <c r="F31" i="2"/>
  <c r="H30" i="2"/>
  <c r="I30" i="2"/>
  <c r="I28" i="4" l="1"/>
  <c r="H28" i="4"/>
  <c r="F29" i="4"/>
  <c r="H31" i="2"/>
  <c r="I31" i="2"/>
  <c r="F32" i="2"/>
  <c r="I29" i="4" l="1"/>
  <c r="H29" i="4"/>
  <c r="F30" i="4"/>
  <c r="K30" i="4" s="1"/>
  <c r="I32" i="2"/>
  <c r="F33" i="2"/>
  <c r="H32" i="2"/>
  <c r="H30" i="4" l="1"/>
  <c r="F31" i="4"/>
  <c r="K31" i="4" s="1"/>
  <c r="I30" i="4"/>
  <c r="H33" i="2"/>
  <c r="I33" i="2"/>
  <c r="F34" i="2"/>
  <c r="F32" i="4" l="1"/>
  <c r="K32" i="4" s="1"/>
  <c r="I31" i="4"/>
  <c r="H31" i="4"/>
  <c r="H34" i="2"/>
  <c r="I34" i="2"/>
  <c r="F35" i="2"/>
  <c r="H32" i="4" l="1"/>
  <c r="F33" i="4"/>
  <c r="K33" i="4" s="1"/>
  <c r="I32" i="4"/>
  <c r="F36" i="2"/>
  <c r="I35" i="2"/>
  <c r="H35" i="2"/>
  <c r="F34" i="4" l="1"/>
  <c r="K34" i="4" s="1"/>
  <c r="I33" i="4"/>
  <c r="H33" i="4"/>
  <c r="H36" i="2"/>
  <c r="I36" i="2"/>
  <c r="F37" i="2"/>
  <c r="I34" i="4" l="1"/>
  <c r="F35" i="4"/>
  <c r="K35" i="4" s="1"/>
  <c r="H34" i="4"/>
  <c r="H37" i="2"/>
  <c r="I37" i="2"/>
  <c r="F38" i="2"/>
  <c r="I35" i="4" l="1"/>
  <c r="H35" i="4"/>
  <c r="F36" i="4"/>
  <c r="K36" i="4" s="1"/>
  <c r="F39" i="2"/>
  <c r="H38" i="2"/>
  <c r="I38" i="2"/>
  <c r="I36" i="4" l="1"/>
  <c r="H36" i="4"/>
  <c r="F37" i="4"/>
  <c r="K37" i="4" s="1"/>
  <c r="H39" i="2"/>
  <c r="I39" i="2"/>
  <c r="F40" i="2"/>
  <c r="I37" i="4" l="1"/>
  <c r="H37" i="4"/>
  <c r="F38" i="4"/>
  <c r="K38" i="4" s="1"/>
  <c r="I40" i="2"/>
  <c r="F41" i="2"/>
  <c r="H40" i="2"/>
  <c r="H38" i="4" l="1"/>
  <c r="F39" i="4"/>
  <c r="K39" i="4" s="1"/>
  <c r="I38" i="4"/>
  <c r="H41" i="2"/>
  <c r="F42" i="2"/>
  <c r="I41" i="2"/>
  <c r="F40" i="4" l="1"/>
  <c r="K40" i="4" s="1"/>
  <c r="I39" i="4"/>
  <c r="H39" i="4"/>
  <c r="H42" i="2"/>
  <c r="I42" i="2"/>
  <c r="F43" i="2"/>
  <c r="F41" i="4" l="1"/>
  <c r="K41" i="4" s="1"/>
  <c r="I40" i="4"/>
  <c r="H40" i="4"/>
  <c r="F44" i="2"/>
  <c r="I43" i="2"/>
  <c r="H43" i="2"/>
  <c r="F42" i="4" l="1"/>
  <c r="K42" i="4" s="1"/>
  <c r="I41" i="4"/>
  <c r="H41" i="4"/>
  <c r="H44" i="2"/>
  <c r="I44" i="2"/>
  <c r="F45" i="2"/>
  <c r="I42" i="4" l="1"/>
  <c r="F43" i="4"/>
  <c r="K43" i="4" s="1"/>
  <c r="H42" i="4"/>
  <c r="H45" i="2"/>
  <c r="F46" i="2"/>
  <c r="I45" i="2"/>
  <c r="I43" i="4" l="1"/>
  <c r="H43" i="4"/>
  <c r="F44" i="4"/>
  <c r="K44" i="4" s="1"/>
  <c r="F47" i="2"/>
  <c r="H46" i="2"/>
  <c r="I46" i="2"/>
  <c r="I44" i="4" l="1"/>
  <c r="H44" i="4"/>
  <c r="F45" i="4"/>
  <c r="K45" i="4" s="1"/>
  <c r="I47" i="2"/>
  <c r="H47" i="2"/>
  <c r="F48" i="2"/>
  <c r="I45" i="4" l="1"/>
  <c r="H45" i="4"/>
  <c r="F46" i="4"/>
  <c r="K46" i="4" s="1"/>
  <c r="I48" i="2"/>
  <c r="F49" i="2"/>
  <c r="H48" i="2"/>
  <c r="H46" i="4" l="1"/>
  <c r="F47" i="4"/>
  <c r="K47" i="4" s="1"/>
  <c r="I46" i="4"/>
  <c r="H49" i="2"/>
  <c r="I49" i="2"/>
  <c r="F50" i="2"/>
  <c r="F48" i="4" l="1"/>
  <c r="K48" i="4" s="1"/>
  <c r="I47" i="4"/>
  <c r="H47" i="4"/>
  <c r="H50" i="2"/>
  <c r="I50" i="2"/>
  <c r="F51" i="2"/>
  <c r="H48" i="4" l="1"/>
  <c r="F49" i="4"/>
  <c r="K49" i="4" s="1"/>
  <c r="I48" i="4"/>
  <c r="F52" i="2"/>
  <c r="I51" i="2"/>
  <c r="H51" i="2"/>
  <c r="I49" i="4" l="1"/>
  <c r="F50" i="4"/>
  <c r="K50" i="4" s="1"/>
  <c r="H49" i="4"/>
  <c r="H52" i="2"/>
  <c r="I52" i="2"/>
  <c r="F53" i="2"/>
  <c r="I50" i="4" l="1"/>
  <c r="H50" i="4"/>
  <c r="F51" i="4"/>
  <c r="K51" i="4" s="1"/>
  <c r="H53" i="2"/>
  <c r="I53" i="2"/>
  <c r="F54" i="2"/>
  <c r="I51" i="4" l="1"/>
  <c r="H51" i="4"/>
  <c r="F52" i="4"/>
  <c r="K52" i="4" s="1"/>
  <c r="F55" i="2"/>
  <c r="H54" i="2"/>
  <c r="I54" i="2"/>
  <c r="I52" i="4" l="1"/>
  <c r="H52" i="4"/>
  <c r="F53" i="4"/>
  <c r="K53" i="4" s="1"/>
  <c r="I55" i="2"/>
  <c r="H55" i="2"/>
  <c r="F56" i="2"/>
  <c r="I53" i="4" l="1"/>
  <c r="H53" i="4"/>
  <c r="F54" i="4"/>
  <c r="K54" i="4" s="1"/>
  <c r="I56" i="2"/>
  <c r="F57" i="2"/>
  <c r="H56" i="2"/>
  <c r="H54" i="4" l="1"/>
  <c r="F55" i="4"/>
  <c r="K55" i="4" s="1"/>
  <c r="I54" i="4"/>
  <c r="H57" i="2"/>
  <c r="F58" i="2"/>
  <c r="I57" i="2"/>
  <c r="F56" i="4" l="1"/>
  <c r="K56" i="4" s="1"/>
  <c r="I55" i="4"/>
  <c r="H55" i="4"/>
  <c r="H58" i="2"/>
  <c r="I58" i="2"/>
  <c r="F59" i="2"/>
  <c r="H56" i="4" l="1"/>
  <c r="F57" i="4"/>
  <c r="K57" i="4" s="1"/>
  <c r="I56" i="4"/>
  <c r="F60" i="2"/>
  <c r="I59" i="2"/>
  <c r="H59" i="2"/>
  <c r="I57" i="4" l="1"/>
  <c r="F58" i="4"/>
  <c r="K58" i="4" s="1"/>
  <c r="H57" i="4"/>
  <c r="H60" i="2"/>
  <c r="I60" i="2"/>
  <c r="F61" i="2"/>
  <c r="I58" i="4" l="1"/>
  <c r="H58" i="4"/>
  <c r="F59" i="4"/>
  <c r="K59" i="4" s="1"/>
  <c r="H61" i="2"/>
  <c r="F62" i="2"/>
  <c r="I61" i="2"/>
  <c r="I59" i="4" l="1"/>
  <c r="H59" i="4"/>
  <c r="F60" i="4"/>
  <c r="K60" i="4" s="1"/>
  <c r="F63" i="2"/>
  <c r="H62" i="2"/>
  <c r="I62" i="2"/>
  <c r="I60" i="4" l="1"/>
  <c r="H60" i="4"/>
  <c r="F61" i="4"/>
  <c r="K61" i="4" s="1"/>
  <c r="I63" i="2"/>
  <c r="H63" i="2"/>
  <c r="F64" i="2"/>
  <c r="I61" i="4" l="1"/>
  <c r="H61" i="4"/>
  <c r="F62" i="4"/>
  <c r="K62" i="4" s="1"/>
  <c r="I64" i="2"/>
  <c r="F65" i="2"/>
  <c r="H64" i="2"/>
  <c r="H62" i="4" l="1"/>
  <c r="F63" i="4"/>
  <c r="K63" i="4" s="1"/>
  <c r="I62" i="4"/>
  <c r="H65" i="2"/>
  <c r="F66" i="2"/>
  <c r="I65" i="2"/>
  <c r="F64" i="4" l="1"/>
  <c r="K64" i="4" s="1"/>
  <c r="I63" i="4"/>
  <c r="H63" i="4"/>
  <c r="H66" i="2"/>
  <c r="I66" i="2"/>
  <c r="F67" i="2"/>
  <c r="H64" i="4" l="1"/>
  <c r="I64" i="4"/>
  <c r="F65" i="4"/>
  <c r="K65" i="4" s="1"/>
  <c r="F68" i="2"/>
  <c r="I67" i="2"/>
  <c r="H67" i="2"/>
  <c r="I65" i="4" l="1"/>
  <c r="F66" i="4"/>
  <c r="K66" i="4" s="1"/>
  <c r="H65" i="4"/>
  <c r="H68" i="2"/>
  <c r="I68" i="2"/>
  <c r="F69" i="2"/>
  <c r="I66" i="4" l="1"/>
  <c r="H66" i="4"/>
  <c r="F67" i="4"/>
  <c r="K67" i="4" s="1"/>
  <c r="H69" i="2"/>
  <c r="I69" i="2"/>
  <c r="F70" i="2"/>
  <c r="I67" i="4" l="1"/>
  <c r="H67" i="4"/>
  <c r="F68" i="4"/>
  <c r="K68" i="4" s="1"/>
  <c r="F71" i="2"/>
  <c r="H70" i="2"/>
  <c r="I70" i="2"/>
  <c r="I68" i="4" l="1"/>
  <c r="H68" i="4"/>
  <c r="F69" i="4"/>
  <c r="K69" i="4" s="1"/>
  <c r="I71" i="2"/>
  <c r="H71" i="2"/>
  <c r="F72" i="2"/>
  <c r="I69" i="4" l="1"/>
  <c r="H69" i="4"/>
  <c r="F70" i="4"/>
  <c r="K70" i="4" s="1"/>
  <c r="I72" i="2"/>
  <c r="F73" i="2"/>
  <c r="H72" i="2"/>
  <c r="H70" i="4" l="1"/>
  <c r="F71" i="4"/>
  <c r="K71" i="4" s="1"/>
  <c r="I70" i="4"/>
  <c r="H73" i="2"/>
  <c r="I73" i="2"/>
  <c r="F74" i="2"/>
  <c r="F72" i="4" l="1"/>
  <c r="K72" i="4" s="1"/>
  <c r="I71" i="4"/>
  <c r="H71" i="4"/>
  <c r="H74" i="2"/>
  <c r="I74" i="2"/>
  <c r="F75" i="2"/>
  <c r="H72" i="4" l="1"/>
  <c r="I72" i="4"/>
  <c r="F73" i="4"/>
  <c r="K73" i="4" s="1"/>
  <c r="F76" i="2"/>
  <c r="H75" i="2"/>
  <c r="I75" i="2"/>
  <c r="I73" i="4" l="1"/>
  <c r="F74" i="4"/>
  <c r="K74" i="4" s="1"/>
  <c r="H73" i="4"/>
  <c r="H76" i="2"/>
  <c r="I76" i="2"/>
  <c r="F77" i="2"/>
  <c r="I74" i="4" l="1"/>
  <c r="H74" i="4"/>
  <c r="F75" i="4"/>
  <c r="K75" i="4" s="1"/>
  <c r="H77" i="2"/>
  <c r="F78" i="2"/>
  <c r="I77" i="2"/>
  <c r="I75" i="4" l="1"/>
  <c r="H75" i="4"/>
  <c r="F76" i="4"/>
  <c r="K76" i="4" s="1"/>
  <c r="F79" i="2"/>
  <c r="H78" i="2"/>
  <c r="I78" i="2"/>
  <c r="I76" i="4" l="1"/>
  <c r="H76" i="4"/>
  <c r="F77" i="4"/>
  <c r="K77" i="4" s="1"/>
  <c r="I79" i="2"/>
  <c r="H79" i="2"/>
  <c r="F80" i="2"/>
  <c r="I77" i="4" l="1"/>
  <c r="H77" i="4"/>
  <c r="F78" i="4"/>
  <c r="K78" i="4" s="1"/>
  <c r="I80" i="2"/>
  <c r="F81" i="2"/>
  <c r="H80" i="2"/>
  <c r="H78" i="4" l="1"/>
  <c r="F79" i="4"/>
  <c r="K79" i="4" s="1"/>
  <c r="I78" i="4"/>
  <c r="H81" i="2"/>
  <c r="I81" i="2"/>
  <c r="F82" i="2"/>
  <c r="F80" i="4" l="1"/>
  <c r="K80" i="4" s="1"/>
  <c r="I79" i="4"/>
  <c r="H79" i="4"/>
  <c r="H82" i="2"/>
  <c r="I82" i="2"/>
  <c r="F83" i="2"/>
  <c r="H80" i="4" l="1"/>
  <c r="F81" i="4"/>
  <c r="K81" i="4" s="1"/>
  <c r="I80" i="4"/>
  <c r="F84" i="2"/>
  <c r="H83" i="2"/>
  <c r="I83" i="2"/>
  <c r="I81" i="4" l="1"/>
  <c r="F82" i="4"/>
  <c r="K82" i="4" s="1"/>
  <c r="H81" i="4"/>
  <c r="H84" i="2"/>
  <c r="I84" i="2"/>
  <c r="F85" i="2"/>
  <c r="I82" i="4" l="1"/>
  <c r="H82" i="4"/>
  <c r="F83" i="4"/>
  <c r="K83" i="4" s="1"/>
  <c r="H85" i="2"/>
  <c r="F86" i="2"/>
  <c r="I85" i="2"/>
  <c r="I83" i="4" l="1"/>
  <c r="H83" i="4"/>
  <c r="F84" i="4"/>
  <c r="K84" i="4" s="1"/>
  <c r="F87" i="2"/>
  <c r="H86" i="2"/>
  <c r="I86" i="2"/>
  <c r="I84" i="4" l="1"/>
  <c r="H84" i="4"/>
  <c r="F85" i="4"/>
  <c r="K85" i="4" s="1"/>
  <c r="I87" i="2"/>
  <c r="H87" i="2"/>
  <c r="F88" i="2"/>
  <c r="I85" i="4" l="1"/>
  <c r="H85" i="4"/>
  <c r="F86" i="4"/>
  <c r="K86" i="4" s="1"/>
  <c r="I88" i="2"/>
  <c r="F89" i="2"/>
  <c r="H88" i="2"/>
  <c r="H86" i="4" l="1"/>
  <c r="F87" i="4"/>
  <c r="K87" i="4" s="1"/>
  <c r="I86" i="4"/>
  <c r="H89" i="2"/>
  <c r="I89" i="2"/>
  <c r="F90" i="2"/>
  <c r="F88" i="4" l="1"/>
  <c r="K88" i="4" s="1"/>
  <c r="I87" i="4"/>
  <c r="H87" i="4"/>
  <c r="H90" i="2"/>
  <c r="I90" i="2"/>
  <c r="F91" i="2"/>
  <c r="H88" i="4" l="1"/>
  <c r="F89" i="4"/>
  <c r="K89" i="4" s="1"/>
  <c r="I88" i="4"/>
  <c r="F92" i="2"/>
  <c r="H91" i="2"/>
  <c r="I91" i="2"/>
  <c r="I89" i="4" l="1"/>
  <c r="F90" i="4"/>
  <c r="K90" i="4" s="1"/>
  <c r="H89" i="4"/>
  <c r="H92" i="2"/>
  <c r="I92" i="2"/>
  <c r="F93" i="2"/>
  <c r="I90" i="4" l="1"/>
  <c r="H90" i="4"/>
  <c r="F91" i="4"/>
  <c r="K91" i="4" s="1"/>
  <c r="H93" i="2"/>
  <c r="F94" i="2"/>
  <c r="I93" i="2"/>
  <c r="I91" i="4" l="1"/>
  <c r="H91" i="4"/>
  <c r="F92" i="4"/>
  <c r="K92" i="4" s="1"/>
  <c r="F95" i="2"/>
  <c r="H94" i="2"/>
  <c r="I94" i="2"/>
  <c r="I92" i="4" l="1"/>
  <c r="H92" i="4"/>
  <c r="F93" i="4"/>
  <c r="K93" i="4" s="1"/>
  <c r="I95" i="2"/>
  <c r="H95" i="2"/>
  <c r="F96" i="2"/>
  <c r="I93" i="4" l="1"/>
  <c r="H93" i="4"/>
  <c r="F94" i="4"/>
  <c r="K94" i="4" s="1"/>
  <c r="I96" i="2"/>
  <c r="F97" i="2"/>
  <c r="H96" i="2"/>
  <c r="H94" i="4" l="1"/>
  <c r="F95" i="4"/>
  <c r="K95" i="4" s="1"/>
  <c r="I94" i="4"/>
  <c r="H97" i="2"/>
  <c r="I97" i="2"/>
  <c r="F98" i="2"/>
  <c r="F96" i="4" l="1"/>
  <c r="K96" i="4" s="1"/>
  <c r="I95" i="4"/>
  <c r="H95" i="4"/>
  <c r="H98" i="2"/>
  <c r="I98" i="2"/>
  <c r="F99" i="2"/>
  <c r="H96" i="4" l="1"/>
  <c r="I96" i="4"/>
  <c r="F97" i="4"/>
  <c r="K97" i="4" s="1"/>
  <c r="F100" i="2"/>
  <c r="F101" i="2" s="1"/>
  <c r="H99" i="2"/>
  <c r="I99" i="2"/>
  <c r="I97" i="4" l="1"/>
  <c r="H97" i="4"/>
  <c r="F98" i="4"/>
  <c r="K98" i="4" s="1"/>
  <c r="F102" i="2"/>
  <c r="H101" i="2"/>
  <c r="I101" i="2"/>
  <c r="I100" i="2"/>
  <c r="H100" i="2"/>
  <c r="I98" i="4" l="1"/>
  <c r="F99" i="4"/>
  <c r="K99" i="4" s="1"/>
  <c r="H98" i="4"/>
  <c r="F103" i="2"/>
  <c r="H102" i="2"/>
  <c r="I102" i="2"/>
  <c r="H99" i="4" l="1"/>
  <c r="F100" i="4"/>
  <c r="K100" i="4" s="1"/>
  <c r="I99" i="4"/>
  <c r="F104" i="2"/>
  <c r="H103" i="2"/>
  <c r="I103" i="2"/>
  <c r="F101" i="4" l="1"/>
  <c r="K101" i="4" s="1"/>
  <c r="I100" i="4"/>
  <c r="H100" i="4"/>
  <c r="F105" i="2"/>
  <c r="H104" i="2"/>
  <c r="I104" i="2"/>
  <c r="I101" i="4" l="1"/>
  <c r="H101" i="4"/>
  <c r="F102" i="4"/>
  <c r="K102" i="4" s="1"/>
  <c r="F106" i="2"/>
  <c r="H105" i="2"/>
  <c r="I105" i="2"/>
  <c r="I102" i="4" l="1"/>
  <c r="H102" i="4"/>
  <c r="F103" i="4"/>
  <c r="K103" i="4" s="1"/>
  <c r="F107" i="2"/>
  <c r="H106" i="2"/>
  <c r="I106" i="2"/>
  <c r="F104" i="4" l="1"/>
  <c r="K104" i="4" s="1"/>
  <c r="I103" i="4"/>
  <c r="H103" i="4"/>
  <c r="F108" i="2"/>
  <c r="H107" i="2"/>
  <c r="I107" i="2"/>
  <c r="I104" i="4" l="1"/>
  <c r="F105" i="4"/>
  <c r="K105" i="4" s="1"/>
  <c r="H104" i="4"/>
  <c r="F109" i="2"/>
  <c r="H108" i="2"/>
  <c r="I108" i="2"/>
  <c r="I105" i="4" l="1"/>
  <c r="H105" i="4"/>
  <c r="F106" i="4"/>
  <c r="K106" i="4" s="1"/>
  <c r="F110" i="2"/>
  <c r="H109" i="2"/>
  <c r="I109" i="2"/>
  <c r="I106" i="4" l="1"/>
  <c r="H106" i="4"/>
  <c r="F107" i="4"/>
  <c r="K107" i="4" s="1"/>
  <c r="F111" i="2"/>
  <c r="H110" i="2"/>
  <c r="I110" i="2"/>
  <c r="H107" i="4" l="1"/>
  <c r="F108" i="4"/>
  <c r="K108" i="4" s="1"/>
  <c r="I107" i="4"/>
  <c r="F112" i="2"/>
  <c r="H111" i="2"/>
  <c r="I111" i="2"/>
  <c r="F109" i="4" l="1"/>
  <c r="K109" i="4" s="1"/>
  <c r="I108" i="4"/>
  <c r="H108" i="4"/>
  <c r="F113" i="2"/>
  <c r="I112" i="2"/>
  <c r="H112" i="2"/>
  <c r="F110" i="4" l="1"/>
  <c r="K110" i="4" s="1"/>
  <c r="I109" i="4"/>
  <c r="H109" i="4"/>
  <c r="F114" i="2"/>
  <c r="H113" i="2"/>
  <c r="I113" i="2"/>
  <c r="F111" i="4" l="1"/>
  <c r="K111" i="4" s="1"/>
  <c r="H110" i="4"/>
  <c r="I110" i="4"/>
  <c r="F115" i="2"/>
  <c r="H114" i="2"/>
  <c r="I114" i="2"/>
  <c r="H111" i="4" l="1"/>
  <c r="F112" i="4"/>
  <c r="K112" i="4" s="1"/>
  <c r="I111" i="4"/>
  <c r="F116" i="2"/>
  <c r="H115" i="2"/>
  <c r="I115" i="2"/>
  <c r="I112" i="4" l="1"/>
  <c r="H112" i="4"/>
  <c r="F113" i="4"/>
  <c r="K113" i="4" s="1"/>
  <c r="F117" i="2"/>
  <c r="H116" i="2"/>
  <c r="I116" i="2"/>
  <c r="I113" i="4" l="1"/>
  <c r="H113" i="4"/>
  <c r="F114" i="4"/>
  <c r="K114" i="4" s="1"/>
  <c r="F118" i="2"/>
  <c r="H117" i="2"/>
  <c r="I117" i="2"/>
  <c r="I114" i="4" l="1"/>
  <c r="H114" i="4"/>
  <c r="F115" i="4"/>
  <c r="K115" i="4" s="1"/>
  <c r="F119" i="2"/>
  <c r="H118" i="2"/>
  <c r="I118" i="2"/>
  <c r="H115" i="4" l="1"/>
  <c r="F116" i="4"/>
  <c r="K116" i="4" s="1"/>
  <c r="I115" i="4"/>
  <c r="F120" i="2"/>
  <c r="H119" i="2"/>
  <c r="I119" i="2"/>
  <c r="F117" i="4" l="1"/>
  <c r="K117" i="4" s="1"/>
  <c r="I116" i="4"/>
  <c r="H116" i="4"/>
  <c r="F121" i="2"/>
  <c r="H120" i="2"/>
  <c r="I120" i="2"/>
  <c r="F118" i="4" l="1"/>
  <c r="K118" i="4" s="1"/>
  <c r="I117" i="4"/>
  <c r="H117" i="4"/>
  <c r="F122" i="2"/>
  <c r="H121" i="2"/>
  <c r="I121" i="2"/>
  <c r="I118" i="4" l="1"/>
  <c r="H118" i="4"/>
  <c r="F119" i="4"/>
  <c r="K119" i="4" s="1"/>
  <c r="F123" i="2"/>
  <c r="H122" i="2"/>
  <c r="I122" i="2"/>
  <c r="I119" i="4" l="1"/>
  <c r="H119" i="4"/>
  <c r="F120" i="4"/>
  <c r="K120" i="4" s="1"/>
  <c r="F124" i="2"/>
  <c r="H123" i="2"/>
  <c r="I123" i="2"/>
  <c r="I120" i="4" l="1"/>
  <c r="F121" i="4"/>
  <c r="K121" i="4" s="1"/>
  <c r="H120" i="4"/>
  <c r="F125" i="2"/>
  <c r="H124" i="2"/>
  <c r="I124" i="2"/>
  <c r="I121" i="4" l="1"/>
  <c r="H121" i="4"/>
  <c r="F122" i="4"/>
  <c r="K122" i="4" s="1"/>
  <c r="F126" i="2"/>
  <c r="H125" i="2"/>
  <c r="I125" i="2"/>
  <c r="I122" i="4" l="1"/>
  <c r="H122" i="4"/>
  <c r="F123" i="4"/>
  <c r="K123" i="4" s="1"/>
  <c r="F127" i="2"/>
  <c r="H126" i="2"/>
  <c r="I126" i="2"/>
  <c r="H123" i="4" l="1"/>
  <c r="F124" i="4"/>
  <c r="K124" i="4" s="1"/>
  <c r="I123" i="4"/>
  <c r="F128" i="2"/>
  <c r="H127" i="2"/>
  <c r="I127" i="2"/>
  <c r="F125" i="4" l="1"/>
  <c r="K125" i="4" s="1"/>
  <c r="H124" i="4"/>
  <c r="I124" i="4"/>
  <c r="F129" i="2"/>
  <c r="H128" i="2"/>
  <c r="I128" i="2"/>
  <c r="F126" i="4" l="1"/>
  <c r="K126" i="4" s="1"/>
  <c r="I125" i="4"/>
  <c r="H125" i="4"/>
  <c r="F130" i="2"/>
  <c r="H129" i="2"/>
  <c r="I129" i="2"/>
  <c r="I126" i="4" l="1"/>
  <c r="H126" i="4"/>
  <c r="F127" i="4"/>
  <c r="K127" i="4" s="1"/>
  <c r="F131" i="2"/>
  <c r="H130" i="2"/>
  <c r="I130" i="2"/>
  <c r="I127" i="4" l="1"/>
  <c r="H127" i="4"/>
  <c r="F128" i="4"/>
  <c r="K128" i="4" s="1"/>
  <c r="F132" i="2"/>
  <c r="H131" i="2"/>
  <c r="I131" i="2"/>
  <c r="I128" i="4" l="1"/>
  <c r="H128" i="4"/>
  <c r="F129" i="4"/>
  <c r="K129" i="4" s="1"/>
  <c r="F133" i="2"/>
  <c r="I132" i="2"/>
  <c r="H132" i="2"/>
  <c r="I129" i="4" l="1"/>
  <c r="H129" i="4"/>
  <c r="F130" i="4"/>
  <c r="K130" i="4" s="1"/>
  <c r="F134" i="2"/>
  <c r="H133" i="2"/>
  <c r="I133" i="2"/>
  <c r="I130" i="4" l="1"/>
  <c r="H130" i="4"/>
  <c r="F131" i="4"/>
  <c r="K131" i="4" s="1"/>
  <c r="F135" i="2"/>
  <c r="H134" i="2"/>
  <c r="I134" i="2"/>
  <c r="H131" i="4" l="1"/>
  <c r="F132" i="4"/>
  <c r="K132" i="4" s="1"/>
  <c r="I131" i="4"/>
  <c r="F136" i="2"/>
  <c r="H135" i="2"/>
  <c r="I135" i="2"/>
  <c r="F133" i="4" l="1"/>
  <c r="K133" i="4" s="1"/>
  <c r="I132" i="4"/>
  <c r="H132" i="4"/>
  <c r="F137" i="2"/>
  <c r="H136" i="2"/>
  <c r="I136" i="2"/>
  <c r="I133" i="4" l="1"/>
  <c r="H133" i="4"/>
  <c r="F134" i="4"/>
  <c r="K134" i="4" s="1"/>
  <c r="F138" i="2"/>
  <c r="H137" i="2"/>
  <c r="I137" i="2"/>
  <c r="I134" i="4" l="1"/>
  <c r="F135" i="4"/>
  <c r="K135" i="4" s="1"/>
  <c r="H134" i="4"/>
  <c r="F139" i="2"/>
  <c r="H138" i="2"/>
  <c r="I138" i="2"/>
  <c r="I135" i="4" l="1"/>
  <c r="H135" i="4"/>
  <c r="F136" i="4"/>
  <c r="K136" i="4" s="1"/>
  <c r="F140" i="2"/>
  <c r="H139" i="2"/>
  <c r="I139" i="2"/>
  <c r="I136" i="4" l="1"/>
  <c r="H136" i="4"/>
  <c r="F137" i="4"/>
  <c r="K137" i="4" s="1"/>
  <c r="F141" i="2"/>
  <c r="H140" i="2"/>
  <c r="I140" i="2"/>
  <c r="I137" i="4" l="1"/>
  <c r="H137" i="4"/>
  <c r="F138" i="4"/>
  <c r="K138" i="4" s="1"/>
  <c r="F142" i="2"/>
  <c r="H141" i="2"/>
  <c r="I141" i="2"/>
  <c r="I138" i="4" l="1"/>
  <c r="H138" i="4"/>
  <c r="F139" i="4"/>
  <c r="K139" i="4" s="1"/>
  <c r="F143" i="2"/>
  <c r="H142" i="2"/>
  <c r="I142" i="2"/>
  <c r="H139" i="4" l="1"/>
  <c r="F140" i="4"/>
  <c r="K140" i="4" s="1"/>
  <c r="I139" i="4"/>
  <c r="F144" i="2"/>
  <c r="H143" i="2"/>
  <c r="I143" i="2"/>
  <c r="F141" i="4" l="1"/>
  <c r="K141" i="4" s="1"/>
  <c r="I140" i="4"/>
  <c r="H140" i="4"/>
  <c r="F145" i="2"/>
  <c r="I144" i="2"/>
  <c r="H144" i="2"/>
  <c r="F142" i="4" l="1"/>
  <c r="K142" i="4" s="1"/>
  <c r="H141" i="4"/>
  <c r="I141" i="4"/>
  <c r="F146" i="2"/>
  <c r="H145" i="2"/>
  <c r="I145" i="2"/>
  <c r="I142" i="4" l="1"/>
  <c r="F143" i="4"/>
  <c r="K143" i="4" s="1"/>
  <c r="H142" i="4"/>
  <c r="F147" i="2"/>
  <c r="H146" i="2"/>
  <c r="I146" i="2"/>
  <c r="I143" i="4" l="1"/>
  <c r="H143" i="4"/>
  <c r="F144" i="4"/>
  <c r="K144" i="4" s="1"/>
  <c r="F148" i="2"/>
  <c r="H147" i="2"/>
  <c r="I147" i="2"/>
  <c r="I144" i="4" l="1"/>
  <c r="H144" i="4"/>
  <c r="F145" i="4"/>
  <c r="K145" i="4" s="1"/>
  <c r="F149" i="2"/>
  <c r="H148" i="2"/>
  <c r="I148" i="2"/>
  <c r="I145" i="4" l="1"/>
  <c r="H145" i="4"/>
  <c r="F146" i="4"/>
  <c r="K146" i="4" s="1"/>
  <c r="F150" i="2"/>
  <c r="H149" i="2"/>
  <c r="I149" i="2"/>
  <c r="I146" i="4" l="1"/>
  <c r="H146" i="4"/>
  <c r="F147" i="4"/>
  <c r="K147" i="4" s="1"/>
  <c r="F151" i="2"/>
  <c r="H150" i="2"/>
  <c r="I150" i="2"/>
  <c r="H147" i="4" l="1"/>
  <c r="F148" i="4"/>
  <c r="K148" i="4" s="1"/>
  <c r="I147" i="4"/>
  <c r="F152" i="2"/>
  <c r="H151" i="2"/>
  <c r="I151" i="2"/>
  <c r="F149" i="4" l="1"/>
  <c r="K149" i="4" s="1"/>
  <c r="I148" i="4"/>
  <c r="H148" i="4"/>
  <c r="F153" i="2"/>
  <c r="H152" i="2"/>
  <c r="I152" i="2"/>
  <c r="F150" i="4" l="1"/>
  <c r="K150" i="4" s="1"/>
  <c r="I149" i="4"/>
  <c r="H149" i="4"/>
  <c r="F154" i="2"/>
  <c r="H153" i="2"/>
  <c r="I153" i="2"/>
  <c r="I150" i="4" l="1"/>
  <c r="F151" i="4"/>
  <c r="K151" i="4" s="1"/>
  <c r="H150" i="4"/>
  <c r="F155" i="2"/>
  <c r="H154" i="2"/>
  <c r="I154" i="2"/>
  <c r="I151" i="4" l="1"/>
  <c r="H151" i="4"/>
  <c r="F152" i="4"/>
  <c r="K152" i="4" s="1"/>
  <c r="F156" i="2"/>
  <c r="H155" i="2"/>
  <c r="I155" i="2"/>
  <c r="I152" i="4" l="1"/>
  <c r="H152" i="4"/>
  <c r="F153" i="4"/>
  <c r="K153" i="4" s="1"/>
  <c r="F157" i="2"/>
  <c r="H156" i="2"/>
  <c r="I156" i="2"/>
  <c r="I153" i="4" l="1"/>
  <c r="H153" i="4"/>
  <c r="F154" i="4"/>
  <c r="K154" i="4" s="1"/>
  <c r="F158" i="2"/>
  <c r="H157" i="2"/>
  <c r="I157" i="2"/>
  <c r="I154" i="4" l="1"/>
  <c r="H154" i="4"/>
  <c r="F155" i="4"/>
  <c r="K155" i="4" s="1"/>
  <c r="F159" i="2"/>
  <c r="H158" i="2"/>
  <c r="I158" i="2"/>
  <c r="H155" i="4" l="1"/>
  <c r="F156" i="4"/>
  <c r="K156" i="4" s="1"/>
  <c r="I155" i="4"/>
  <c r="F160" i="2"/>
  <c r="H159" i="2"/>
  <c r="I159" i="2"/>
  <c r="F157" i="4" l="1"/>
  <c r="K157" i="4" s="1"/>
  <c r="I156" i="4"/>
  <c r="H156" i="4"/>
  <c r="F161" i="2"/>
  <c r="I160" i="2"/>
  <c r="H160" i="2"/>
  <c r="H157" i="4" l="1"/>
  <c r="F158" i="4"/>
  <c r="K158" i="4" s="1"/>
  <c r="I157" i="4"/>
  <c r="F162" i="2"/>
  <c r="H161" i="2"/>
  <c r="I161" i="2"/>
  <c r="I158" i="4" l="1"/>
  <c r="F159" i="4"/>
  <c r="K159" i="4" s="1"/>
  <c r="H158" i="4"/>
  <c r="F163" i="2"/>
  <c r="H162" i="2"/>
  <c r="I162" i="2"/>
  <c r="I159" i="4" l="1"/>
  <c r="H159" i="4"/>
  <c r="F160" i="4"/>
  <c r="K160" i="4" s="1"/>
  <c r="F164" i="2"/>
  <c r="H163" i="2"/>
  <c r="I163" i="2"/>
  <c r="I160" i="4" l="1"/>
  <c r="H160" i="4"/>
  <c r="F161" i="4"/>
  <c r="K161" i="4" s="1"/>
  <c r="F165" i="2"/>
  <c r="H164" i="2"/>
  <c r="I164" i="2"/>
  <c r="I161" i="4" l="1"/>
  <c r="H161" i="4"/>
  <c r="F162" i="4"/>
  <c r="K162" i="4" s="1"/>
  <c r="F166" i="2"/>
  <c r="H165" i="2"/>
  <c r="I165" i="2"/>
  <c r="I162" i="4" l="1"/>
  <c r="H162" i="4"/>
  <c r="F163" i="4"/>
  <c r="K163" i="4" s="1"/>
  <c r="F167" i="2"/>
  <c r="H166" i="2"/>
  <c r="I166" i="2"/>
  <c r="H163" i="4" l="1"/>
  <c r="F164" i="4"/>
  <c r="K164" i="4" s="1"/>
  <c r="I163" i="4"/>
  <c r="F168" i="2"/>
  <c r="H167" i="2"/>
  <c r="I167" i="2"/>
  <c r="F165" i="4" l="1"/>
  <c r="K165" i="4" s="1"/>
  <c r="I164" i="4"/>
  <c r="H164" i="4"/>
  <c r="F169" i="2"/>
  <c r="H168" i="2"/>
  <c r="I168" i="2"/>
  <c r="F166" i="4" l="1"/>
  <c r="K166" i="4" s="1"/>
  <c r="I165" i="4"/>
  <c r="H165" i="4"/>
  <c r="F170" i="2"/>
  <c r="H169" i="2"/>
  <c r="I169" i="2"/>
  <c r="I166" i="4" l="1"/>
  <c r="H166" i="4"/>
  <c r="F167" i="4"/>
  <c r="K167" i="4" s="1"/>
  <c r="F171" i="2"/>
  <c r="H170" i="2"/>
  <c r="I170" i="2"/>
  <c r="I167" i="4" l="1"/>
  <c r="H167" i="4"/>
  <c r="F168" i="4"/>
  <c r="K168" i="4" s="1"/>
  <c r="F172" i="2"/>
  <c r="H171" i="2"/>
  <c r="I171" i="2"/>
  <c r="I168" i="4" l="1"/>
  <c r="H168" i="4"/>
  <c r="F169" i="4"/>
  <c r="K169" i="4" s="1"/>
  <c r="F173" i="2"/>
  <c r="H172" i="2"/>
  <c r="I172" i="2"/>
  <c r="I169" i="4" l="1"/>
  <c r="H169" i="4"/>
  <c r="F170" i="4"/>
  <c r="K170" i="4" s="1"/>
  <c r="F174" i="2"/>
  <c r="H173" i="2"/>
  <c r="I173" i="2"/>
  <c r="I170" i="4" l="1"/>
  <c r="H170" i="4"/>
  <c r="F171" i="4"/>
  <c r="K171" i="4" s="1"/>
  <c r="F175" i="2"/>
  <c r="H174" i="2"/>
  <c r="I174" i="2"/>
  <c r="H171" i="4" l="1"/>
  <c r="F172" i="4"/>
  <c r="K172" i="4" s="1"/>
  <c r="I171" i="4"/>
  <c r="F176" i="2"/>
  <c r="H175" i="2"/>
  <c r="I175" i="2"/>
  <c r="F173" i="4" l="1"/>
  <c r="K173" i="4" s="1"/>
  <c r="H172" i="4"/>
  <c r="I172" i="4"/>
  <c r="F177" i="2"/>
  <c r="I176" i="2"/>
  <c r="H176" i="2"/>
  <c r="F174" i="4" l="1"/>
  <c r="K174" i="4" s="1"/>
  <c r="I173" i="4"/>
  <c r="H173" i="4"/>
  <c r="F178" i="2"/>
  <c r="H177" i="2"/>
  <c r="I177" i="2"/>
  <c r="I174" i="4" l="1"/>
  <c r="F175" i="4"/>
  <c r="K175" i="4" s="1"/>
  <c r="H174" i="4"/>
  <c r="F179" i="2"/>
  <c r="H178" i="2"/>
  <c r="I178" i="2"/>
  <c r="I175" i="4" l="1"/>
  <c r="H175" i="4"/>
  <c r="F176" i="4"/>
  <c r="K176" i="4" s="1"/>
  <c r="F180" i="2"/>
  <c r="H179" i="2"/>
  <c r="I179" i="2"/>
  <c r="I176" i="4" l="1"/>
  <c r="H176" i="4"/>
  <c r="F177" i="4"/>
  <c r="K177" i="4" s="1"/>
  <c r="F181" i="2"/>
  <c r="H180" i="2"/>
  <c r="I180" i="2"/>
  <c r="I177" i="4" l="1"/>
  <c r="H177" i="4"/>
  <c r="F178" i="4"/>
  <c r="K178" i="4" s="1"/>
  <c r="F182" i="2"/>
  <c r="H181" i="2"/>
  <c r="I181" i="2"/>
  <c r="I178" i="4" l="1"/>
  <c r="H178" i="4"/>
  <c r="F179" i="4"/>
  <c r="K179" i="4" s="1"/>
  <c r="F183" i="2"/>
  <c r="H182" i="2"/>
  <c r="I182" i="2"/>
  <c r="H179" i="4" l="1"/>
  <c r="F180" i="4"/>
  <c r="K180" i="4" s="1"/>
  <c r="I179" i="4"/>
  <c r="F184" i="2"/>
  <c r="H183" i="2"/>
  <c r="I183" i="2"/>
  <c r="F181" i="4" l="1"/>
  <c r="K181" i="4" s="1"/>
  <c r="I180" i="4"/>
  <c r="H180" i="4"/>
  <c r="F185" i="2"/>
  <c r="H184" i="2"/>
  <c r="I184" i="2"/>
  <c r="I181" i="4" l="1"/>
  <c r="H181" i="4"/>
  <c r="F182" i="4"/>
  <c r="K182" i="4" s="1"/>
  <c r="F186" i="2"/>
  <c r="H185" i="2"/>
  <c r="I185" i="2"/>
  <c r="I182" i="4" l="1"/>
  <c r="F183" i="4"/>
  <c r="K183" i="4" s="1"/>
  <c r="H182" i="4"/>
  <c r="F187" i="2"/>
  <c r="H186" i="2"/>
  <c r="I186" i="2"/>
  <c r="I183" i="4" l="1"/>
  <c r="H183" i="4"/>
  <c r="F184" i="4"/>
  <c r="K184" i="4" s="1"/>
  <c r="F188" i="2"/>
  <c r="H187" i="2"/>
  <c r="I187" i="2"/>
  <c r="I184" i="4" l="1"/>
  <c r="H184" i="4"/>
  <c r="F185" i="4"/>
  <c r="K185" i="4" s="1"/>
  <c r="F189" i="2"/>
  <c r="H188" i="2"/>
  <c r="I188" i="2"/>
  <c r="I185" i="4" l="1"/>
  <c r="H185" i="4"/>
  <c r="F186" i="4"/>
  <c r="K186" i="4" s="1"/>
  <c r="F190" i="2"/>
  <c r="H189" i="2"/>
  <c r="I189" i="2"/>
  <c r="I186" i="4" l="1"/>
  <c r="H186" i="4"/>
  <c r="F187" i="4"/>
  <c r="K187" i="4" s="1"/>
  <c r="F191" i="2"/>
  <c r="H190" i="2"/>
  <c r="I190" i="2"/>
  <c r="H187" i="4" l="1"/>
  <c r="F188" i="4"/>
  <c r="K188" i="4" s="1"/>
  <c r="I187" i="4"/>
  <c r="I191" i="2"/>
  <c r="F192" i="2"/>
  <c r="H191" i="2"/>
  <c r="F189" i="4" l="1"/>
  <c r="K189" i="4" s="1"/>
  <c r="H188" i="4"/>
  <c r="I188" i="4"/>
  <c r="F193" i="2"/>
  <c r="H192" i="2"/>
  <c r="I192" i="2"/>
  <c r="F190" i="4" l="1"/>
  <c r="K190" i="4" s="1"/>
  <c r="I189" i="4"/>
  <c r="H189" i="4"/>
  <c r="F194" i="2"/>
  <c r="H193" i="2"/>
  <c r="I193" i="2"/>
  <c r="I190" i="4" l="1"/>
  <c r="H190" i="4"/>
  <c r="F191" i="4"/>
  <c r="K191" i="4" s="1"/>
  <c r="H194" i="2"/>
  <c r="I194" i="2"/>
  <c r="F195" i="2"/>
  <c r="I191" i="4" l="1"/>
  <c r="H191" i="4"/>
  <c r="F192" i="4"/>
  <c r="K192" i="4" s="1"/>
  <c r="I195" i="2"/>
  <c r="F196" i="2"/>
  <c r="H195" i="2"/>
  <c r="I192" i="4" l="1"/>
  <c r="H192" i="4"/>
  <c r="F193" i="4"/>
  <c r="K193" i="4" s="1"/>
  <c r="F197" i="2"/>
  <c r="H196" i="2"/>
  <c r="I196" i="2"/>
  <c r="I193" i="4" l="1"/>
  <c r="H193" i="4"/>
  <c r="F194" i="4"/>
  <c r="K194" i="4" s="1"/>
  <c r="F198" i="2"/>
  <c r="H197" i="2"/>
  <c r="I197" i="2"/>
  <c r="I194" i="4" l="1"/>
  <c r="H194" i="4"/>
  <c r="F195" i="4"/>
  <c r="K195" i="4" s="1"/>
  <c r="H198" i="2"/>
  <c r="I198" i="2"/>
  <c r="F199" i="2"/>
  <c r="H195" i="4" l="1"/>
  <c r="F196" i="4"/>
  <c r="K196" i="4" s="1"/>
  <c r="I195" i="4"/>
  <c r="I199" i="2"/>
  <c r="F200" i="2"/>
  <c r="H199" i="2"/>
  <c r="F197" i="4" l="1"/>
  <c r="K197" i="4" s="1"/>
  <c r="I196" i="4"/>
  <c r="H196" i="4"/>
  <c r="F201" i="2"/>
  <c r="H200" i="2"/>
  <c r="I200" i="2"/>
  <c r="I197" i="4" l="1"/>
  <c r="H197" i="4"/>
  <c r="F198" i="4"/>
  <c r="K198" i="4" s="1"/>
  <c r="F202" i="2"/>
  <c r="H201" i="2"/>
  <c r="I201" i="2"/>
  <c r="I198" i="4" l="1"/>
  <c r="F199" i="4"/>
  <c r="K199" i="4" s="1"/>
  <c r="H198" i="4"/>
  <c r="H202" i="2"/>
  <c r="I202" i="2"/>
  <c r="F203" i="2"/>
  <c r="I199" i="4" l="1"/>
  <c r="H199" i="4"/>
  <c r="F200" i="4"/>
  <c r="K200" i="4" s="1"/>
  <c r="I203" i="2"/>
  <c r="F204" i="2"/>
  <c r="H203" i="2"/>
  <c r="I200" i="4" l="1"/>
  <c r="H200" i="4"/>
  <c r="F201" i="4"/>
  <c r="K201" i="4" s="1"/>
  <c r="F205" i="2"/>
  <c r="H204" i="2"/>
  <c r="I204" i="2"/>
  <c r="I201" i="4" l="1"/>
  <c r="H201" i="4"/>
  <c r="F202" i="4"/>
  <c r="K202" i="4" s="1"/>
  <c r="F206" i="2"/>
  <c r="H205" i="2"/>
  <c r="I205" i="2"/>
  <c r="I202" i="4" l="1"/>
  <c r="H202" i="4"/>
  <c r="F203" i="4"/>
  <c r="K203" i="4" s="1"/>
  <c r="H206" i="2"/>
  <c r="I206" i="2"/>
  <c r="F207" i="2"/>
  <c r="H203" i="4" l="1"/>
  <c r="F204" i="4"/>
  <c r="K204" i="4" s="1"/>
  <c r="I203" i="4"/>
  <c r="I207" i="2"/>
  <c r="F208" i="2"/>
  <c r="H207" i="2"/>
  <c r="I204" i="4" l="1"/>
  <c r="F205" i="4"/>
  <c r="K205" i="4" s="1"/>
  <c r="H204" i="4"/>
  <c r="F209" i="2"/>
  <c r="H208" i="2"/>
  <c r="I208" i="2"/>
  <c r="H205" i="4" l="1"/>
  <c r="F206" i="4"/>
  <c r="K206" i="4" s="1"/>
  <c r="I205" i="4"/>
  <c r="F210" i="2"/>
  <c r="H209" i="2"/>
  <c r="I209" i="2"/>
  <c r="F207" i="4" l="1"/>
  <c r="K207" i="4" s="1"/>
  <c r="H206" i="4"/>
  <c r="I206" i="4"/>
  <c r="H210" i="2"/>
  <c r="I210" i="2"/>
  <c r="F211" i="2"/>
  <c r="H207" i="4" l="1"/>
  <c r="F208" i="4"/>
  <c r="K208" i="4" s="1"/>
  <c r="I207" i="4"/>
  <c r="I211" i="2"/>
  <c r="F212" i="2"/>
  <c r="H211" i="2"/>
  <c r="H208" i="4" l="1"/>
  <c r="F209" i="4"/>
  <c r="K209" i="4" s="1"/>
  <c r="I208" i="4"/>
  <c r="F213" i="2"/>
  <c r="H212" i="2"/>
  <c r="I212" i="2"/>
  <c r="H209" i="4" l="1"/>
  <c r="F210" i="4"/>
  <c r="K210" i="4" s="1"/>
  <c r="I209" i="4"/>
  <c r="F214" i="2"/>
  <c r="H213" i="2"/>
  <c r="I213" i="2"/>
  <c r="H210" i="4" l="1"/>
  <c r="F211" i="4"/>
  <c r="K211" i="4" s="1"/>
  <c r="I210" i="4"/>
  <c r="H214" i="2"/>
  <c r="I214" i="2"/>
  <c r="F215" i="2"/>
  <c r="H211" i="4" l="1"/>
  <c r="F212" i="4"/>
  <c r="K212" i="4" s="1"/>
  <c r="I211" i="4"/>
  <c r="I215" i="2"/>
  <c r="F216" i="2"/>
  <c r="H215" i="2"/>
  <c r="I212" i="4" l="1"/>
  <c r="H212" i="4"/>
  <c r="F213" i="4"/>
  <c r="K213" i="4" s="1"/>
  <c r="F217" i="2"/>
  <c r="H216" i="2"/>
  <c r="I216" i="2"/>
  <c r="H213" i="4" l="1"/>
  <c r="I213" i="4"/>
  <c r="F214" i="4"/>
  <c r="K214" i="4" s="1"/>
  <c r="F218" i="2"/>
  <c r="H217" i="2"/>
  <c r="I217" i="2"/>
  <c r="F215" i="4" l="1"/>
  <c r="K215" i="4" s="1"/>
  <c r="I214" i="4"/>
  <c r="H214" i="4"/>
  <c r="H218" i="2"/>
  <c r="I218" i="2"/>
  <c r="F219" i="2"/>
  <c r="I215" i="4" l="1"/>
  <c r="H215" i="4"/>
  <c r="F216" i="4"/>
  <c r="K216" i="4" s="1"/>
  <c r="I219" i="2"/>
  <c r="F220" i="2"/>
  <c r="H219" i="2"/>
  <c r="I216" i="4" l="1"/>
  <c r="H216" i="4"/>
  <c r="F217" i="4"/>
  <c r="K217" i="4" s="1"/>
  <c r="F221" i="2"/>
  <c r="H220" i="2"/>
  <c r="I220" i="2"/>
  <c r="I217" i="4" l="1"/>
  <c r="H217" i="4"/>
  <c r="F218" i="4"/>
  <c r="K218" i="4" s="1"/>
  <c r="F222" i="2"/>
  <c r="H221" i="2"/>
  <c r="I221" i="2"/>
  <c r="I218" i="4" l="1"/>
  <c r="H218" i="4"/>
  <c r="F219" i="4"/>
  <c r="K219" i="4" s="1"/>
  <c r="H222" i="2"/>
  <c r="I222" i="2"/>
  <c r="F223" i="2"/>
  <c r="I219" i="4" l="1"/>
  <c r="H219" i="4"/>
  <c r="F220" i="4"/>
  <c r="K220" i="4" s="1"/>
  <c r="I223" i="2"/>
  <c r="F224" i="2"/>
  <c r="H223" i="2"/>
  <c r="I220" i="4" l="1"/>
  <c r="H220" i="4"/>
  <c r="F221" i="4"/>
  <c r="K221" i="4" s="1"/>
  <c r="F225" i="2"/>
  <c r="H224" i="2"/>
  <c r="I224" i="2"/>
  <c r="H221" i="4" l="1"/>
  <c r="I221" i="4"/>
  <c r="F222" i="4"/>
  <c r="K222" i="4" s="1"/>
  <c r="F226" i="2"/>
  <c r="H225" i="2"/>
  <c r="I225" i="2"/>
  <c r="F223" i="4" l="1"/>
  <c r="K223" i="4" s="1"/>
  <c r="I222" i="4"/>
  <c r="H222" i="4"/>
  <c r="H226" i="2"/>
  <c r="I226" i="2"/>
  <c r="F227" i="2"/>
  <c r="F224" i="4" l="1"/>
  <c r="K224" i="4" s="1"/>
  <c r="I223" i="4"/>
  <c r="H223" i="4"/>
  <c r="I227" i="2"/>
  <c r="F228" i="2"/>
  <c r="H227" i="2"/>
  <c r="F225" i="4" l="1"/>
  <c r="K225" i="4" s="1"/>
  <c r="H224" i="4"/>
  <c r="I224" i="4"/>
  <c r="F229" i="2"/>
  <c r="H228" i="2"/>
  <c r="I228" i="2"/>
  <c r="I225" i="4" l="1"/>
  <c r="H225" i="4"/>
  <c r="F226" i="4"/>
  <c r="K226" i="4" s="1"/>
  <c r="F230" i="2"/>
  <c r="H229" i="2"/>
  <c r="I229" i="2"/>
  <c r="H226" i="4" l="1"/>
  <c r="I226" i="4"/>
  <c r="F227" i="4"/>
  <c r="K227" i="4" s="1"/>
  <c r="H230" i="2"/>
  <c r="I230" i="2"/>
  <c r="F231" i="2"/>
  <c r="I227" i="4" l="1"/>
  <c r="F228" i="4"/>
  <c r="K228" i="4" s="1"/>
  <c r="H227" i="4"/>
  <c r="I231" i="2"/>
  <c r="F232" i="2"/>
  <c r="H231" i="2"/>
  <c r="I228" i="4" l="1"/>
  <c r="H228" i="4"/>
  <c r="F229" i="4"/>
  <c r="K229" i="4" s="1"/>
  <c r="F233" i="2"/>
  <c r="H232" i="2"/>
  <c r="I232" i="2"/>
  <c r="H229" i="4" l="1"/>
  <c r="F230" i="4"/>
  <c r="K230" i="4" s="1"/>
  <c r="I229" i="4"/>
  <c r="F234" i="2"/>
  <c r="H233" i="2"/>
  <c r="I233" i="2"/>
  <c r="F231" i="4" l="1"/>
  <c r="K231" i="4" s="1"/>
  <c r="H230" i="4"/>
  <c r="I230" i="4"/>
  <c r="H234" i="2"/>
  <c r="I234" i="2"/>
  <c r="F235" i="2"/>
  <c r="F232" i="4" l="1"/>
  <c r="K232" i="4" s="1"/>
  <c r="I231" i="4"/>
  <c r="H231" i="4"/>
  <c r="I235" i="2"/>
  <c r="F236" i="2"/>
  <c r="H235" i="2"/>
  <c r="F233" i="4" l="1"/>
  <c r="K233" i="4" s="1"/>
  <c r="I232" i="4"/>
  <c r="H232" i="4"/>
  <c r="F237" i="2"/>
  <c r="H236" i="2"/>
  <c r="I236" i="2"/>
  <c r="I233" i="4" l="1"/>
  <c r="H233" i="4"/>
  <c r="F234" i="4"/>
  <c r="K234" i="4" s="1"/>
  <c r="F238" i="2"/>
  <c r="H237" i="2"/>
  <c r="I237" i="2"/>
  <c r="I234" i="4" l="1"/>
  <c r="H234" i="4"/>
  <c r="F235" i="4"/>
  <c r="K235" i="4" s="1"/>
  <c r="H238" i="2"/>
  <c r="I238" i="2"/>
  <c r="F239" i="2"/>
  <c r="I235" i="4" l="1"/>
  <c r="H235" i="4"/>
  <c r="F236" i="4"/>
  <c r="K236" i="4" s="1"/>
  <c r="I239" i="2"/>
  <c r="F240" i="2"/>
  <c r="H239" i="2"/>
  <c r="I236" i="4" l="1"/>
  <c r="H236" i="4"/>
  <c r="F237" i="4"/>
  <c r="K237" i="4" s="1"/>
  <c r="F241" i="2"/>
  <c r="H240" i="2"/>
  <c r="I240" i="2"/>
  <c r="H237" i="4" l="1"/>
  <c r="F238" i="4"/>
  <c r="K238" i="4" s="1"/>
  <c r="I237" i="4"/>
  <c r="F242" i="2"/>
  <c r="H241" i="2"/>
  <c r="I241" i="2"/>
  <c r="F239" i="4" l="1"/>
  <c r="K239" i="4" s="1"/>
  <c r="I238" i="4"/>
  <c r="H238" i="4"/>
  <c r="H242" i="2"/>
  <c r="I242" i="2"/>
  <c r="F243" i="2"/>
  <c r="F240" i="4" l="1"/>
  <c r="K240" i="4" s="1"/>
  <c r="H239" i="4"/>
  <c r="I239" i="4"/>
  <c r="I243" i="2"/>
  <c r="F244" i="2"/>
  <c r="H243" i="2"/>
  <c r="I240" i="4" l="1"/>
  <c r="H240" i="4"/>
  <c r="F241" i="4"/>
  <c r="K241" i="4" s="1"/>
  <c r="F245" i="2"/>
  <c r="H244" i="2"/>
  <c r="I244" i="2"/>
  <c r="I241" i="4" l="1"/>
  <c r="F242" i="4"/>
  <c r="K242" i="4" s="1"/>
  <c r="H241" i="4"/>
  <c r="F246" i="2"/>
  <c r="H245" i="2"/>
  <c r="I245" i="2"/>
  <c r="I242" i="4" l="1"/>
  <c r="H242" i="4"/>
  <c r="F243" i="4"/>
  <c r="K243" i="4" s="1"/>
  <c r="H246" i="2"/>
  <c r="I246" i="2"/>
  <c r="F247" i="2"/>
  <c r="I243" i="4" l="1"/>
  <c r="H243" i="4"/>
  <c r="F244" i="4"/>
  <c r="K244" i="4" s="1"/>
  <c r="I247" i="2"/>
  <c r="F248" i="2"/>
  <c r="H247" i="2"/>
  <c r="I244" i="4" l="1"/>
  <c r="H244" i="4"/>
  <c r="F245" i="4"/>
  <c r="K245" i="4" s="1"/>
  <c r="F249" i="2"/>
  <c r="H248" i="2"/>
  <c r="I248" i="2"/>
  <c r="H245" i="4" l="1"/>
  <c r="F246" i="4"/>
  <c r="K246" i="4" s="1"/>
  <c r="I245" i="4"/>
  <c r="F250" i="2"/>
  <c r="H249" i="2"/>
  <c r="I249" i="2"/>
  <c r="F247" i="4" l="1"/>
  <c r="K247" i="4" s="1"/>
  <c r="H246" i="4"/>
  <c r="I246" i="4"/>
  <c r="F251" i="2"/>
  <c r="H250" i="2"/>
  <c r="I250" i="2"/>
  <c r="F248" i="4" l="1"/>
  <c r="K248" i="4" s="1"/>
  <c r="I247" i="4"/>
  <c r="H247" i="4"/>
  <c r="H251" i="2"/>
  <c r="I251" i="2"/>
  <c r="F252" i="2"/>
  <c r="I248" i="4" l="1"/>
  <c r="F249" i="4"/>
  <c r="K249" i="4" s="1"/>
  <c r="H248" i="4"/>
  <c r="H252" i="2"/>
  <c r="I252" i="2"/>
  <c r="F253" i="2"/>
  <c r="I249" i="4" l="1"/>
  <c r="H249" i="4"/>
  <c r="F250" i="4"/>
  <c r="K250" i="4" s="1"/>
  <c r="I253" i="2"/>
  <c r="H253" i="2"/>
  <c r="F254" i="2"/>
  <c r="I250" i="4" l="1"/>
  <c r="H250" i="4"/>
  <c r="F251" i="4"/>
  <c r="K251" i="4" s="1"/>
  <c r="F255" i="2"/>
  <c r="I254" i="2"/>
  <c r="H254" i="2"/>
  <c r="I251" i="4" l="1"/>
  <c r="H251" i="4"/>
  <c r="F252" i="4"/>
  <c r="K252" i="4" s="1"/>
  <c r="F256" i="2"/>
  <c r="H255" i="2"/>
  <c r="I255" i="2"/>
  <c r="I252" i="4" l="1"/>
  <c r="H252" i="4"/>
  <c r="F253" i="4"/>
  <c r="K253" i="4" s="1"/>
  <c r="F257" i="2"/>
  <c r="H256" i="2"/>
  <c r="I256" i="2"/>
  <c r="H253" i="4" l="1"/>
  <c r="F254" i="4"/>
  <c r="K254" i="4" s="1"/>
  <c r="I253" i="4"/>
  <c r="F258" i="2"/>
  <c r="H257" i="2"/>
  <c r="I257" i="2"/>
  <c r="F255" i="4" l="1"/>
  <c r="K255" i="4" s="1"/>
  <c r="I254" i="4"/>
  <c r="H254" i="4"/>
  <c r="F259" i="2"/>
  <c r="H258" i="2"/>
  <c r="I258" i="2"/>
  <c r="H255" i="4" l="1"/>
  <c r="F256" i="4"/>
  <c r="K256" i="4" s="1"/>
  <c r="I255" i="4"/>
  <c r="H259" i="2"/>
  <c r="I259" i="2"/>
  <c r="F260" i="2"/>
  <c r="I256" i="4" l="1"/>
  <c r="F257" i="4"/>
  <c r="K257" i="4" s="1"/>
  <c r="H256" i="4"/>
  <c r="H260" i="2"/>
  <c r="I260" i="2"/>
  <c r="F261" i="2"/>
  <c r="I257" i="4" l="1"/>
  <c r="H257" i="4"/>
  <c r="F258" i="4"/>
  <c r="K258" i="4" s="1"/>
  <c r="I261" i="2"/>
  <c r="F262" i="2"/>
  <c r="H261" i="2"/>
  <c r="I258" i="4" l="1"/>
  <c r="H258" i="4"/>
  <c r="F259" i="4"/>
  <c r="K259" i="4" s="1"/>
  <c r="F263" i="2"/>
  <c r="H262" i="2"/>
  <c r="I262" i="2"/>
  <c r="I259" i="4" l="1"/>
  <c r="H259" i="4"/>
  <c r="F260" i="4"/>
  <c r="K260" i="4" s="1"/>
  <c r="F264" i="2"/>
  <c r="H263" i="2"/>
  <c r="I263" i="2"/>
  <c r="I260" i="4" l="1"/>
  <c r="H260" i="4"/>
  <c r="F261" i="4"/>
  <c r="K261" i="4" s="1"/>
  <c r="F265" i="2"/>
  <c r="H264" i="2"/>
  <c r="I264" i="2"/>
  <c r="H261" i="4" l="1"/>
  <c r="F262" i="4"/>
  <c r="K262" i="4" s="1"/>
  <c r="I261" i="4"/>
  <c r="F266" i="2"/>
  <c r="H265" i="2"/>
  <c r="I265" i="2"/>
  <c r="F263" i="4" l="1"/>
  <c r="K263" i="4" s="1"/>
  <c r="I262" i="4"/>
  <c r="H262" i="4"/>
  <c r="F267" i="2"/>
  <c r="H266" i="2"/>
  <c r="I266" i="2"/>
  <c r="H263" i="4" l="1"/>
  <c r="I263" i="4"/>
  <c r="F264" i="4"/>
  <c r="K264" i="4" s="1"/>
  <c r="H267" i="2"/>
  <c r="I267" i="2"/>
  <c r="F268" i="2"/>
  <c r="I264" i="4" l="1"/>
  <c r="F265" i="4"/>
  <c r="K265" i="4" s="1"/>
  <c r="H264" i="4"/>
  <c r="H268" i="2"/>
  <c r="I268" i="2"/>
  <c r="F269" i="2"/>
  <c r="I265" i="4" l="1"/>
  <c r="H265" i="4"/>
  <c r="F266" i="4"/>
  <c r="K266" i="4" s="1"/>
  <c r="I269" i="2"/>
  <c r="F270" i="2"/>
  <c r="H269" i="2"/>
  <c r="I266" i="4" l="1"/>
  <c r="H266" i="4"/>
  <c r="F267" i="4"/>
  <c r="K267" i="4" s="1"/>
  <c r="F271" i="2"/>
  <c r="H270" i="2"/>
  <c r="I270" i="2"/>
  <c r="I267" i="4" l="1"/>
  <c r="H267" i="4"/>
  <c r="F268" i="4"/>
  <c r="K268" i="4" s="1"/>
  <c r="F272" i="2"/>
  <c r="H271" i="2"/>
  <c r="I271" i="2"/>
  <c r="I268" i="4" l="1"/>
  <c r="H268" i="4"/>
  <c r="F269" i="4"/>
  <c r="K269" i="4" s="1"/>
  <c r="F273" i="2"/>
  <c r="I272" i="2"/>
  <c r="H272" i="2"/>
  <c r="H269" i="4" l="1"/>
  <c r="F270" i="4"/>
  <c r="K270" i="4" s="1"/>
  <c r="I269" i="4"/>
  <c r="F274" i="2"/>
  <c r="H273" i="2"/>
  <c r="I273" i="2"/>
  <c r="F271" i="4" l="1"/>
  <c r="K271" i="4" s="1"/>
  <c r="I270" i="4"/>
  <c r="H270" i="4"/>
  <c r="F275" i="2"/>
  <c r="H274" i="2"/>
  <c r="I274" i="2"/>
  <c r="H271" i="4" l="1"/>
  <c r="F272" i="4"/>
  <c r="K272" i="4" s="1"/>
  <c r="I271" i="4"/>
  <c r="F276" i="2"/>
  <c r="H275" i="2"/>
  <c r="I275" i="2"/>
  <c r="I272" i="4" l="1"/>
  <c r="F273" i="4"/>
  <c r="K273" i="4" s="1"/>
  <c r="H272" i="4"/>
  <c r="F277" i="2"/>
  <c r="H276" i="2"/>
  <c r="I276" i="2"/>
  <c r="I273" i="4" l="1"/>
  <c r="H273" i="4"/>
  <c r="F274" i="4"/>
  <c r="K274" i="4" s="1"/>
  <c r="F278" i="2"/>
  <c r="H277" i="2"/>
  <c r="I277" i="2"/>
  <c r="I274" i="4" l="1"/>
  <c r="H274" i="4"/>
  <c r="F275" i="4"/>
  <c r="K275" i="4" s="1"/>
  <c r="F279" i="2"/>
  <c r="H278" i="2"/>
  <c r="I278" i="2"/>
  <c r="I275" i="4" l="1"/>
  <c r="H275" i="4"/>
  <c r="F276" i="4"/>
  <c r="K276" i="4" s="1"/>
  <c r="F280" i="2"/>
  <c r="I279" i="2"/>
  <c r="H279" i="2"/>
  <c r="I276" i="4" l="1"/>
  <c r="H276" i="4"/>
  <c r="F277" i="4"/>
  <c r="K277" i="4" s="1"/>
  <c r="F281" i="2"/>
  <c r="H280" i="2"/>
  <c r="I280" i="2"/>
  <c r="H277" i="4" l="1"/>
  <c r="F278" i="4"/>
  <c r="K278" i="4" s="1"/>
  <c r="I277" i="4"/>
  <c r="F282" i="2"/>
  <c r="H281" i="2"/>
  <c r="I281" i="2"/>
  <c r="F279" i="4" l="1"/>
  <c r="K279" i="4" s="1"/>
  <c r="I278" i="4"/>
  <c r="H278" i="4"/>
  <c r="F283" i="2"/>
  <c r="H282" i="2"/>
  <c r="I282" i="2"/>
  <c r="H279" i="4" l="1"/>
  <c r="F280" i="4"/>
  <c r="K280" i="4" s="1"/>
  <c r="I279" i="4"/>
  <c r="F284" i="2"/>
  <c r="H283" i="2"/>
  <c r="I283" i="2"/>
  <c r="I280" i="4" l="1"/>
  <c r="F281" i="4"/>
  <c r="K281" i="4" s="1"/>
  <c r="H280" i="4"/>
  <c r="F285" i="2"/>
  <c r="I284" i="2"/>
  <c r="H284" i="2"/>
  <c r="I281" i="4" l="1"/>
  <c r="H281" i="4"/>
  <c r="F282" i="4"/>
  <c r="K282" i="4" s="1"/>
  <c r="F286" i="2"/>
  <c r="H285" i="2"/>
  <c r="I285" i="2"/>
  <c r="I282" i="4" l="1"/>
  <c r="H282" i="4"/>
  <c r="F283" i="4"/>
  <c r="K283" i="4" s="1"/>
  <c r="F287" i="2"/>
  <c r="H286" i="2"/>
  <c r="I286" i="2"/>
  <c r="F284" i="4" l="1"/>
  <c r="K284" i="4" s="1"/>
  <c r="I283" i="4"/>
  <c r="H283" i="4"/>
  <c r="F288" i="2"/>
  <c r="H287" i="2"/>
  <c r="I287" i="2"/>
  <c r="I284" i="4" l="1"/>
  <c r="H284" i="4"/>
  <c r="F285" i="4"/>
  <c r="K285" i="4" s="1"/>
  <c r="F289" i="2"/>
  <c r="H288" i="2"/>
  <c r="I288" i="2"/>
  <c r="I285" i="4" l="1"/>
  <c r="H285" i="4"/>
  <c r="F286" i="4"/>
  <c r="K286" i="4" s="1"/>
  <c r="F290" i="2"/>
  <c r="H289" i="2"/>
  <c r="I289" i="2"/>
  <c r="I286" i="4" l="1"/>
  <c r="H286" i="4"/>
  <c r="F287" i="4"/>
  <c r="K287" i="4" s="1"/>
  <c r="F291" i="2"/>
  <c r="I290" i="2"/>
  <c r="H290" i="2"/>
  <c r="I287" i="4" l="1"/>
  <c r="H287" i="4"/>
  <c r="F288" i="4"/>
  <c r="K288" i="4" s="1"/>
  <c r="F292" i="2"/>
  <c r="I291" i="2"/>
  <c r="H291" i="2"/>
  <c r="I288" i="4" l="1"/>
  <c r="H288" i="4"/>
  <c r="F289" i="4"/>
  <c r="K289" i="4" s="1"/>
  <c r="F293" i="2"/>
  <c r="H292" i="2"/>
  <c r="I292" i="2"/>
  <c r="I289" i="4" l="1"/>
  <c r="H289" i="4"/>
  <c r="F290" i="4"/>
  <c r="K290" i="4" s="1"/>
  <c r="F294" i="2"/>
  <c r="H293" i="2"/>
  <c r="I293" i="2"/>
  <c r="H290" i="4" l="1"/>
  <c r="F291" i="4"/>
  <c r="K291" i="4" s="1"/>
  <c r="I290" i="4"/>
  <c r="F295" i="2"/>
  <c r="H294" i="2"/>
  <c r="I294" i="2"/>
  <c r="F292" i="4" l="1"/>
  <c r="K292" i="4" s="1"/>
  <c r="I291" i="4"/>
  <c r="H291" i="4"/>
  <c r="F296" i="2"/>
  <c r="H295" i="2"/>
  <c r="I295" i="2"/>
  <c r="F293" i="4" l="1"/>
  <c r="K293" i="4" s="1"/>
  <c r="I292" i="4"/>
  <c r="H292" i="4"/>
  <c r="F297" i="2"/>
  <c r="H296" i="2"/>
  <c r="I296" i="2"/>
  <c r="I293" i="4" l="1"/>
  <c r="F294" i="4"/>
  <c r="K294" i="4" s="1"/>
  <c r="H293" i="4"/>
  <c r="F298" i="2"/>
  <c r="H297" i="2"/>
  <c r="I297" i="2"/>
  <c r="I294" i="4" l="1"/>
  <c r="H294" i="4"/>
  <c r="F295" i="4"/>
  <c r="K295" i="4" s="1"/>
  <c r="F299" i="2"/>
  <c r="I298" i="2"/>
  <c r="H298" i="2"/>
  <c r="H295" i="4" l="1"/>
  <c r="F296" i="4"/>
  <c r="K296" i="4" s="1"/>
  <c r="I295" i="4"/>
  <c r="F300" i="2"/>
  <c r="I299" i="2"/>
  <c r="H299" i="2"/>
  <c r="I296" i="4" l="1"/>
  <c r="F297" i="4"/>
  <c r="K297" i="4" s="1"/>
  <c r="H296" i="4"/>
  <c r="F301" i="2"/>
  <c r="H300" i="2"/>
  <c r="I300" i="2"/>
  <c r="I297" i="4" l="1"/>
  <c r="H297" i="4"/>
  <c r="F298" i="4"/>
  <c r="K298" i="4" s="1"/>
  <c r="F302" i="2"/>
  <c r="H301" i="2"/>
  <c r="I301" i="2"/>
  <c r="H298" i="4" l="1"/>
  <c r="F299" i="4"/>
  <c r="K299" i="4" s="1"/>
  <c r="I298" i="4"/>
  <c r="F303" i="2"/>
  <c r="H302" i="2"/>
  <c r="I302" i="2"/>
  <c r="F300" i="4" l="1"/>
  <c r="K300" i="4" s="1"/>
  <c r="I299" i="4"/>
  <c r="H299" i="4"/>
  <c r="F304" i="2"/>
  <c r="H303" i="2"/>
  <c r="I303" i="2"/>
  <c r="H300" i="4" l="1"/>
  <c r="F301" i="4"/>
  <c r="K301" i="4" s="1"/>
  <c r="I300" i="4"/>
  <c r="F305" i="2"/>
  <c r="H304" i="2"/>
  <c r="I304" i="2"/>
  <c r="I301" i="4" l="1"/>
  <c r="F302" i="4"/>
  <c r="K302" i="4" s="1"/>
  <c r="H301" i="4"/>
  <c r="F306" i="2"/>
  <c r="H305" i="2"/>
  <c r="I305" i="2"/>
  <c r="I302" i="4" l="1"/>
  <c r="H302" i="4"/>
  <c r="F303" i="4"/>
  <c r="K303" i="4" s="1"/>
  <c r="F307" i="2"/>
  <c r="I306" i="2"/>
  <c r="H306" i="2"/>
  <c r="I303" i="4" l="1"/>
  <c r="H303" i="4"/>
  <c r="F304" i="4"/>
  <c r="K304" i="4" s="1"/>
  <c r="F308" i="2"/>
  <c r="H307" i="2"/>
  <c r="I307" i="2"/>
  <c r="I304" i="4" l="1"/>
  <c r="H304" i="4"/>
  <c r="F305" i="4"/>
  <c r="K305" i="4" s="1"/>
  <c r="F309" i="2"/>
  <c r="H308" i="2"/>
  <c r="I308" i="2"/>
  <c r="I305" i="4" l="1"/>
  <c r="H305" i="4"/>
  <c r="F306" i="4"/>
  <c r="K306" i="4" s="1"/>
  <c r="F310" i="2"/>
  <c r="H309" i="2"/>
  <c r="I309" i="2"/>
  <c r="H306" i="4" l="1"/>
  <c r="F307" i="4"/>
  <c r="K307" i="4" s="1"/>
  <c r="I306" i="4"/>
  <c r="F311" i="2"/>
  <c r="H310" i="2"/>
  <c r="I310" i="2"/>
  <c r="F308" i="4" l="1"/>
  <c r="K308" i="4" s="1"/>
  <c r="I307" i="4"/>
  <c r="H307" i="4"/>
  <c r="F312" i="2"/>
  <c r="H311" i="2"/>
  <c r="I311" i="2"/>
  <c r="H308" i="4" l="1"/>
  <c r="F309" i="4"/>
  <c r="K309" i="4" s="1"/>
  <c r="I308" i="4"/>
  <c r="F313" i="2"/>
  <c r="H312" i="2"/>
  <c r="I312" i="2"/>
  <c r="I309" i="4" l="1"/>
  <c r="F310" i="4"/>
  <c r="K310" i="4" s="1"/>
  <c r="H309" i="4"/>
  <c r="F314" i="2"/>
  <c r="H313" i="2"/>
  <c r="I313" i="2"/>
  <c r="I310" i="4" l="1"/>
  <c r="H310" i="4"/>
  <c r="F311" i="4"/>
  <c r="K311" i="4" s="1"/>
  <c r="F315" i="2"/>
  <c r="I314" i="2"/>
  <c r="H314" i="2"/>
  <c r="I311" i="4" l="1"/>
  <c r="H311" i="4"/>
  <c r="F312" i="4"/>
  <c r="K312" i="4" s="1"/>
  <c r="F316" i="2"/>
  <c r="H315" i="2"/>
  <c r="I315" i="2"/>
  <c r="I312" i="4" l="1"/>
  <c r="H312" i="4"/>
  <c r="F313" i="4"/>
  <c r="K313" i="4" s="1"/>
  <c r="F317" i="2"/>
  <c r="I316" i="2"/>
  <c r="H316" i="2"/>
  <c r="I313" i="4" l="1"/>
  <c r="H313" i="4"/>
  <c r="F314" i="4"/>
  <c r="K314" i="4" s="1"/>
  <c r="F318" i="2"/>
  <c r="H317" i="2"/>
  <c r="I317" i="2"/>
  <c r="H314" i="4" l="1"/>
  <c r="F315" i="4"/>
  <c r="K315" i="4" s="1"/>
  <c r="I314" i="4"/>
  <c r="F319" i="2"/>
  <c r="H318" i="2"/>
  <c r="I318" i="2"/>
  <c r="F316" i="4" l="1"/>
  <c r="K316" i="4" s="1"/>
  <c r="I315" i="4"/>
  <c r="H315" i="4"/>
  <c r="F320" i="2"/>
  <c r="H319" i="2"/>
  <c r="I319" i="2"/>
  <c r="I316" i="4" l="1"/>
  <c r="H316" i="4"/>
  <c r="F317" i="4"/>
  <c r="K317" i="4" s="1"/>
  <c r="F321" i="2"/>
  <c r="H320" i="2"/>
  <c r="I320" i="2"/>
  <c r="I317" i="4" l="1"/>
  <c r="H317" i="4"/>
  <c r="F318" i="4"/>
  <c r="K318" i="4" s="1"/>
  <c r="F322" i="2"/>
  <c r="H321" i="2"/>
  <c r="I321" i="2"/>
  <c r="I318" i="4" l="1"/>
  <c r="H318" i="4"/>
  <c r="F319" i="4"/>
  <c r="K319" i="4" s="1"/>
  <c r="F323" i="2"/>
  <c r="I322" i="2"/>
  <c r="H322" i="2"/>
  <c r="I319" i="4" l="1"/>
  <c r="H319" i="4"/>
  <c r="F320" i="4"/>
  <c r="K320" i="4" s="1"/>
  <c r="F324" i="2"/>
  <c r="H323" i="2"/>
  <c r="I323" i="2"/>
  <c r="I320" i="4" l="1"/>
  <c r="H320" i="4"/>
  <c r="F321" i="4"/>
  <c r="K321" i="4" s="1"/>
  <c r="F325" i="2"/>
  <c r="H324" i="2"/>
  <c r="I324" i="2"/>
  <c r="I321" i="4" l="1"/>
  <c r="H321" i="4"/>
  <c r="F322" i="4"/>
  <c r="K322" i="4" s="1"/>
  <c r="F326" i="2"/>
  <c r="H325" i="2"/>
  <c r="I325" i="2"/>
  <c r="H322" i="4" l="1"/>
  <c r="F323" i="4"/>
  <c r="K323" i="4" s="1"/>
  <c r="I322" i="4"/>
  <c r="F327" i="2"/>
  <c r="H326" i="2"/>
  <c r="I326" i="2"/>
  <c r="F324" i="4" l="1"/>
  <c r="K324" i="4" s="1"/>
  <c r="I323" i="4"/>
  <c r="H323" i="4"/>
  <c r="F328" i="2"/>
  <c r="H327" i="2"/>
  <c r="I327" i="2"/>
  <c r="I324" i="4" l="1"/>
  <c r="H324" i="4"/>
  <c r="F325" i="4"/>
  <c r="K325" i="4" s="1"/>
  <c r="F329" i="2"/>
  <c r="H328" i="2"/>
  <c r="I328" i="2"/>
  <c r="I325" i="4" l="1"/>
  <c r="H325" i="4"/>
  <c r="F326" i="4"/>
  <c r="K326" i="4" s="1"/>
  <c r="F330" i="2"/>
  <c r="H329" i="2"/>
  <c r="I329" i="2"/>
  <c r="I326" i="4" l="1"/>
  <c r="H326" i="4"/>
  <c r="F327" i="4"/>
  <c r="K327" i="4" s="1"/>
  <c r="F331" i="2"/>
  <c r="I330" i="2"/>
  <c r="H330" i="2"/>
  <c r="I327" i="4" l="1"/>
  <c r="H327" i="4"/>
  <c r="F328" i="4"/>
  <c r="K328" i="4" s="1"/>
  <c r="F332" i="2"/>
  <c r="H331" i="2"/>
  <c r="I331" i="2"/>
  <c r="I328" i="4" l="1"/>
  <c r="H328" i="4"/>
  <c r="F329" i="4"/>
  <c r="K329" i="4" s="1"/>
  <c r="F333" i="2"/>
  <c r="I332" i="2"/>
  <c r="H332" i="2"/>
  <c r="I329" i="4" l="1"/>
  <c r="H329" i="4"/>
  <c r="F330" i="4"/>
  <c r="K330" i="4" s="1"/>
  <c r="F334" i="2"/>
  <c r="H333" i="2"/>
  <c r="I333" i="2"/>
  <c r="H330" i="4" l="1"/>
  <c r="F331" i="4"/>
  <c r="K331" i="4" s="1"/>
  <c r="I330" i="4"/>
  <c r="F335" i="2"/>
  <c r="H334" i="2"/>
  <c r="I334" i="2"/>
  <c r="F332" i="4" l="1"/>
  <c r="K332" i="4" s="1"/>
  <c r="I331" i="4"/>
  <c r="H331" i="4"/>
  <c r="F336" i="2"/>
  <c r="H335" i="2"/>
  <c r="I335" i="2"/>
  <c r="I332" i="4" l="1"/>
  <c r="H332" i="4"/>
  <c r="F333" i="4"/>
  <c r="K333" i="4" s="1"/>
  <c r="F337" i="2"/>
  <c r="H336" i="2"/>
  <c r="I336" i="2"/>
  <c r="I333" i="4" l="1"/>
  <c r="H333" i="4"/>
  <c r="F334" i="4"/>
  <c r="K334" i="4" s="1"/>
  <c r="F338" i="2"/>
  <c r="H337" i="2"/>
  <c r="I337" i="2"/>
  <c r="I334" i="4" l="1"/>
  <c r="H334" i="4"/>
  <c r="F335" i="4"/>
  <c r="K335" i="4" s="1"/>
  <c r="F339" i="2"/>
  <c r="I338" i="2"/>
  <c r="H338" i="2"/>
  <c r="I335" i="4" l="1"/>
  <c r="H335" i="4"/>
  <c r="F336" i="4"/>
  <c r="K336" i="4" s="1"/>
  <c r="F340" i="2"/>
  <c r="H339" i="2"/>
  <c r="I339" i="2"/>
  <c r="I336" i="4" l="1"/>
  <c r="H336" i="4"/>
  <c r="F337" i="4"/>
  <c r="K337" i="4" s="1"/>
  <c r="F341" i="2"/>
  <c r="H340" i="2"/>
  <c r="I340" i="2"/>
  <c r="I337" i="4" l="1"/>
  <c r="H337" i="4"/>
  <c r="F338" i="4"/>
  <c r="K338" i="4" s="1"/>
  <c r="F342" i="2"/>
  <c r="H341" i="2"/>
  <c r="I341" i="2"/>
  <c r="I338" i="4" l="1"/>
  <c r="H338" i="4"/>
  <c r="F339" i="4"/>
  <c r="K339" i="4" s="1"/>
  <c r="F343" i="2"/>
  <c r="H342" i="2"/>
  <c r="I342" i="2"/>
  <c r="F340" i="4" l="1"/>
  <c r="K340" i="4" s="1"/>
  <c r="I339" i="4"/>
  <c r="H339" i="4"/>
  <c r="F344" i="2"/>
  <c r="I343" i="2"/>
  <c r="H343" i="2"/>
  <c r="I340" i="4" l="1"/>
  <c r="F341" i="4"/>
  <c r="K341" i="4" s="1"/>
  <c r="H340" i="4"/>
  <c r="F345" i="2"/>
  <c r="H344" i="2"/>
  <c r="I344" i="2"/>
  <c r="I341" i="4" l="1"/>
  <c r="H341" i="4"/>
  <c r="F342" i="4"/>
  <c r="K342" i="4" s="1"/>
  <c r="F346" i="2"/>
  <c r="H345" i="2"/>
  <c r="I345" i="2"/>
  <c r="H342" i="4" l="1"/>
  <c r="F343" i="4"/>
  <c r="K343" i="4" s="1"/>
  <c r="I342" i="4"/>
  <c r="F347" i="2"/>
  <c r="I346" i="2"/>
  <c r="H346" i="2"/>
  <c r="F344" i="4" l="1"/>
  <c r="K344" i="4" s="1"/>
  <c r="I343" i="4"/>
  <c r="H343" i="4"/>
  <c r="F348" i="2"/>
  <c r="H347" i="2"/>
  <c r="I347" i="2"/>
  <c r="I344" i="4" l="1"/>
  <c r="H344" i="4"/>
  <c r="F345" i="4"/>
  <c r="K345" i="4" s="1"/>
  <c r="F349" i="2"/>
  <c r="H348" i="2"/>
  <c r="I348" i="2"/>
  <c r="F346" i="4" l="1"/>
  <c r="K346" i="4" s="1"/>
  <c r="I345" i="4"/>
  <c r="H345" i="4"/>
  <c r="F350" i="2"/>
  <c r="H349" i="2"/>
  <c r="I349" i="2"/>
  <c r="F347" i="4" l="1"/>
  <c r="K347" i="4" s="1"/>
  <c r="I346" i="4"/>
  <c r="H346" i="4"/>
  <c r="F351" i="2"/>
  <c r="H350" i="2"/>
  <c r="I350" i="2"/>
  <c r="F348" i="4" l="1"/>
  <c r="K348" i="4" s="1"/>
  <c r="I347" i="4"/>
  <c r="H347" i="4"/>
  <c r="F352" i="2"/>
  <c r="I351" i="2"/>
  <c r="H351" i="2"/>
  <c r="I348" i="4" l="1"/>
  <c r="H348" i="4"/>
  <c r="F349" i="4"/>
  <c r="K349" i="4" s="1"/>
  <c r="F353" i="2"/>
  <c r="H352" i="2"/>
  <c r="I352" i="2"/>
  <c r="I349" i="4" l="1"/>
  <c r="H349" i="4"/>
  <c r="F350" i="4"/>
  <c r="K350" i="4" s="1"/>
  <c r="F354" i="2"/>
  <c r="H353" i="2"/>
  <c r="I353" i="2"/>
  <c r="H350" i="4" l="1"/>
  <c r="F351" i="4"/>
  <c r="K351" i="4" s="1"/>
  <c r="I350" i="4"/>
  <c r="F355" i="2"/>
  <c r="I354" i="2"/>
  <c r="H354" i="2"/>
  <c r="F352" i="4" l="1"/>
  <c r="K352" i="4" s="1"/>
  <c r="I351" i="4"/>
  <c r="H351" i="4"/>
  <c r="F356" i="2"/>
  <c r="I355" i="2"/>
  <c r="H355" i="2"/>
  <c r="F353" i="4" l="1"/>
  <c r="K353" i="4" s="1"/>
  <c r="I352" i="4"/>
  <c r="H352" i="4"/>
  <c r="F357" i="2"/>
  <c r="I356" i="2"/>
  <c r="H356" i="2"/>
  <c r="F354" i="4" l="1"/>
  <c r="K354" i="4" s="1"/>
  <c r="I353" i="4"/>
  <c r="H353" i="4"/>
  <c r="F358" i="2"/>
  <c r="H357" i="2"/>
  <c r="I357" i="2"/>
  <c r="H354" i="4" l="1"/>
  <c r="F355" i="4"/>
  <c r="K355" i="4" s="1"/>
  <c r="I354" i="4"/>
  <c r="F359" i="2"/>
  <c r="H358" i="2"/>
  <c r="I358" i="2"/>
  <c r="I355" i="4" l="1"/>
  <c r="H355" i="4"/>
  <c r="F356" i="4"/>
  <c r="K356" i="4" s="1"/>
  <c r="F360" i="2"/>
  <c r="I359" i="2"/>
  <c r="H359" i="2"/>
  <c r="I356" i="4" l="1"/>
  <c r="H356" i="4"/>
  <c r="F357" i="4"/>
  <c r="K357" i="4" s="1"/>
  <c r="F361" i="2"/>
  <c r="H360" i="2"/>
  <c r="I360" i="2"/>
  <c r="I357" i="4" l="1"/>
  <c r="H357" i="4"/>
  <c r="F358" i="4"/>
  <c r="K358" i="4" s="1"/>
  <c r="F362" i="2"/>
  <c r="H361" i="2"/>
  <c r="I361" i="2"/>
  <c r="H358" i="4" l="1"/>
  <c r="F359" i="4"/>
  <c r="K359" i="4" s="1"/>
  <c r="I358" i="4"/>
  <c r="F363" i="2"/>
  <c r="I362" i="2"/>
  <c r="H362" i="2"/>
  <c r="F360" i="4" l="1"/>
  <c r="K360" i="4" s="1"/>
  <c r="I359" i="4"/>
  <c r="H359" i="4"/>
  <c r="F364" i="2"/>
  <c r="H363" i="2"/>
  <c r="I363" i="2"/>
  <c r="H360" i="4" l="1"/>
  <c r="F361" i="4"/>
  <c r="K361" i="4" s="1"/>
  <c r="I360" i="4"/>
  <c r="F365" i="2"/>
  <c r="H364" i="2"/>
  <c r="I364" i="2"/>
  <c r="I361" i="4" l="1"/>
  <c r="H361" i="4"/>
  <c r="F362" i="4"/>
  <c r="K362" i="4" s="1"/>
  <c r="F366" i="2"/>
  <c r="H365" i="2"/>
  <c r="I365" i="2"/>
  <c r="I362" i="4" l="1"/>
  <c r="H362" i="4"/>
  <c r="F363" i="4"/>
  <c r="K363" i="4" s="1"/>
  <c r="F367" i="2"/>
  <c r="H366" i="2"/>
  <c r="I366" i="2"/>
  <c r="I363" i="4" l="1"/>
  <c r="H363" i="4"/>
  <c r="F364" i="4"/>
  <c r="K364" i="4" s="1"/>
  <c r="F368" i="2"/>
  <c r="I367" i="2"/>
  <c r="H367" i="2"/>
  <c r="I364" i="4" l="1"/>
  <c r="H364" i="4"/>
  <c r="F365" i="4"/>
  <c r="K365" i="4" s="1"/>
  <c r="F369" i="2"/>
  <c r="I368" i="2"/>
  <c r="H368" i="2"/>
  <c r="I365" i="4" l="1"/>
  <c r="H365" i="4"/>
  <c r="F366" i="4"/>
  <c r="K366" i="4" s="1"/>
  <c r="F370" i="2"/>
  <c r="H369" i="2"/>
  <c r="I369" i="2"/>
  <c r="H366" i="4" l="1"/>
  <c r="F367" i="4"/>
  <c r="K367" i="4" s="1"/>
  <c r="I366" i="4"/>
  <c r="F371" i="2"/>
  <c r="I370" i="2"/>
  <c r="H370" i="2"/>
  <c r="F368" i="4" l="1"/>
  <c r="K368" i="4" s="1"/>
  <c r="I367" i="4"/>
  <c r="H367" i="4"/>
  <c r="F372" i="2"/>
  <c r="H371" i="2"/>
  <c r="I371" i="2"/>
  <c r="I368" i="4" l="1"/>
  <c r="F369" i="4"/>
  <c r="K369" i="4" s="1"/>
  <c r="H368" i="4"/>
  <c r="F373" i="2"/>
  <c r="I372" i="2"/>
  <c r="H372" i="2"/>
  <c r="H369" i="4" l="1"/>
  <c r="I369" i="4"/>
  <c r="F370" i="4"/>
  <c r="K370" i="4" s="1"/>
  <c r="F374" i="2"/>
  <c r="H373" i="2"/>
  <c r="I373" i="2"/>
  <c r="F371" i="4" l="1"/>
  <c r="K371" i="4" s="1"/>
  <c r="I370" i="4"/>
  <c r="H370" i="4"/>
  <c r="F375" i="2"/>
  <c r="I374" i="2"/>
  <c r="H374" i="2"/>
  <c r="I371" i="4" l="1"/>
  <c r="H371" i="4"/>
  <c r="F372" i="4"/>
  <c r="K372" i="4" s="1"/>
  <c r="F376" i="2"/>
  <c r="H375" i="2"/>
  <c r="I375" i="2"/>
  <c r="I372" i="4" l="1"/>
  <c r="H372" i="4"/>
  <c r="F373" i="4"/>
  <c r="K373" i="4" s="1"/>
  <c r="F377" i="2"/>
  <c r="I376" i="2"/>
  <c r="H376" i="2"/>
  <c r="I373" i="4" l="1"/>
  <c r="H373" i="4"/>
  <c r="F374" i="4"/>
  <c r="K374" i="4" s="1"/>
  <c r="F378" i="2"/>
  <c r="H377" i="2"/>
  <c r="I377" i="2"/>
  <c r="H374" i="4" l="1"/>
  <c r="F375" i="4"/>
  <c r="K375" i="4" s="1"/>
  <c r="I374" i="4"/>
  <c r="F379" i="2"/>
  <c r="I378" i="2"/>
  <c r="H378" i="2"/>
  <c r="F376" i="4" l="1"/>
  <c r="K376" i="4" s="1"/>
  <c r="I375" i="4"/>
  <c r="H375" i="4"/>
  <c r="F380" i="2"/>
  <c r="H379" i="2"/>
  <c r="I379" i="2"/>
  <c r="I376" i="4" l="1"/>
  <c r="H376" i="4"/>
  <c r="F377" i="4"/>
  <c r="K377" i="4" s="1"/>
  <c r="F381" i="2"/>
  <c r="I380" i="2"/>
  <c r="H380" i="2"/>
  <c r="I377" i="4" l="1"/>
  <c r="H377" i="4"/>
  <c r="F378" i="4"/>
  <c r="K378" i="4" s="1"/>
  <c r="F382" i="2"/>
  <c r="H381" i="2"/>
  <c r="I381" i="2"/>
  <c r="I378" i="4" l="1"/>
  <c r="H378" i="4"/>
  <c r="F379" i="4"/>
  <c r="K379" i="4" s="1"/>
  <c r="F383" i="2"/>
  <c r="H382" i="2"/>
  <c r="I382" i="2"/>
  <c r="I379" i="4" l="1"/>
  <c r="H379" i="4"/>
  <c r="F380" i="4"/>
  <c r="K380" i="4" s="1"/>
  <c r="F384" i="2"/>
  <c r="H383" i="2"/>
  <c r="I383" i="2"/>
  <c r="I380" i="4" l="1"/>
  <c r="H380" i="4"/>
  <c r="F381" i="4"/>
  <c r="K381" i="4" s="1"/>
  <c r="F385" i="2"/>
  <c r="H384" i="2"/>
  <c r="I384" i="2"/>
  <c r="I381" i="4" l="1"/>
  <c r="H381" i="4"/>
  <c r="F382" i="4"/>
  <c r="K382" i="4" s="1"/>
  <c r="F386" i="2"/>
  <c r="H385" i="2"/>
  <c r="I385" i="2"/>
  <c r="H382" i="4" l="1"/>
  <c r="F383" i="4"/>
  <c r="K383" i="4" s="1"/>
  <c r="I382" i="4"/>
  <c r="F387" i="2"/>
  <c r="I386" i="2"/>
  <c r="H386" i="2"/>
  <c r="F384" i="4" l="1"/>
  <c r="K384" i="4" s="1"/>
  <c r="I383" i="4"/>
  <c r="H383" i="4"/>
  <c r="F388" i="2"/>
  <c r="H387" i="2"/>
  <c r="I387" i="2"/>
  <c r="I384" i="4" l="1"/>
  <c r="H384" i="4"/>
  <c r="F385" i="4"/>
  <c r="K385" i="4" s="1"/>
  <c r="F389" i="2"/>
  <c r="H388" i="2"/>
  <c r="I388" i="2"/>
  <c r="I385" i="4" l="1"/>
  <c r="H385" i="4"/>
  <c r="F386" i="4"/>
  <c r="K386" i="4" s="1"/>
  <c r="F390" i="2"/>
  <c r="H389" i="2"/>
  <c r="I389" i="2"/>
  <c r="I386" i="4" l="1"/>
  <c r="H386" i="4"/>
  <c r="F387" i="4"/>
  <c r="K387" i="4" s="1"/>
  <c r="F391" i="2"/>
  <c r="H390" i="2"/>
  <c r="I390" i="2"/>
  <c r="I387" i="4" l="1"/>
  <c r="H387" i="4"/>
  <c r="F388" i="4"/>
  <c r="K388" i="4" s="1"/>
  <c r="F392" i="2"/>
  <c r="I391" i="2"/>
  <c r="H391" i="2"/>
  <c r="I388" i="4" l="1"/>
  <c r="H388" i="4"/>
  <c r="F389" i="4"/>
  <c r="K389" i="4" s="1"/>
  <c r="F393" i="2"/>
  <c r="I392" i="2"/>
  <c r="H392" i="2"/>
  <c r="I389" i="4" l="1"/>
  <c r="H389" i="4"/>
  <c r="F390" i="4"/>
  <c r="K390" i="4" s="1"/>
  <c r="F394" i="2"/>
  <c r="I393" i="2"/>
  <c r="H393" i="2"/>
  <c r="H390" i="4" l="1"/>
  <c r="F391" i="4"/>
  <c r="K391" i="4" s="1"/>
  <c r="I390" i="4"/>
  <c r="F395" i="2"/>
  <c r="H394" i="2"/>
  <c r="I394" i="2"/>
  <c r="F392" i="4" l="1"/>
  <c r="K392" i="4" s="1"/>
  <c r="I391" i="4"/>
  <c r="H391" i="4"/>
  <c r="F396" i="2"/>
  <c r="I395" i="2"/>
  <c r="H395" i="2"/>
  <c r="I392" i="4" l="1"/>
  <c r="H392" i="4"/>
  <c r="F393" i="4"/>
  <c r="K393" i="4" s="1"/>
  <c r="F397" i="2"/>
  <c r="H396" i="2"/>
  <c r="I396" i="2"/>
  <c r="I393" i="4" l="1"/>
  <c r="H393" i="4"/>
  <c r="F394" i="4"/>
  <c r="K394" i="4" s="1"/>
  <c r="F398" i="2"/>
  <c r="H397" i="2"/>
  <c r="I397" i="2"/>
  <c r="I394" i="4" l="1"/>
  <c r="H394" i="4"/>
  <c r="F395" i="4"/>
  <c r="K395" i="4" s="1"/>
  <c r="F399" i="2"/>
  <c r="I398" i="2"/>
  <c r="H398" i="2"/>
  <c r="I395" i="4" l="1"/>
  <c r="H395" i="4"/>
  <c r="F396" i="4"/>
  <c r="K396" i="4" s="1"/>
  <c r="F400" i="2"/>
  <c r="I399" i="2"/>
  <c r="H399" i="2"/>
  <c r="I396" i="4" l="1"/>
  <c r="H396" i="4"/>
  <c r="F397" i="4"/>
  <c r="K397" i="4" s="1"/>
  <c r="F401" i="2"/>
  <c r="H400" i="2"/>
  <c r="I400" i="2"/>
  <c r="F398" i="4" l="1"/>
  <c r="K398" i="4" s="1"/>
  <c r="I397" i="4"/>
  <c r="H397" i="4"/>
  <c r="F402" i="2"/>
  <c r="H401" i="2"/>
  <c r="I401" i="2"/>
  <c r="I398" i="4" l="1"/>
  <c r="H398" i="4"/>
  <c r="F399" i="4"/>
  <c r="K399" i="4" s="1"/>
  <c r="F403" i="2"/>
  <c r="I402" i="2"/>
  <c r="H402" i="2"/>
  <c r="I399" i="4" l="1"/>
  <c r="H399" i="4"/>
  <c r="F400" i="4"/>
  <c r="K400" i="4" s="1"/>
  <c r="F404" i="2"/>
  <c r="H403" i="2"/>
  <c r="I403" i="2"/>
  <c r="I400" i="4" l="1"/>
  <c r="H400" i="4"/>
  <c r="F401" i="4"/>
  <c r="K401" i="4" s="1"/>
  <c r="F405" i="2"/>
  <c r="I404" i="2"/>
  <c r="H404" i="2"/>
  <c r="I401" i="4" l="1"/>
  <c r="H401" i="4"/>
  <c r="F402" i="4"/>
  <c r="K402" i="4" s="1"/>
  <c r="F406" i="2"/>
  <c r="I405" i="2"/>
  <c r="H405" i="2"/>
  <c r="H402" i="4" l="1"/>
  <c r="F403" i="4"/>
  <c r="K403" i="4" s="1"/>
  <c r="I402" i="4"/>
  <c r="F407" i="2"/>
  <c r="I406" i="2"/>
  <c r="H406" i="2"/>
  <c r="F404" i="4" l="1"/>
  <c r="K404" i="4" s="1"/>
  <c r="I403" i="4"/>
  <c r="H403" i="4"/>
  <c r="F408" i="2"/>
  <c r="H407" i="2"/>
  <c r="I407" i="2"/>
  <c r="H404" i="4" l="1"/>
  <c r="F405" i="4"/>
  <c r="K405" i="4" s="1"/>
  <c r="I404" i="4"/>
  <c r="F409" i="2"/>
  <c r="H408" i="2"/>
  <c r="I408" i="2"/>
  <c r="I405" i="4" l="1"/>
  <c r="F406" i="4"/>
  <c r="K406" i="4" s="1"/>
  <c r="H405" i="4"/>
  <c r="F410" i="2"/>
  <c r="H409" i="2"/>
  <c r="I409" i="2"/>
  <c r="I406" i="4" l="1"/>
  <c r="H406" i="4"/>
  <c r="F407" i="4"/>
  <c r="K407" i="4" s="1"/>
  <c r="F411" i="2"/>
  <c r="I410" i="2"/>
  <c r="H410" i="2"/>
  <c r="I407" i="4" l="1"/>
  <c r="H407" i="4"/>
  <c r="F408" i="4"/>
  <c r="K408" i="4" s="1"/>
  <c r="F412" i="2"/>
  <c r="H411" i="2"/>
  <c r="I411" i="2"/>
  <c r="I408" i="4" l="1"/>
  <c r="H408" i="4"/>
  <c r="F409" i="4"/>
  <c r="K409" i="4" s="1"/>
  <c r="F413" i="2"/>
  <c r="I412" i="2"/>
  <c r="H412" i="2"/>
  <c r="I409" i="4" l="1"/>
  <c r="H409" i="4"/>
  <c r="F410" i="4"/>
  <c r="K410" i="4" s="1"/>
  <c r="F414" i="2"/>
  <c r="I413" i="2"/>
  <c r="H413" i="2"/>
  <c r="H410" i="4" l="1"/>
  <c r="F411" i="4"/>
  <c r="K411" i="4" s="1"/>
  <c r="I410" i="4"/>
  <c r="F415" i="2"/>
  <c r="I414" i="2"/>
  <c r="H414" i="2"/>
  <c r="F412" i="4" l="1"/>
  <c r="K412" i="4" s="1"/>
  <c r="I411" i="4"/>
  <c r="H411" i="4"/>
  <c r="F416" i="2"/>
  <c r="I415" i="2"/>
  <c r="H415" i="2"/>
  <c r="H412" i="4" l="1"/>
  <c r="F413" i="4"/>
  <c r="K413" i="4" s="1"/>
  <c r="I412" i="4"/>
  <c r="F417" i="2"/>
  <c r="H416" i="2"/>
  <c r="I416" i="2"/>
  <c r="I413" i="4" l="1"/>
  <c r="F414" i="4"/>
  <c r="K414" i="4" s="1"/>
  <c r="H413" i="4"/>
  <c r="F418" i="2"/>
  <c r="H417" i="2"/>
  <c r="I417" i="2"/>
  <c r="I414" i="4" l="1"/>
  <c r="H414" i="4"/>
  <c r="F415" i="4"/>
  <c r="K415" i="4" s="1"/>
  <c r="F419" i="2"/>
  <c r="I418" i="2"/>
  <c r="H418" i="2"/>
  <c r="I415" i="4" l="1"/>
  <c r="H415" i="4"/>
  <c r="F416" i="4"/>
  <c r="K416" i="4" s="1"/>
  <c r="F420" i="2"/>
  <c r="H419" i="2"/>
  <c r="I419" i="2"/>
  <c r="I416" i="4" l="1"/>
  <c r="H416" i="4"/>
  <c r="F417" i="4"/>
  <c r="K417" i="4" s="1"/>
  <c r="F421" i="2"/>
  <c r="I420" i="2"/>
  <c r="H420" i="2"/>
  <c r="I417" i="4" l="1"/>
  <c r="H417" i="4"/>
  <c r="F418" i="4"/>
  <c r="K418" i="4" s="1"/>
  <c r="F422" i="2"/>
  <c r="H421" i="2"/>
  <c r="I421" i="2"/>
  <c r="H418" i="4" l="1"/>
  <c r="F419" i="4"/>
  <c r="K419" i="4" s="1"/>
  <c r="I418" i="4"/>
  <c r="F423" i="2"/>
  <c r="H422" i="2"/>
  <c r="I422" i="2"/>
  <c r="F420" i="4" l="1"/>
  <c r="K420" i="4" s="1"/>
  <c r="I419" i="4"/>
  <c r="H419" i="4"/>
  <c r="F424" i="2"/>
  <c r="I423" i="2"/>
  <c r="H423" i="2"/>
  <c r="H420" i="4" l="1"/>
  <c r="I420" i="4"/>
  <c r="F421" i="4"/>
  <c r="K421" i="4" s="1"/>
  <c r="F425" i="2"/>
  <c r="H424" i="2"/>
  <c r="I424" i="2"/>
  <c r="I421" i="4" l="1"/>
  <c r="F422" i="4"/>
  <c r="K422" i="4" s="1"/>
  <c r="H421" i="4"/>
  <c r="F426" i="2"/>
  <c r="H425" i="2"/>
  <c r="I425" i="2"/>
  <c r="I422" i="4" l="1"/>
  <c r="H422" i="4"/>
  <c r="F423" i="4"/>
  <c r="K423" i="4" s="1"/>
  <c r="F427" i="2"/>
  <c r="H426" i="2"/>
  <c r="I426" i="2"/>
  <c r="I423" i="4" l="1"/>
  <c r="H423" i="4"/>
  <c r="F424" i="4"/>
  <c r="K424" i="4" s="1"/>
  <c r="F428" i="2"/>
  <c r="H427" i="2"/>
  <c r="I427" i="2"/>
  <c r="I424" i="4" l="1"/>
  <c r="H424" i="4"/>
  <c r="F425" i="4"/>
  <c r="K425" i="4" s="1"/>
  <c r="F429" i="2"/>
  <c r="I428" i="2"/>
  <c r="H428" i="2"/>
  <c r="I425" i="4" l="1"/>
  <c r="H425" i="4"/>
  <c r="F426" i="4"/>
  <c r="K426" i="4" s="1"/>
  <c r="F430" i="2"/>
  <c r="I429" i="2"/>
  <c r="H429" i="2"/>
  <c r="H426" i="4" l="1"/>
  <c r="F427" i="4"/>
  <c r="K427" i="4" s="1"/>
  <c r="I426" i="4"/>
  <c r="F431" i="2"/>
  <c r="H430" i="2"/>
  <c r="I430" i="2"/>
  <c r="F428" i="4" l="1"/>
  <c r="K428" i="4" s="1"/>
  <c r="I427" i="4"/>
  <c r="H427" i="4"/>
  <c r="F432" i="2"/>
  <c r="I431" i="2"/>
  <c r="H431" i="2"/>
  <c r="I428" i="4" l="1"/>
  <c r="H428" i="4"/>
  <c r="F429" i="4"/>
  <c r="K429" i="4" s="1"/>
  <c r="F433" i="2"/>
  <c r="H432" i="2"/>
  <c r="I432" i="2"/>
  <c r="I429" i="4" l="1"/>
  <c r="H429" i="4"/>
  <c r="F430" i="4"/>
  <c r="K430" i="4" s="1"/>
  <c r="F434" i="2"/>
  <c r="H433" i="2"/>
  <c r="I433" i="2"/>
  <c r="I430" i="4" l="1"/>
  <c r="H430" i="4"/>
  <c r="F431" i="4"/>
  <c r="K431" i="4" s="1"/>
  <c r="F435" i="2"/>
  <c r="H434" i="2"/>
  <c r="I434" i="2"/>
  <c r="I431" i="4" l="1"/>
  <c r="H431" i="4"/>
  <c r="F432" i="4"/>
  <c r="K432" i="4" s="1"/>
  <c r="F436" i="2"/>
  <c r="H435" i="2"/>
  <c r="I435" i="2"/>
  <c r="I432" i="4" l="1"/>
  <c r="H432" i="4"/>
  <c r="F433" i="4"/>
  <c r="K433" i="4" s="1"/>
  <c r="F437" i="2"/>
  <c r="I436" i="2"/>
  <c r="H436" i="2"/>
  <c r="I433" i="4" l="1"/>
  <c r="H433" i="4"/>
  <c r="F434" i="4"/>
  <c r="K434" i="4" s="1"/>
  <c r="F438" i="2"/>
  <c r="I437" i="2"/>
  <c r="H437" i="2"/>
  <c r="H434" i="4" l="1"/>
  <c r="F435" i="4"/>
  <c r="K435" i="4" s="1"/>
  <c r="I434" i="4"/>
  <c r="F439" i="2"/>
  <c r="I438" i="2"/>
  <c r="H438" i="2"/>
  <c r="F436" i="4" l="1"/>
  <c r="K436" i="4" s="1"/>
  <c r="I435" i="4"/>
  <c r="H435" i="4"/>
  <c r="F440" i="2"/>
  <c r="H439" i="2"/>
  <c r="I439" i="2"/>
  <c r="I436" i="4" l="1"/>
  <c r="H436" i="4"/>
  <c r="F437" i="4"/>
  <c r="K437" i="4" s="1"/>
  <c r="F441" i="2"/>
  <c r="H440" i="2"/>
  <c r="I440" i="2"/>
  <c r="I437" i="4" l="1"/>
  <c r="H437" i="4"/>
  <c r="F438" i="4"/>
  <c r="K438" i="4" s="1"/>
  <c r="F442" i="2"/>
  <c r="H441" i="2"/>
  <c r="I441" i="2"/>
  <c r="I438" i="4" l="1"/>
  <c r="H438" i="4"/>
  <c r="F439" i="4"/>
  <c r="K439" i="4" s="1"/>
  <c r="F443" i="2"/>
  <c r="H442" i="2"/>
  <c r="I442" i="2"/>
  <c r="I439" i="4" l="1"/>
  <c r="H439" i="4"/>
  <c r="F440" i="4"/>
  <c r="K440" i="4" s="1"/>
  <c r="F444" i="2"/>
  <c r="H443" i="2"/>
  <c r="I443" i="2"/>
  <c r="I440" i="4" l="1"/>
  <c r="H440" i="4"/>
  <c r="F441" i="4"/>
  <c r="K441" i="4" s="1"/>
  <c r="F445" i="2"/>
  <c r="I444" i="2"/>
  <c r="H444" i="2"/>
  <c r="I441" i="4" l="1"/>
  <c r="H441" i="4"/>
  <c r="F442" i="4"/>
  <c r="K442" i="4" s="1"/>
  <c r="H445" i="2"/>
  <c r="F446" i="2"/>
  <c r="I445" i="2"/>
  <c r="H442" i="4" l="1"/>
  <c r="F443" i="4"/>
  <c r="K443" i="4" s="1"/>
  <c r="I442" i="4"/>
  <c r="H446" i="2"/>
  <c r="F447" i="2"/>
  <c r="I446" i="2"/>
  <c r="F444" i="4" l="1"/>
  <c r="K444" i="4" s="1"/>
  <c r="I443" i="4"/>
  <c r="H443" i="4"/>
  <c r="H447" i="2"/>
  <c r="F448" i="2"/>
  <c r="I447" i="2"/>
  <c r="I444" i="4" l="1"/>
  <c r="H444" i="4"/>
  <c r="F445" i="4"/>
  <c r="K445" i="4" s="1"/>
  <c r="H448" i="2"/>
  <c r="F449" i="2"/>
  <c r="I448" i="2"/>
  <c r="I445" i="4" l="1"/>
  <c r="H445" i="4"/>
  <c r="F446" i="4"/>
  <c r="K446" i="4" s="1"/>
  <c r="H449" i="2"/>
  <c r="F450" i="2"/>
  <c r="I449" i="2"/>
  <c r="I446" i="4" l="1"/>
  <c r="H446" i="4"/>
  <c r="F447" i="4"/>
  <c r="K447" i="4" s="1"/>
  <c r="H450" i="2"/>
  <c r="F451" i="2"/>
  <c r="I450" i="2"/>
  <c r="I447" i="4" l="1"/>
  <c r="H447" i="4"/>
  <c r="F448" i="4"/>
  <c r="K448" i="4" s="1"/>
  <c r="H451" i="2"/>
  <c r="F452" i="2"/>
  <c r="I451" i="2"/>
  <c r="I448" i="4" l="1"/>
  <c r="H448" i="4"/>
  <c r="F449" i="4"/>
  <c r="K449" i="4" s="1"/>
  <c r="H452" i="2"/>
  <c r="F453" i="2"/>
  <c r="I452" i="2"/>
  <c r="I449" i="4" l="1"/>
  <c r="H449" i="4"/>
  <c r="F450" i="4"/>
  <c r="K450" i="4" s="1"/>
  <c r="F454" i="2"/>
  <c r="H453" i="2"/>
  <c r="I453" i="2"/>
  <c r="H450" i="4" l="1"/>
  <c r="F451" i="4"/>
  <c r="K451" i="4" s="1"/>
  <c r="I450" i="4"/>
  <c r="H454" i="2"/>
  <c r="F455" i="2"/>
  <c r="I454" i="2"/>
  <c r="F452" i="4" l="1"/>
  <c r="K452" i="4" s="1"/>
  <c r="I451" i="4"/>
  <c r="H451" i="4"/>
  <c r="H455" i="2"/>
  <c r="F456" i="2"/>
  <c r="I455" i="2"/>
  <c r="I452" i="4" l="1"/>
  <c r="H452" i="4"/>
  <c r="F453" i="4"/>
  <c r="K453" i="4" s="1"/>
  <c r="H456" i="2"/>
  <c r="F457" i="2"/>
  <c r="I456" i="2"/>
  <c r="I453" i="4" l="1"/>
  <c r="H453" i="4"/>
  <c r="F454" i="4"/>
  <c r="K454" i="4" s="1"/>
  <c r="F458" i="2"/>
  <c r="H457" i="2"/>
  <c r="I457" i="2"/>
  <c r="I454" i="4" l="1"/>
  <c r="H454" i="4"/>
  <c r="F455" i="4"/>
  <c r="K455" i="4" s="1"/>
  <c r="H458" i="2"/>
  <c r="F459" i="2"/>
  <c r="I458" i="2"/>
  <c r="I455" i="4" l="1"/>
  <c r="H455" i="4"/>
  <c r="F456" i="4"/>
  <c r="K456" i="4" s="1"/>
  <c r="H459" i="2"/>
  <c r="F460" i="2"/>
  <c r="I459" i="2"/>
  <c r="I456" i="4" l="1"/>
  <c r="H456" i="4"/>
  <c r="F457" i="4"/>
  <c r="K457" i="4" s="1"/>
  <c r="H460" i="2"/>
  <c r="F461" i="2"/>
  <c r="I460" i="2"/>
  <c r="I457" i="4" l="1"/>
  <c r="H457" i="4"/>
  <c r="F458" i="4"/>
  <c r="K458" i="4" s="1"/>
  <c r="H461" i="2"/>
  <c r="F462" i="2"/>
  <c r="I461" i="2"/>
  <c r="H458" i="4" l="1"/>
  <c r="F459" i="4"/>
  <c r="K459" i="4" s="1"/>
  <c r="I458" i="4"/>
  <c r="F463" i="2"/>
  <c r="H462" i="2"/>
  <c r="I462" i="2"/>
  <c r="F460" i="4" l="1"/>
  <c r="K460" i="4" s="1"/>
  <c r="I459" i="4"/>
  <c r="H459" i="4"/>
  <c r="H463" i="2"/>
  <c r="F464" i="2"/>
  <c r="I463" i="2"/>
  <c r="I460" i="4" l="1"/>
  <c r="H460" i="4"/>
  <c r="F461" i="4"/>
  <c r="K461" i="4" s="1"/>
  <c r="H464" i="2"/>
  <c r="F465" i="2"/>
  <c r="I464" i="2"/>
  <c r="I461" i="4" l="1"/>
  <c r="H461" i="4"/>
  <c r="F462" i="4"/>
  <c r="K462" i="4" s="1"/>
  <c r="H465" i="2"/>
  <c r="F466" i="2"/>
  <c r="I465" i="2"/>
  <c r="I462" i="4" l="1"/>
  <c r="H462" i="4"/>
  <c r="F463" i="4"/>
  <c r="K463" i="4" s="1"/>
  <c r="F467" i="2"/>
  <c r="H466" i="2"/>
  <c r="I466" i="2"/>
  <c r="I463" i="4" l="1"/>
  <c r="H463" i="4"/>
  <c r="F464" i="4"/>
  <c r="K464" i="4" s="1"/>
  <c r="H467" i="2"/>
  <c r="F468" i="2"/>
  <c r="I467" i="2"/>
  <c r="I464" i="4" l="1"/>
  <c r="H464" i="4"/>
  <c r="F465" i="4"/>
  <c r="K465" i="4" s="1"/>
  <c r="H468" i="2"/>
  <c r="F469" i="2"/>
  <c r="I468" i="2"/>
  <c r="I465" i="4" l="1"/>
  <c r="H465" i="4"/>
  <c r="F466" i="4"/>
  <c r="K466" i="4" s="1"/>
  <c r="H469" i="2"/>
  <c r="F470" i="2"/>
  <c r="I469" i="2"/>
  <c r="H466" i="4" l="1"/>
  <c r="F467" i="4"/>
  <c r="K467" i="4" s="1"/>
  <c r="I466" i="4"/>
  <c r="F471" i="2"/>
  <c r="H470" i="2"/>
  <c r="I470" i="2"/>
  <c r="F468" i="4" l="1"/>
  <c r="K468" i="4" s="1"/>
  <c r="I467" i="4"/>
  <c r="H467" i="4"/>
  <c r="H471" i="2"/>
  <c r="F472" i="2"/>
  <c r="I471" i="2"/>
  <c r="I468" i="4" l="1"/>
  <c r="H468" i="4"/>
  <c r="F469" i="4"/>
  <c r="K469" i="4" s="1"/>
  <c r="H472" i="2"/>
  <c r="F473" i="2"/>
  <c r="I472" i="2"/>
  <c r="I469" i="4" l="1"/>
  <c r="H469" i="4"/>
  <c r="F470" i="4"/>
  <c r="K470" i="4" s="1"/>
  <c r="H473" i="2"/>
  <c r="I473" i="2"/>
  <c r="I470" i="4" l="1"/>
  <c r="H470" i="4"/>
  <c r="F471" i="4"/>
  <c r="K471" i="4" s="1"/>
  <c r="I471" i="4" l="1"/>
  <c r="H471" i="4"/>
  <c r="F472" i="4"/>
  <c r="K472" i="4" s="1"/>
  <c r="I472" i="4" l="1"/>
  <c r="H472" i="4"/>
  <c r="F473" i="4"/>
  <c r="K473" i="4" s="1"/>
  <c r="I473" i="4" l="1"/>
  <c r="H473" i="4"/>
</calcChain>
</file>

<file path=xl/sharedStrings.xml><?xml version="1.0" encoding="utf-8"?>
<sst xmlns="http://schemas.openxmlformats.org/spreadsheetml/2006/main" count="70" uniqueCount="25">
  <si>
    <t>f</t>
  </si>
  <si>
    <t>fa</t>
  </si>
  <si>
    <t>ts</t>
  </si>
  <si>
    <t>t</t>
  </si>
  <si>
    <t>A</t>
  </si>
  <si>
    <t>d</t>
  </si>
  <si>
    <t>N</t>
  </si>
  <si>
    <t>S</t>
  </si>
  <si>
    <t>cos</t>
  </si>
  <si>
    <t>sin</t>
  </si>
  <si>
    <t>t0</t>
  </si>
  <si>
    <t>frequencia do sistema</t>
  </si>
  <si>
    <t>no de amostras por ciclo</t>
  </si>
  <si>
    <t>freq de amostragem</t>
  </si>
  <si>
    <t>passo de tempo</t>
  </si>
  <si>
    <t>tempo inicial</t>
  </si>
  <si>
    <t>amplitude do sinal</t>
  </si>
  <si>
    <t>defasamento angular</t>
  </si>
  <si>
    <t>re</t>
  </si>
  <si>
    <t>im</t>
  </si>
  <si>
    <t>mod</t>
  </si>
  <si>
    <t>ang</t>
  </si>
  <si>
    <t>S*cos</t>
  </si>
  <si>
    <t>S*sin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</si>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</sst>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55971128608924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DFT!$B$10:$B$29</c:f>
              <c:strCache>
                <c:ptCount val="20"/>
                <c:pt idx="0">
                  <c:v>S</c:v>
                </c:pt>
                <c:pt idx="1">
                  <c:v>53,55227395</c:v>
                </c:pt>
                <c:pt idx="2">
                  <c:v>91,38131444</c:v>
                </c:pt>
                <c:pt idx="3">
                  <c:v>120,2653152</c:v>
                </c:pt>
                <c:pt idx="4">
                  <c:v>137,3769089</c:v>
                </c:pt>
                <c:pt idx="5">
                  <c:v>141,0410937</c:v>
                </c:pt>
                <c:pt idx="6">
                  <c:v>130,8991935</c:v>
                </c:pt>
                <c:pt idx="7">
                  <c:v>107,9439682</c:v>
                </c:pt>
                <c:pt idx="8">
                  <c:v>74,42243522</c:v>
                </c:pt>
                <c:pt idx="9">
                  <c:v>33,61591575</c:v>
                </c:pt>
                <c:pt idx="10">
                  <c:v>-10,48116377</c:v>
                </c:pt>
                <c:pt idx="11">
                  <c:v>-53,55227395</c:v>
                </c:pt>
                <c:pt idx="12">
                  <c:v>-91,38131444</c:v>
                </c:pt>
                <c:pt idx="13">
                  <c:v>-120,2653152</c:v>
                </c:pt>
                <c:pt idx="14">
                  <c:v>-137,3769089</c:v>
                </c:pt>
                <c:pt idx="15">
                  <c:v>-141,0410937</c:v>
                </c:pt>
                <c:pt idx="16">
                  <c:v>-130,8991935</c:v>
                </c:pt>
                <c:pt idx="17">
                  <c:v>-107,9439682</c:v>
                </c:pt>
                <c:pt idx="18">
                  <c:v>-74,42243522</c:v>
                </c:pt>
                <c:pt idx="19">
                  <c:v>-33,61591575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DFT!$A$30:$A$473</c:f>
              <c:numCache>
                <c:formatCode>General</c:formatCode>
                <c:ptCount val="444"/>
                <c:pt idx="0">
                  <c:v>1.5833333333333335E-2</c:v>
                </c:pt>
                <c:pt idx="1">
                  <c:v>1.6666666666666666E-2</c:v>
                </c:pt>
                <c:pt idx="2">
                  <c:v>1.7500000000000002E-2</c:v>
                </c:pt>
                <c:pt idx="3">
                  <c:v>1.8333333333333333E-2</c:v>
                </c:pt>
                <c:pt idx="4">
                  <c:v>1.9166666666666669E-2</c:v>
                </c:pt>
                <c:pt idx="5">
                  <c:v>0.02</c:v>
                </c:pt>
                <c:pt idx="6">
                  <c:v>2.0833333333333336E-2</c:v>
                </c:pt>
                <c:pt idx="7">
                  <c:v>2.1666666666666667E-2</c:v>
                </c:pt>
                <c:pt idx="8">
                  <c:v>2.2500000000000003E-2</c:v>
                </c:pt>
                <c:pt idx="9">
                  <c:v>2.3333333333333334E-2</c:v>
                </c:pt>
                <c:pt idx="10">
                  <c:v>2.416666666666667E-2</c:v>
                </c:pt>
                <c:pt idx="11">
                  <c:v>2.5000000000000001E-2</c:v>
                </c:pt>
                <c:pt idx="12">
                  <c:v>2.5833333333333337E-2</c:v>
                </c:pt>
                <c:pt idx="13">
                  <c:v>2.6666666666666668E-2</c:v>
                </c:pt>
                <c:pt idx="14">
                  <c:v>2.75E-2</c:v>
                </c:pt>
                <c:pt idx="15">
                  <c:v>2.8333333333333335E-2</c:v>
                </c:pt>
                <c:pt idx="16">
                  <c:v>2.9166666666666667E-2</c:v>
                </c:pt>
                <c:pt idx="17">
                  <c:v>3.0000000000000002E-2</c:v>
                </c:pt>
                <c:pt idx="18">
                  <c:v>3.0833333333333334E-2</c:v>
                </c:pt>
                <c:pt idx="19">
                  <c:v>3.1666666666666669E-2</c:v>
                </c:pt>
                <c:pt idx="20">
                  <c:v>3.2500000000000001E-2</c:v>
                </c:pt>
                <c:pt idx="21">
                  <c:v>3.3333333333333333E-2</c:v>
                </c:pt>
                <c:pt idx="22">
                  <c:v>3.4166666666666672E-2</c:v>
                </c:pt>
                <c:pt idx="23">
                  <c:v>3.5000000000000003E-2</c:v>
                </c:pt>
                <c:pt idx="24">
                  <c:v>3.5833333333333335E-2</c:v>
                </c:pt>
                <c:pt idx="25">
                  <c:v>3.6666666666666667E-2</c:v>
                </c:pt>
                <c:pt idx="26">
                  <c:v>3.7500000000000006E-2</c:v>
                </c:pt>
                <c:pt idx="27">
                  <c:v>3.8333333333333337E-2</c:v>
                </c:pt>
                <c:pt idx="28">
                  <c:v>3.9166666666666669E-2</c:v>
                </c:pt>
                <c:pt idx="29">
                  <c:v>0.04</c:v>
                </c:pt>
                <c:pt idx="30">
                  <c:v>4.0833333333333333E-2</c:v>
                </c:pt>
                <c:pt idx="31">
                  <c:v>4.1666666666666671E-2</c:v>
                </c:pt>
                <c:pt idx="32">
                  <c:v>4.2500000000000003E-2</c:v>
                </c:pt>
                <c:pt idx="33">
                  <c:v>4.3333333333333335E-2</c:v>
                </c:pt>
                <c:pt idx="34">
                  <c:v>4.4166666666666667E-2</c:v>
                </c:pt>
                <c:pt idx="35">
                  <c:v>4.5000000000000005E-2</c:v>
                </c:pt>
                <c:pt idx="36">
                  <c:v>4.5833333333333337E-2</c:v>
                </c:pt>
                <c:pt idx="37">
                  <c:v>4.6666666666666669E-2</c:v>
                </c:pt>
                <c:pt idx="38">
                  <c:v>4.7500000000000001E-2</c:v>
                </c:pt>
                <c:pt idx="39">
                  <c:v>4.8333333333333339E-2</c:v>
                </c:pt>
                <c:pt idx="40">
                  <c:v>4.9166666666666671E-2</c:v>
                </c:pt>
                <c:pt idx="41">
                  <c:v>0.05</c:v>
                </c:pt>
                <c:pt idx="42">
                  <c:v>5.0833333333333335E-2</c:v>
                </c:pt>
                <c:pt idx="43">
                  <c:v>5.1666666666666673E-2</c:v>
                </c:pt>
                <c:pt idx="44">
                  <c:v>5.2500000000000005E-2</c:v>
                </c:pt>
                <c:pt idx="45">
                  <c:v>5.3333333333333337E-2</c:v>
                </c:pt>
                <c:pt idx="46">
                  <c:v>5.4166666666666669E-2</c:v>
                </c:pt>
                <c:pt idx="47">
                  <c:v>5.5E-2</c:v>
                </c:pt>
                <c:pt idx="48">
                  <c:v>5.5833333333333339E-2</c:v>
                </c:pt>
                <c:pt idx="49">
                  <c:v>5.6666666666666671E-2</c:v>
                </c:pt>
                <c:pt idx="50">
                  <c:v>5.7500000000000002E-2</c:v>
                </c:pt>
                <c:pt idx="51">
                  <c:v>5.8333333333333334E-2</c:v>
                </c:pt>
                <c:pt idx="52">
                  <c:v>5.9166666666666673E-2</c:v>
                </c:pt>
                <c:pt idx="53">
                  <c:v>6.0000000000000005E-2</c:v>
                </c:pt>
                <c:pt idx="54">
                  <c:v>6.0833333333333336E-2</c:v>
                </c:pt>
                <c:pt idx="55">
                  <c:v>6.1666666666666668E-2</c:v>
                </c:pt>
                <c:pt idx="56">
                  <c:v>6.25E-2</c:v>
                </c:pt>
                <c:pt idx="57">
                  <c:v>6.3333333333333339E-2</c:v>
                </c:pt>
                <c:pt idx="58">
                  <c:v>6.4166666666666677E-2</c:v>
                </c:pt>
                <c:pt idx="59">
                  <c:v>6.5000000000000002E-2</c:v>
                </c:pt>
                <c:pt idx="60">
                  <c:v>6.5833333333333341E-2</c:v>
                </c:pt>
                <c:pt idx="61">
                  <c:v>6.6666666666666666E-2</c:v>
                </c:pt>
                <c:pt idx="62">
                  <c:v>6.7500000000000004E-2</c:v>
                </c:pt>
                <c:pt idx="63">
                  <c:v>6.8333333333333343E-2</c:v>
                </c:pt>
                <c:pt idx="64">
                  <c:v>6.9166666666666668E-2</c:v>
                </c:pt>
                <c:pt idx="65">
                  <c:v>7.0000000000000007E-2</c:v>
                </c:pt>
                <c:pt idx="66">
                  <c:v>7.0833333333333331E-2</c:v>
                </c:pt>
                <c:pt idx="67">
                  <c:v>7.166666666666667E-2</c:v>
                </c:pt>
                <c:pt idx="68">
                  <c:v>7.2500000000000009E-2</c:v>
                </c:pt>
                <c:pt idx="69">
                  <c:v>7.3333333333333334E-2</c:v>
                </c:pt>
                <c:pt idx="70">
                  <c:v>7.4166666666666672E-2</c:v>
                </c:pt>
                <c:pt idx="71">
                  <c:v>7.5000000000000011E-2</c:v>
                </c:pt>
                <c:pt idx="72">
                  <c:v>7.5833333333333336E-2</c:v>
                </c:pt>
                <c:pt idx="73">
                  <c:v>7.6666666666666675E-2</c:v>
                </c:pt>
                <c:pt idx="74">
                  <c:v>7.7499999999999999E-2</c:v>
                </c:pt>
                <c:pt idx="75">
                  <c:v>7.8333333333333338E-2</c:v>
                </c:pt>
                <c:pt idx="76">
                  <c:v>7.9166666666666677E-2</c:v>
                </c:pt>
                <c:pt idx="77">
                  <c:v>0.08</c:v>
                </c:pt>
                <c:pt idx="78">
                  <c:v>8.083333333333334E-2</c:v>
                </c:pt>
                <c:pt idx="79">
                  <c:v>8.1666666666666665E-2</c:v>
                </c:pt>
                <c:pt idx="80">
                  <c:v>8.2500000000000004E-2</c:v>
                </c:pt>
                <c:pt idx="81">
                  <c:v>8.3333333333333343E-2</c:v>
                </c:pt>
                <c:pt idx="82">
                  <c:v>8.4166666666666667E-2</c:v>
                </c:pt>
                <c:pt idx="83">
                  <c:v>8.5000000000000006E-2</c:v>
                </c:pt>
                <c:pt idx="84">
                  <c:v>8.5833333333333345E-2</c:v>
                </c:pt>
                <c:pt idx="85">
                  <c:v>8.666666666666667E-2</c:v>
                </c:pt>
                <c:pt idx="86">
                  <c:v>8.7500000000000008E-2</c:v>
                </c:pt>
                <c:pt idx="87">
                  <c:v>8.8333333333333333E-2</c:v>
                </c:pt>
                <c:pt idx="88">
                  <c:v>8.9166666666666672E-2</c:v>
                </c:pt>
                <c:pt idx="89">
                  <c:v>9.0000000000000011E-2</c:v>
                </c:pt>
                <c:pt idx="90">
                  <c:v>9.0833333333333335E-2</c:v>
                </c:pt>
                <c:pt idx="91">
                  <c:v>9.1666666666666674E-2</c:v>
                </c:pt>
                <c:pt idx="92">
                  <c:v>9.2500000000000013E-2</c:v>
                </c:pt>
                <c:pt idx="93">
                  <c:v>9.3333333333333338E-2</c:v>
                </c:pt>
                <c:pt idx="94">
                  <c:v>9.4166666666666676E-2</c:v>
                </c:pt>
                <c:pt idx="95">
                  <c:v>9.5000000000000001E-2</c:v>
                </c:pt>
                <c:pt idx="96">
                  <c:v>9.583333333333334E-2</c:v>
                </c:pt>
                <c:pt idx="97">
                  <c:v>9.6666666666666679E-2</c:v>
                </c:pt>
                <c:pt idx="98">
                  <c:v>9.7500000000000003E-2</c:v>
                </c:pt>
                <c:pt idx="99">
                  <c:v>9.8333333333333342E-2</c:v>
                </c:pt>
                <c:pt idx="100">
                  <c:v>9.9166666666666667E-2</c:v>
                </c:pt>
                <c:pt idx="101">
                  <c:v>0.1</c:v>
                </c:pt>
                <c:pt idx="102">
                  <c:v>0.10083333333333334</c:v>
                </c:pt>
                <c:pt idx="103">
                  <c:v>0.10166666666666667</c:v>
                </c:pt>
                <c:pt idx="104">
                  <c:v>0.10250000000000001</c:v>
                </c:pt>
                <c:pt idx="105">
                  <c:v>0.10333333333333335</c:v>
                </c:pt>
                <c:pt idx="106">
                  <c:v>0.10416666666666667</c:v>
                </c:pt>
                <c:pt idx="107">
                  <c:v>0.10500000000000001</c:v>
                </c:pt>
                <c:pt idx="108">
                  <c:v>0.10583333333333333</c:v>
                </c:pt>
                <c:pt idx="109">
                  <c:v>0.10666666666666667</c:v>
                </c:pt>
                <c:pt idx="110">
                  <c:v>0.10750000000000001</c:v>
                </c:pt>
                <c:pt idx="111">
                  <c:v>0.10833333333333334</c:v>
                </c:pt>
                <c:pt idx="112">
                  <c:v>0.10916666666666668</c:v>
                </c:pt>
                <c:pt idx="113">
                  <c:v>0.11</c:v>
                </c:pt>
                <c:pt idx="114">
                  <c:v>0.11083333333333334</c:v>
                </c:pt>
                <c:pt idx="115">
                  <c:v>0.11166666666666668</c:v>
                </c:pt>
                <c:pt idx="116">
                  <c:v>0.1125</c:v>
                </c:pt>
                <c:pt idx="117">
                  <c:v>0.11333333333333334</c:v>
                </c:pt>
                <c:pt idx="118">
                  <c:v>0.11416666666666668</c:v>
                </c:pt>
                <c:pt idx="119">
                  <c:v>0.115</c:v>
                </c:pt>
                <c:pt idx="120">
                  <c:v>0.11583333333333334</c:v>
                </c:pt>
                <c:pt idx="121">
                  <c:v>0.11666666666666667</c:v>
                </c:pt>
                <c:pt idx="122">
                  <c:v>0.11750000000000001</c:v>
                </c:pt>
                <c:pt idx="123">
                  <c:v>0.11833333333333335</c:v>
                </c:pt>
                <c:pt idx="124">
                  <c:v>0.11916666666666667</c:v>
                </c:pt>
                <c:pt idx="125">
                  <c:v>0.12000000000000001</c:v>
                </c:pt>
                <c:pt idx="126">
                  <c:v>0.12083333333333333</c:v>
                </c:pt>
                <c:pt idx="127">
                  <c:v>0.12166666666666667</c:v>
                </c:pt>
                <c:pt idx="128">
                  <c:v>0.12250000000000001</c:v>
                </c:pt>
                <c:pt idx="129">
                  <c:v>0.12333333333333334</c:v>
                </c:pt>
                <c:pt idx="130">
                  <c:v>0.12416666666666668</c:v>
                </c:pt>
                <c:pt idx="131">
                  <c:v>0.125</c:v>
                </c:pt>
                <c:pt idx="132">
                  <c:v>0.12583333333333335</c:v>
                </c:pt>
                <c:pt idx="133">
                  <c:v>0.12666666666666668</c:v>
                </c:pt>
                <c:pt idx="134">
                  <c:v>0.1275</c:v>
                </c:pt>
                <c:pt idx="135">
                  <c:v>0.12833333333333335</c:v>
                </c:pt>
                <c:pt idx="136">
                  <c:v>0.12916666666666668</c:v>
                </c:pt>
                <c:pt idx="137">
                  <c:v>0.13</c:v>
                </c:pt>
                <c:pt idx="138">
                  <c:v>0.13083333333333333</c:v>
                </c:pt>
                <c:pt idx="139">
                  <c:v>0.13166666666666668</c:v>
                </c:pt>
                <c:pt idx="140">
                  <c:v>0.13250000000000001</c:v>
                </c:pt>
                <c:pt idx="141">
                  <c:v>0.13333333333333333</c:v>
                </c:pt>
                <c:pt idx="142">
                  <c:v>0.13416666666666668</c:v>
                </c:pt>
                <c:pt idx="143">
                  <c:v>0.13500000000000001</c:v>
                </c:pt>
                <c:pt idx="144">
                  <c:v>0.13583333333333333</c:v>
                </c:pt>
                <c:pt idx="145">
                  <c:v>0.13666666666666669</c:v>
                </c:pt>
                <c:pt idx="146">
                  <c:v>0.13750000000000001</c:v>
                </c:pt>
                <c:pt idx="147">
                  <c:v>0.13833333333333334</c:v>
                </c:pt>
                <c:pt idx="148">
                  <c:v>0.13916666666666669</c:v>
                </c:pt>
                <c:pt idx="149">
                  <c:v>0.14000000000000001</c:v>
                </c:pt>
                <c:pt idx="150">
                  <c:v>0.14083333333333334</c:v>
                </c:pt>
                <c:pt idx="151">
                  <c:v>0.14166666666666666</c:v>
                </c:pt>
                <c:pt idx="152">
                  <c:v>0.14250000000000002</c:v>
                </c:pt>
                <c:pt idx="153">
                  <c:v>0.14333333333333334</c:v>
                </c:pt>
                <c:pt idx="154">
                  <c:v>0.14416666666666667</c:v>
                </c:pt>
                <c:pt idx="155">
                  <c:v>0.14500000000000002</c:v>
                </c:pt>
                <c:pt idx="156">
                  <c:v>0.14583333333333334</c:v>
                </c:pt>
                <c:pt idx="157">
                  <c:v>0.14666666666666667</c:v>
                </c:pt>
                <c:pt idx="158">
                  <c:v>0.14750000000000002</c:v>
                </c:pt>
                <c:pt idx="159">
                  <c:v>0.14833333333333334</c:v>
                </c:pt>
                <c:pt idx="160">
                  <c:v>0.14916666666666667</c:v>
                </c:pt>
                <c:pt idx="161">
                  <c:v>0.15000000000000002</c:v>
                </c:pt>
                <c:pt idx="162">
                  <c:v>0.15083333333333335</c:v>
                </c:pt>
                <c:pt idx="163">
                  <c:v>0.15166666666666667</c:v>
                </c:pt>
                <c:pt idx="164">
                  <c:v>0.1525</c:v>
                </c:pt>
                <c:pt idx="165">
                  <c:v>0.15333333333333335</c:v>
                </c:pt>
                <c:pt idx="166">
                  <c:v>0.15416666666666667</c:v>
                </c:pt>
                <c:pt idx="167">
                  <c:v>0.155</c:v>
                </c:pt>
                <c:pt idx="168">
                  <c:v>0.15583333333333335</c:v>
                </c:pt>
                <c:pt idx="169">
                  <c:v>0.15666666666666668</c:v>
                </c:pt>
                <c:pt idx="170">
                  <c:v>0.1575</c:v>
                </c:pt>
                <c:pt idx="171">
                  <c:v>0.15833333333333335</c:v>
                </c:pt>
                <c:pt idx="172">
                  <c:v>0.15916666666666668</c:v>
                </c:pt>
                <c:pt idx="173">
                  <c:v>0.16</c:v>
                </c:pt>
                <c:pt idx="174">
                  <c:v>0.16083333333333336</c:v>
                </c:pt>
                <c:pt idx="175">
                  <c:v>0.16166666666666668</c:v>
                </c:pt>
                <c:pt idx="176">
                  <c:v>0.16250000000000001</c:v>
                </c:pt>
                <c:pt idx="177">
                  <c:v>0.16333333333333333</c:v>
                </c:pt>
                <c:pt idx="178">
                  <c:v>0.16416666666666668</c:v>
                </c:pt>
                <c:pt idx="179">
                  <c:v>0.16500000000000001</c:v>
                </c:pt>
                <c:pt idx="180">
                  <c:v>0.16583333333333333</c:v>
                </c:pt>
                <c:pt idx="181">
                  <c:v>0.16666666666666669</c:v>
                </c:pt>
                <c:pt idx="182">
                  <c:v>0.16750000000000001</c:v>
                </c:pt>
                <c:pt idx="183">
                  <c:v>0.16833333333333333</c:v>
                </c:pt>
                <c:pt idx="184">
                  <c:v>0.16916666666666669</c:v>
                </c:pt>
                <c:pt idx="185">
                  <c:v>0.17</c:v>
                </c:pt>
                <c:pt idx="186">
                  <c:v>0.17083333333333334</c:v>
                </c:pt>
                <c:pt idx="187">
                  <c:v>0.17166666666666669</c:v>
                </c:pt>
                <c:pt idx="188">
                  <c:v>0.17250000000000001</c:v>
                </c:pt>
                <c:pt idx="189">
                  <c:v>0.17333333333333334</c:v>
                </c:pt>
                <c:pt idx="190">
                  <c:v>0.17416666666666666</c:v>
                </c:pt>
                <c:pt idx="191">
                  <c:v>0.17500000000000002</c:v>
                </c:pt>
                <c:pt idx="192">
                  <c:v>0.17583333333333334</c:v>
                </c:pt>
                <c:pt idx="193">
                  <c:v>0.17666666666666667</c:v>
                </c:pt>
                <c:pt idx="194">
                  <c:v>0.17750000000000002</c:v>
                </c:pt>
                <c:pt idx="195">
                  <c:v>0.17833333333333334</c:v>
                </c:pt>
                <c:pt idx="196">
                  <c:v>0.17916666666666667</c:v>
                </c:pt>
                <c:pt idx="197">
                  <c:v>0.18000000000000002</c:v>
                </c:pt>
                <c:pt idx="198">
                  <c:v>0.18083333333333335</c:v>
                </c:pt>
                <c:pt idx="199">
                  <c:v>0.18166666666666667</c:v>
                </c:pt>
                <c:pt idx="200">
                  <c:v>0.18250000000000002</c:v>
                </c:pt>
                <c:pt idx="201">
                  <c:v>0.18333333333333335</c:v>
                </c:pt>
                <c:pt idx="202">
                  <c:v>0.18416666666666667</c:v>
                </c:pt>
                <c:pt idx="203">
                  <c:v>0.18500000000000003</c:v>
                </c:pt>
                <c:pt idx="204">
                  <c:v>0.18583333333333335</c:v>
                </c:pt>
                <c:pt idx="205">
                  <c:v>0.18666666666666668</c:v>
                </c:pt>
                <c:pt idx="206">
                  <c:v>0.1875</c:v>
                </c:pt>
                <c:pt idx="207">
                  <c:v>0.18833333333333335</c:v>
                </c:pt>
                <c:pt idx="208">
                  <c:v>0.18916666666666668</c:v>
                </c:pt>
                <c:pt idx="209">
                  <c:v>0.19</c:v>
                </c:pt>
                <c:pt idx="210">
                  <c:v>0.19083333333333335</c:v>
                </c:pt>
                <c:pt idx="211">
                  <c:v>0.19166666666666668</c:v>
                </c:pt>
                <c:pt idx="212">
                  <c:v>0.1925</c:v>
                </c:pt>
                <c:pt idx="213">
                  <c:v>0.19333333333333336</c:v>
                </c:pt>
                <c:pt idx="214">
                  <c:v>0.19416666666666668</c:v>
                </c:pt>
                <c:pt idx="215">
                  <c:v>0.19500000000000001</c:v>
                </c:pt>
                <c:pt idx="216">
                  <c:v>0.19583333333333336</c:v>
                </c:pt>
                <c:pt idx="217">
                  <c:v>0.19666666666666668</c:v>
                </c:pt>
                <c:pt idx="218">
                  <c:v>0.19750000000000001</c:v>
                </c:pt>
                <c:pt idx="219">
                  <c:v>0.19833333333333333</c:v>
                </c:pt>
                <c:pt idx="220">
                  <c:v>0.19916666666666669</c:v>
                </c:pt>
                <c:pt idx="221">
                  <c:v>0.2</c:v>
                </c:pt>
                <c:pt idx="222">
                  <c:v>0.20083333333333334</c:v>
                </c:pt>
                <c:pt idx="223">
                  <c:v>0.20166666666666669</c:v>
                </c:pt>
                <c:pt idx="224">
                  <c:v>0.20250000000000001</c:v>
                </c:pt>
                <c:pt idx="225">
                  <c:v>0.20333333333333334</c:v>
                </c:pt>
                <c:pt idx="226">
                  <c:v>0.20416666666666669</c:v>
                </c:pt>
                <c:pt idx="227">
                  <c:v>0.20500000000000002</c:v>
                </c:pt>
                <c:pt idx="228">
                  <c:v>0.20583333333333334</c:v>
                </c:pt>
                <c:pt idx="229">
                  <c:v>0.20666666666666669</c:v>
                </c:pt>
                <c:pt idx="230">
                  <c:v>0.20750000000000002</c:v>
                </c:pt>
                <c:pt idx="231">
                  <c:v>0.20833333333333334</c:v>
                </c:pt>
                <c:pt idx="232">
                  <c:v>0.20916666666666667</c:v>
                </c:pt>
                <c:pt idx="233">
                  <c:v>0.21000000000000002</c:v>
                </c:pt>
                <c:pt idx="234">
                  <c:v>0.21083333333333334</c:v>
                </c:pt>
                <c:pt idx="235">
                  <c:v>0.21166666666666667</c:v>
                </c:pt>
                <c:pt idx="236">
                  <c:v>0.21250000000000002</c:v>
                </c:pt>
                <c:pt idx="237">
                  <c:v>0.21333333333333335</c:v>
                </c:pt>
                <c:pt idx="238">
                  <c:v>0.21416666666666667</c:v>
                </c:pt>
                <c:pt idx="239">
                  <c:v>0.21500000000000002</c:v>
                </c:pt>
                <c:pt idx="240">
                  <c:v>0.21583333333333335</c:v>
                </c:pt>
                <c:pt idx="241">
                  <c:v>0.21666666666666667</c:v>
                </c:pt>
                <c:pt idx="242">
                  <c:v>0.21750000000000003</c:v>
                </c:pt>
                <c:pt idx="243">
                  <c:v>0.21833333333333335</c:v>
                </c:pt>
                <c:pt idx="244">
                  <c:v>0.21916666666666668</c:v>
                </c:pt>
                <c:pt idx="245">
                  <c:v>0.22</c:v>
                </c:pt>
                <c:pt idx="246">
                  <c:v>0.22083333333333335</c:v>
                </c:pt>
                <c:pt idx="247">
                  <c:v>0.22166666666666668</c:v>
                </c:pt>
                <c:pt idx="248">
                  <c:v>0.2225</c:v>
                </c:pt>
                <c:pt idx="249">
                  <c:v>0.22333333333333336</c:v>
                </c:pt>
                <c:pt idx="250">
                  <c:v>0.22416666666666668</c:v>
                </c:pt>
                <c:pt idx="251">
                  <c:v>0.22500000000000001</c:v>
                </c:pt>
                <c:pt idx="252">
                  <c:v>0.22583333333333336</c:v>
                </c:pt>
                <c:pt idx="253">
                  <c:v>0.22666666666666668</c:v>
                </c:pt>
                <c:pt idx="254">
                  <c:v>0.22750000000000001</c:v>
                </c:pt>
                <c:pt idx="255">
                  <c:v>0.22833333333333336</c:v>
                </c:pt>
                <c:pt idx="256">
                  <c:v>0.22916666666666669</c:v>
                </c:pt>
                <c:pt idx="257">
                  <c:v>0.23</c:v>
                </c:pt>
                <c:pt idx="258">
                  <c:v>0.23083333333333333</c:v>
                </c:pt>
                <c:pt idx="259">
                  <c:v>0.23166666666666669</c:v>
                </c:pt>
                <c:pt idx="260">
                  <c:v>0.23250000000000001</c:v>
                </c:pt>
                <c:pt idx="261">
                  <c:v>0.23333333333333334</c:v>
                </c:pt>
                <c:pt idx="262">
                  <c:v>0.23416666666666669</c:v>
                </c:pt>
                <c:pt idx="263">
                  <c:v>0.23500000000000001</c:v>
                </c:pt>
                <c:pt idx="264">
                  <c:v>0.23583333333333334</c:v>
                </c:pt>
                <c:pt idx="265">
                  <c:v>0.23666666666666669</c:v>
                </c:pt>
                <c:pt idx="266">
                  <c:v>0.23750000000000002</c:v>
                </c:pt>
                <c:pt idx="267">
                  <c:v>0.23833333333333334</c:v>
                </c:pt>
                <c:pt idx="268">
                  <c:v>0.23916666666666669</c:v>
                </c:pt>
                <c:pt idx="269">
                  <c:v>0.24000000000000002</c:v>
                </c:pt>
                <c:pt idx="270">
                  <c:v>0.24083333333333334</c:v>
                </c:pt>
                <c:pt idx="271">
                  <c:v>0.24166666666666667</c:v>
                </c:pt>
                <c:pt idx="272">
                  <c:v>0.24250000000000002</c:v>
                </c:pt>
                <c:pt idx="273">
                  <c:v>0.24333333333333335</c:v>
                </c:pt>
                <c:pt idx="274">
                  <c:v>0.24416666666666667</c:v>
                </c:pt>
                <c:pt idx="275">
                  <c:v>0.24500000000000002</c:v>
                </c:pt>
                <c:pt idx="276">
                  <c:v>0.24583333333333335</c:v>
                </c:pt>
                <c:pt idx="277">
                  <c:v>0.24666666666666667</c:v>
                </c:pt>
                <c:pt idx="278">
                  <c:v>0.24750000000000003</c:v>
                </c:pt>
                <c:pt idx="279">
                  <c:v>0.24833333333333335</c:v>
                </c:pt>
                <c:pt idx="280">
                  <c:v>0.24916666666666668</c:v>
                </c:pt>
                <c:pt idx="281">
                  <c:v>0.25</c:v>
                </c:pt>
                <c:pt idx="282">
                  <c:v>0.25083333333333335</c:v>
                </c:pt>
                <c:pt idx="283">
                  <c:v>0.25166666666666671</c:v>
                </c:pt>
                <c:pt idx="284">
                  <c:v>0.2525</c:v>
                </c:pt>
                <c:pt idx="285">
                  <c:v>0.25333333333333335</c:v>
                </c:pt>
                <c:pt idx="286">
                  <c:v>0.25416666666666671</c:v>
                </c:pt>
                <c:pt idx="287">
                  <c:v>0.255</c:v>
                </c:pt>
                <c:pt idx="288">
                  <c:v>0.25583333333333336</c:v>
                </c:pt>
                <c:pt idx="289">
                  <c:v>0.25666666666666671</c:v>
                </c:pt>
                <c:pt idx="290">
                  <c:v>0.25750000000000001</c:v>
                </c:pt>
                <c:pt idx="291">
                  <c:v>0.25833333333333336</c:v>
                </c:pt>
                <c:pt idx="292">
                  <c:v>0.25916666666666666</c:v>
                </c:pt>
                <c:pt idx="293">
                  <c:v>0.26</c:v>
                </c:pt>
                <c:pt idx="294">
                  <c:v>0.26083333333333336</c:v>
                </c:pt>
                <c:pt idx="295">
                  <c:v>0.26166666666666666</c:v>
                </c:pt>
                <c:pt idx="296">
                  <c:v>0.26250000000000001</c:v>
                </c:pt>
                <c:pt idx="297">
                  <c:v>0.26333333333333336</c:v>
                </c:pt>
                <c:pt idx="298">
                  <c:v>0.26416666666666666</c:v>
                </c:pt>
                <c:pt idx="299">
                  <c:v>0.26500000000000001</c:v>
                </c:pt>
                <c:pt idx="300">
                  <c:v>0.26583333333333337</c:v>
                </c:pt>
                <c:pt idx="301">
                  <c:v>0.26666666666666666</c:v>
                </c:pt>
                <c:pt idx="302">
                  <c:v>0.26750000000000002</c:v>
                </c:pt>
                <c:pt idx="303">
                  <c:v>0.26833333333333337</c:v>
                </c:pt>
                <c:pt idx="304">
                  <c:v>0.26916666666666667</c:v>
                </c:pt>
                <c:pt idx="305">
                  <c:v>0.27</c:v>
                </c:pt>
                <c:pt idx="306">
                  <c:v>0.27083333333333337</c:v>
                </c:pt>
                <c:pt idx="307">
                  <c:v>0.27166666666666667</c:v>
                </c:pt>
                <c:pt idx="308">
                  <c:v>0.27250000000000002</c:v>
                </c:pt>
                <c:pt idx="309">
                  <c:v>0.27333333333333337</c:v>
                </c:pt>
                <c:pt idx="310">
                  <c:v>0.27416666666666667</c:v>
                </c:pt>
                <c:pt idx="311">
                  <c:v>0.27500000000000002</c:v>
                </c:pt>
                <c:pt idx="312">
                  <c:v>0.27583333333333337</c:v>
                </c:pt>
                <c:pt idx="313">
                  <c:v>0.27666666666666667</c:v>
                </c:pt>
                <c:pt idx="314">
                  <c:v>0.27750000000000002</c:v>
                </c:pt>
                <c:pt idx="315">
                  <c:v>0.27833333333333338</c:v>
                </c:pt>
                <c:pt idx="316">
                  <c:v>0.27916666666666667</c:v>
                </c:pt>
                <c:pt idx="317">
                  <c:v>0.28000000000000003</c:v>
                </c:pt>
                <c:pt idx="318">
                  <c:v>0.28083333333333332</c:v>
                </c:pt>
                <c:pt idx="319">
                  <c:v>0.28166666666666668</c:v>
                </c:pt>
                <c:pt idx="320">
                  <c:v>0.28250000000000003</c:v>
                </c:pt>
                <c:pt idx="321">
                  <c:v>0.28333333333333333</c:v>
                </c:pt>
                <c:pt idx="322">
                  <c:v>0.28416666666666668</c:v>
                </c:pt>
                <c:pt idx="323">
                  <c:v>0.28500000000000003</c:v>
                </c:pt>
                <c:pt idx="324">
                  <c:v>0.28583333333333333</c:v>
                </c:pt>
                <c:pt idx="325">
                  <c:v>0.28666666666666668</c:v>
                </c:pt>
                <c:pt idx="326">
                  <c:v>0.28750000000000003</c:v>
                </c:pt>
                <c:pt idx="327">
                  <c:v>0.28833333333333333</c:v>
                </c:pt>
                <c:pt idx="328">
                  <c:v>0.28916666666666668</c:v>
                </c:pt>
                <c:pt idx="329">
                  <c:v>0.29000000000000004</c:v>
                </c:pt>
                <c:pt idx="330">
                  <c:v>0.29083333333333333</c:v>
                </c:pt>
                <c:pt idx="331">
                  <c:v>0.29166666666666669</c:v>
                </c:pt>
                <c:pt idx="332">
                  <c:v>0.29250000000000004</c:v>
                </c:pt>
                <c:pt idx="333">
                  <c:v>0.29333333333333333</c:v>
                </c:pt>
                <c:pt idx="334">
                  <c:v>0.29416666666666669</c:v>
                </c:pt>
                <c:pt idx="335">
                  <c:v>0.29500000000000004</c:v>
                </c:pt>
                <c:pt idx="336">
                  <c:v>0.29583333333333334</c:v>
                </c:pt>
                <c:pt idx="337">
                  <c:v>0.29666666666666669</c:v>
                </c:pt>
                <c:pt idx="338">
                  <c:v>0.29750000000000004</c:v>
                </c:pt>
                <c:pt idx="339">
                  <c:v>0.29833333333333334</c:v>
                </c:pt>
                <c:pt idx="340">
                  <c:v>0.29916666666666669</c:v>
                </c:pt>
                <c:pt idx="341">
                  <c:v>0.30000000000000004</c:v>
                </c:pt>
                <c:pt idx="342">
                  <c:v>0.30083333333333334</c:v>
                </c:pt>
                <c:pt idx="343">
                  <c:v>0.30166666666666669</c:v>
                </c:pt>
                <c:pt idx="344">
                  <c:v>0.30250000000000005</c:v>
                </c:pt>
                <c:pt idx="345">
                  <c:v>0.30333333333333334</c:v>
                </c:pt>
                <c:pt idx="346">
                  <c:v>0.3041666666666667</c:v>
                </c:pt>
                <c:pt idx="347">
                  <c:v>0.30499999999999999</c:v>
                </c:pt>
                <c:pt idx="348">
                  <c:v>0.30583333333333335</c:v>
                </c:pt>
                <c:pt idx="349">
                  <c:v>0.3066666666666667</c:v>
                </c:pt>
                <c:pt idx="350">
                  <c:v>0.3075</c:v>
                </c:pt>
                <c:pt idx="351">
                  <c:v>0.30833333333333335</c:v>
                </c:pt>
                <c:pt idx="352">
                  <c:v>0.3091666666666667</c:v>
                </c:pt>
                <c:pt idx="353">
                  <c:v>0.31</c:v>
                </c:pt>
                <c:pt idx="354">
                  <c:v>0.31083333333333335</c:v>
                </c:pt>
                <c:pt idx="355">
                  <c:v>0.3116666666666667</c:v>
                </c:pt>
                <c:pt idx="356">
                  <c:v>0.3125</c:v>
                </c:pt>
                <c:pt idx="357">
                  <c:v>0.31333333333333335</c:v>
                </c:pt>
                <c:pt idx="358">
                  <c:v>0.31416666666666671</c:v>
                </c:pt>
                <c:pt idx="359">
                  <c:v>0.315</c:v>
                </c:pt>
                <c:pt idx="360">
                  <c:v>0.31583333333333335</c:v>
                </c:pt>
                <c:pt idx="361">
                  <c:v>0.31666666666666671</c:v>
                </c:pt>
                <c:pt idx="362">
                  <c:v>0.3175</c:v>
                </c:pt>
                <c:pt idx="363">
                  <c:v>0.31833333333333336</c:v>
                </c:pt>
                <c:pt idx="364">
                  <c:v>0.31916666666666671</c:v>
                </c:pt>
                <c:pt idx="365">
                  <c:v>0.32</c:v>
                </c:pt>
                <c:pt idx="366">
                  <c:v>0.32083333333333336</c:v>
                </c:pt>
                <c:pt idx="367">
                  <c:v>0.32166666666666671</c:v>
                </c:pt>
                <c:pt idx="368">
                  <c:v>0.32250000000000001</c:v>
                </c:pt>
                <c:pt idx="369">
                  <c:v>0.32333333333333336</c:v>
                </c:pt>
                <c:pt idx="370">
                  <c:v>0.32416666666666671</c:v>
                </c:pt>
                <c:pt idx="371">
                  <c:v>0.32500000000000001</c:v>
                </c:pt>
                <c:pt idx="372">
                  <c:v>0.32583333333333336</c:v>
                </c:pt>
                <c:pt idx="373">
                  <c:v>0.32666666666666666</c:v>
                </c:pt>
                <c:pt idx="374">
                  <c:v>0.32750000000000001</c:v>
                </c:pt>
                <c:pt idx="375">
                  <c:v>0.32833333333333337</c:v>
                </c:pt>
                <c:pt idx="376">
                  <c:v>0.32916666666666666</c:v>
                </c:pt>
                <c:pt idx="377">
                  <c:v>0.33</c:v>
                </c:pt>
                <c:pt idx="378">
                  <c:v>0.33083333333333337</c:v>
                </c:pt>
                <c:pt idx="379">
                  <c:v>0.33166666666666667</c:v>
                </c:pt>
                <c:pt idx="380">
                  <c:v>0.33250000000000002</c:v>
                </c:pt>
                <c:pt idx="381">
                  <c:v>0.33333333333333337</c:v>
                </c:pt>
                <c:pt idx="382">
                  <c:v>0.33416666666666667</c:v>
                </c:pt>
                <c:pt idx="383">
                  <c:v>0.33500000000000002</c:v>
                </c:pt>
                <c:pt idx="384">
                  <c:v>0.33583333333333337</c:v>
                </c:pt>
                <c:pt idx="385">
                  <c:v>0.33666666666666667</c:v>
                </c:pt>
                <c:pt idx="386">
                  <c:v>0.33750000000000002</c:v>
                </c:pt>
                <c:pt idx="387">
                  <c:v>0.33833333333333337</c:v>
                </c:pt>
                <c:pt idx="388">
                  <c:v>0.33916666666666667</c:v>
                </c:pt>
                <c:pt idx="389">
                  <c:v>0.34</c:v>
                </c:pt>
                <c:pt idx="390">
                  <c:v>0.34083333333333338</c:v>
                </c:pt>
                <c:pt idx="391">
                  <c:v>0.34166666666666667</c:v>
                </c:pt>
                <c:pt idx="392">
                  <c:v>0.34250000000000003</c:v>
                </c:pt>
                <c:pt idx="393">
                  <c:v>0.34333333333333338</c:v>
                </c:pt>
                <c:pt idx="394">
                  <c:v>0.34416666666666668</c:v>
                </c:pt>
                <c:pt idx="395">
                  <c:v>0.34500000000000003</c:v>
                </c:pt>
                <c:pt idx="396">
                  <c:v>0.34583333333333338</c:v>
                </c:pt>
                <c:pt idx="397">
                  <c:v>0.34666666666666668</c:v>
                </c:pt>
                <c:pt idx="398">
                  <c:v>0.34750000000000003</c:v>
                </c:pt>
                <c:pt idx="399">
                  <c:v>0.34833333333333333</c:v>
                </c:pt>
                <c:pt idx="400">
                  <c:v>0.34916666666666668</c:v>
                </c:pt>
                <c:pt idx="401">
                  <c:v>0.35000000000000003</c:v>
                </c:pt>
                <c:pt idx="402">
                  <c:v>0.35083333333333333</c:v>
                </c:pt>
                <c:pt idx="403">
                  <c:v>0.35166666666666668</c:v>
                </c:pt>
                <c:pt idx="404">
                  <c:v>0.35250000000000004</c:v>
                </c:pt>
                <c:pt idx="405">
                  <c:v>0.35333333333333333</c:v>
                </c:pt>
                <c:pt idx="406">
                  <c:v>0.35416666666666669</c:v>
                </c:pt>
                <c:pt idx="407">
                  <c:v>0.35500000000000004</c:v>
                </c:pt>
                <c:pt idx="408">
                  <c:v>0.35583333333333333</c:v>
                </c:pt>
                <c:pt idx="409">
                  <c:v>0.35666666666666669</c:v>
                </c:pt>
                <c:pt idx="410">
                  <c:v>0.35750000000000004</c:v>
                </c:pt>
                <c:pt idx="411">
                  <c:v>0.35833333333333334</c:v>
                </c:pt>
                <c:pt idx="412">
                  <c:v>0.35916666666666669</c:v>
                </c:pt>
                <c:pt idx="413">
                  <c:v>0.36000000000000004</c:v>
                </c:pt>
                <c:pt idx="414">
                  <c:v>0.36083333333333334</c:v>
                </c:pt>
                <c:pt idx="415">
                  <c:v>0.36166666666666669</c:v>
                </c:pt>
                <c:pt idx="416">
                  <c:v>0.36250000000000004</c:v>
                </c:pt>
                <c:pt idx="417">
                  <c:v>0.36333333333333334</c:v>
                </c:pt>
                <c:pt idx="418">
                  <c:v>0.36416666666666669</c:v>
                </c:pt>
                <c:pt idx="419">
                  <c:v>0.36500000000000005</c:v>
                </c:pt>
                <c:pt idx="420">
                  <c:v>0.36583333333333334</c:v>
                </c:pt>
                <c:pt idx="421">
                  <c:v>0.3666666666666667</c:v>
                </c:pt>
                <c:pt idx="422">
                  <c:v>0.36750000000000005</c:v>
                </c:pt>
                <c:pt idx="423">
                  <c:v>0.36833333333333335</c:v>
                </c:pt>
                <c:pt idx="424">
                  <c:v>0.3691666666666667</c:v>
                </c:pt>
                <c:pt idx="425">
                  <c:v>0.37000000000000005</c:v>
                </c:pt>
                <c:pt idx="426">
                  <c:v>0.37083333333333335</c:v>
                </c:pt>
                <c:pt idx="427">
                  <c:v>0.3716666666666667</c:v>
                </c:pt>
                <c:pt idx="428">
                  <c:v>0.3725</c:v>
                </c:pt>
                <c:pt idx="429">
                  <c:v>0.37333333333333335</c:v>
                </c:pt>
                <c:pt idx="430">
                  <c:v>0.3741666666666667</c:v>
                </c:pt>
                <c:pt idx="431">
                  <c:v>0.375</c:v>
                </c:pt>
                <c:pt idx="432">
                  <c:v>0.37583333333333335</c:v>
                </c:pt>
                <c:pt idx="433">
                  <c:v>0.37666666666666671</c:v>
                </c:pt>
                <c:pt idx="434">
                  <c:v>0.3775</c:v>
                </c:pt>
                <c:pt idx="435">
                  <c:v>0.37833333333333335</c:v>
                </c:pt>
                <c:pt idx="436">
                  <c:v>0.37916666666666671</c:v>
                </c:pt>
                <c:pt idx="437">
                  <c:v>0.38</c:v>
                </c:pt>
                <c:pt idx="438">
                  <c:v>0.38083333333333336</c:v>
                </c:pt>
                <c:pt idx="439">
                  <c:v>0.38166666666666671</c:v>
                </c:pt>
                <c:pt idx="440">
                  <c:v>0.38250000000000001</c:v>
                </c:pt>
                <c:pt idx="441">
                  <c:v>0.38333333333333336</c:v>
                </c:pt>
                <c:pt idx="442">
                  <c:v>0.38416666666666671</c:v>
                </c:pt>
                <c:pt idx="443">
                  <c:v>0.38500000000000001</c:v>
                </c:pt>
              </c:numCache>
            </c:numRef>
          </c:xVal>
          <c:yVal>
            <c:numRef>
              <c:f>DFT!$B$30:$B$473</c:f>
              <c:numCache>
                <c:formatCode>General</c:formatCode>
                <c:ptCount val="444"/>
                <c:pt idx="0">
                  <c:v>10.481163768335255</c:v>
                </c:pt>
                <c:pt idx="1">
                  <c:v>53.55227395215443</c:v>
                </c:pt>
                <c:pt idx="2">
                  <c:v>91.381314440904333</c:v>
                </c:pt>
                <c:pt idx="3">
                  <c:v>120.26531518112236</c:v>
                </c:pt>
                <c:pt idx="4">
                  <c:v>137.37690893368955</c:v>
                </c:pt>
                <c:pt idx="5">
                  <c:v>141.04109367862026</c:v>
                </c:pt>
                <c:pt idx="6">
                  <c:v>130.89919348320444</c:v>
                </c:pt>
                <c:pt idx="7">
                  <c:v>107.94396820134311</c:v>
                </c:pt>
                <c:pt idx="8">
                  <c:v>74.422435222083976</c:v>
                </c:pt>
                <c:pt idx="9">
                  <c:v>33.615915751690736</c:v>
                </c:pt>
                <c:pt idx="10">
                  <c:v>-10.481163768335238</c:v>
                </c:pt>
                <c:pt idx="11">
                  <c:v>-53.552273952154529</c:v>
                </c:pt>
                <c:pt idx="12">
                  <c:v>-91.381314440904319</c:v>
                </c:pt>
                <c:pt idx="13">
                  <c:v>-120.26531518112243</c:v>
                </c:pt>
                <c:pt idx="14">
                  <c:v>-137.37690893368955</c:v>
                </c:pt>
                <c:pt idx="15">
                  <c:v>-141.04109367862026</c:v>
                </c:pt>
                <c:pt idx="16">
                  <c:v>-130.89919348320444</c:v>
                </c:pt>
                <c:pt idx="17">
                  <c:v>-107.94396820134311</c:v>
                </c:pt>
                <c:pt idx="18">
                  <c:v>-74.422435222084005</c:v>
                </c:pt>
                <c:pt idx="19">
                  <c:v>-33.61591575169075</c:v>
                </c:pt>
                <c:pt idx="20">
                  <c:v>10.48116376833522</c:v>
                </c:pt>
                <c:pt idx="21">
                  <c:v>53.55227395215428</c:v>
                </c:pt>
                <c:pt idx="22">
                  <c:v>91.381314440904305</c:v>
                </c:pt>
                <c:pt idx="23">
                  <c:v>120.26531518112242</c:v>
                </c:pt>
                <c:pt idx="24">
                  <c:v>137.37690893368955</c:v>
                </c:pt>
                <c:pt idx="25">
                  <c:v>141.04109367862029</c:v>
                </c:pt>
                <c:pt idx="26">
                  <c:v>130.89919348320436</c:v>
                </c:pt>
                <c:pt idx="27">
                  <c:v>107.94396820134313</c:v>
                </c:pt>
                <c:pt idx="28">
                  <c:v>74.422435222084019</c:v>
                </c:pt>
                <c:pt idx="29">
                  <c:v>33.615915751690771</c:v>
                </c:pt>
                <c:pt idx="30">
                  <c:v>-10.481163768334953</c:v>
                </c:pt>
                <c:pt idx="31">
                  <c:v>-53.552273952154728</c:v>
                </c:pt>
                <c:pt idx="32">
                  <c:v>-91.381314440904291</c:v>
                </c:pt>
                <c:pt idx="33">
                  <c:v>-120.26531518112253</c:v>
                </c:pt>
                <c:pt idx="34">
                  <c:v>-137.37690893368955</c:v>
                </c:pt>
                <c:pt idx="35">
                  <c:v>-141.04109367862026</c:v>
                </c:pt>
                <c:pt idx="36">
                  <c:v>-130.89919348320427</c:v>
                </c:pt>
                <c:pt idx="37">
                  <c:v>-107.94396820134297</c:v>
                </c:pt>
                <c:pt idx="38">
                  <c:v>-74.422435222084033</c:v>
                </c:pt>
                <c:pt idx="39">
                  <c:v>-33.615915751690544</c:v>
                </c:pt>
                <c:pt idx="40">
                  <c:v>10.481163768335687</c:v>
                </c:pt>
                <c:pt idx="41">
                  <c:v>53.552273952154714</c:v>
                </c:pt>
                <c:pt idx="42">
                  <c:v>91.381314440904291</c:v>
                </c:pt>
                <c:pt idx="43">
                  <c:v>120.26531518112252</c:v>
                </c:pt>
                <c:pt idx="44">
                  <c:v>137.37690893368966</c:v>
                </c:pt>
                <c:pt idx="45">
                  <c:v>141.04109367862026</c:v>
                </c:pt>
                <c:pt idx="46">
                  <c:v>130.89919348320447</c:v>
                </c:pt>
                <c:pt idx="47">
                  <c:v>107.94396820134298</c:v>
                </c:pt>
                <c:pt idx="48">
                  <c:v>74.422435222083607</c:v>
                </c:pt>
                <c:pt idx="49">
                  <c:v>33.615915751690558</c:v>
                </c:pt>
                <c:pt idx="50">
                  <c:v>-10.48116376833517</c:v>
                </c:pt>
                <c:pt idx="51">
                  <c:v>-53.552273952154692</c:v>
                </c:pt>
                <c:pt idx="52">
                  <c:v>-91.381314440904646</c:v>
                </c:pt>
                <c:pt idx="53">
                  <c:v>-120.26531518112252</c:v>
                </c:pt>
                <c:pt idx="54">
                  <c:v>-137.37690893368955</c:v>
                </c:pt>
                <c:pt idx="55">
                  <c:v>-141.04109367862026</c:v>
                </c:pt>
                <c:pt idx="56">
                  <c:v>-130.89919348320447</c:v>
                </c:pt>
                <c:pt idx="57">
                  <c:v>-107.94396820134301</c:v>
                </c:pt>
                <c:pt idx="58">
                  <c:v>-74.422435222083621</c:v>
                </c:pt>
                <c:pt idx="59">
                  <c:v>-33.615915751690579</c:v>
                </c:pt>
                <c:pt idx="60">
                  <c:v>10.481163768335652</c:v>
                </c:pt>
                <c:pt idx="61">
                  <c:v>53.552273952154216</c:v>
                </c:pt>
                <c:pt idx="62">
                  <c:v>91.381314440904262</c:v>
                </c:pt>
                <c:pt idx="63">
                  <c:v>120.2653151811225</c:v>
                </c:pt>
                <c:pt idx="64">
                  <c:v>137.37690893368952</c:v>
                </c:pt>
                <c:pt idx="65">
                  <c:v>141.04109367862026</c:v>
                </c:pt>
                <c:pt idx="66">
                  <c:v>130.89919348320447</c:v>
                </c:pt>
                <c:pt idx="67">
                  <c:v>107.94396820134303</c:v>
                </c:pt>
                <c:pt idx="68">
                  <c:v>74.422435222083635</c:v>
                </c:pt>
                <c:pt idx="69">
                  <c:v>33.615915751691077</c:v>
                </c:pt>
                <c:pt idx="70">
                  <c:v>-170.79752314749274</c:v>
                </c:pt>
                <c:pt idx="71">
                  <c:v>-201.32234207319101</c:v>
                </c:pt>
                <c:pt idx="72">
                  <c:v>-212.14032746152756</c:v>
                </c:pt>
                <c:pt idx="73">
                  <c:v>-202.19253952935625</c:v>
                </c:pt>
                <c:pt idx="74">
                  <c:v>-172.45273706979202</c:v>
                </c:pt>
                <c:pt idx="75">
                  <c:v>-125.83205915696431</c:v>
                </c:pt>
                <c:pt idx="76">
                  <c:v>-66.894062570344147</c:v>
                </c:pt>
                <c:pt idx="77">
                  <c:v>-1.4080090609994442</c:v>
                </c:pt>
                <c:pt idx="78">
                  <c:v>64.215870185412584</c:v>
                </c:pt>
                <c:pt idx="79">
                  <c:v>123.55385263979876</c:v>
                </c:pt>
                <c:pt idx="80">
                  <c:v>170.79752314749229</c:v>
                </c:pt>
                <c:pt idx="81">
                  <c:v>201.32234207319078</c:v>
                </c:pt>
                <c:pt idx="82">
                  <c:v>212.14032746152756</c:v>
                </c:pt>
                <c:pt idx="83">
                  <c:v>202.19253952935648</c:v>
                </c:pt>
                <c:pt idx="84">
                  <c:v>172.45273706979114</c:v>
                </c:pt>
                <c:pt idx="85">
                  <c:v>125.83205915696432</c:v>
                </c:pt>
                <c:pt idx="86">
                  <c:v>66.894062570344175</c:v>
                </c:pt>
                <c:pt idx="87">
                  <c:v>1.4080090610002238</c:v>
                </c:pt>
                <c:pt idx="88">
                  <c:v>-64.215870185411845</c:v>
                </c:pt>
                <c:pt idx="89">
                  <c:v>-123.55385263979937</c:v>
                </c:pt>
                <c:pt idx="90">
                  <c:v>-170.79752314749183</c:v>
                </c:pt>
                <c:pt idx="91">
                  <c:v>-201.32234207319098</c:v>
                </c:pt>
                <c:pt idx="92">
                  <c:v>-212.14032746152756</c:v>
                </c:pt>
                <c:pt idx="93">
                  <c:v>-202.19253952935625</c:v>
                </c:pt>
                <c:pt idx="94">
                  <c:v>-172.4527370697916</c:v>
                </c:pt>
                <c:pt idx="95">
                  <c:v>-125.83205915696496</c:v>
                </c:pt>
                <c:pt idx="96">
                  <c:v>-66.894062570344914</c:v>
                </c:pt>
                <c:pt idx="97">
                  <c:v>-1.4080090609994962</c:v>
                </c:pt>
                <c:pt idx="98">
                  <c:v>64.215870185412527</c:v>
                </c:pt>
                <c:pt idx="99">
                  <c:v>123.55385263979996</c:v>
                </c:pt>
                <c:pt idx="100">
                  <c:v>170.79752314749226</c:v>
                </c:pt>
                <c:pt idx="101">
                  <c:v>201.32234207319075</c:v>
                </c:pt>
                <c:pt idx="102">
                  <c:v>212.14032746152756</c:v>
                </c:pt>
                <c:pt idx="103">
                  <c:v>202.19253952935648</c:v>
                </c:pt>
                <c:pt idx="104">
                  <c:v>172.45273706979208</c:v>
                </c:pt>
                <c:pt idx="105">
                  <c:v>125.83205915696438</c:v>
                </c:pt>
                <c:pt idx="106">
                  <c:v>66.894062570344232</c:v>
                </c:pt>
                <c:pt idx="107">
                  <c:v>1.4080090609987685</c:v>
                </c:pt>
                <c:pt idx="108">
                  <c:v>-64.215870185411788</c:v>
                </c:pt>
                <c:pt idx="109">
                  <c:v>-123.55385263979932</c:v>
                </c:pt>
                <c:pt idx="110">
                  <c:v>-170.79752314749268</c:v>
                </c:pt>
                <c:pt idx="111">
                  <c:v>-201.32234207319053</c:v>
                </c:pt>
                <c:pt idx="112">
                  <c:v>-212.14032746152756</c:v>
                </c:pt>
                <c:pt idx="113">
                  <c:v>-202.19253952935628</c:v>
                </c:pt>
                <c:pt idx="114">
                  <c:v>-172.45273706979165</c:v>
                </c:pt>
                <c:pt idx="115">
                  <c:v>-125.83205915696378</c:v>
                </c:pt>
                <c:pt idx="116">
                  <c:v>-66.894062570344957</c:v>
                </c:pt>
                <c:pt idx="117">
                  <c:v>-1.4080090609995481</c:v>
                </c:pt>
                <c:pt idx="118">
                  <c:v>64.215870185412484</c:v>
                </c:pt>
                <c:pt idx="119">
                  <c:v>123.55385263979869</c:v>
                </c:pt>
                <c:pt idx="120">
                  <c:v>170.79752314749223</c:v>
                </c:pt>
                <c:pt idx="121">
                  <c:v>201.32234207319073</c:v>
                </c:pt>
                <c:pt idx="122">
                  <c:v>212.14032746152756</c:v>
                </c:pt>
                <c:pt idx="123">
                  <c:v>202.19253952935605</c:v>
                </c:pt>
                <c:pt idx="124">
                  <c:v>172.45273706979211</c:v>
                </c:pt>
                <c:pt idx="125">
                  <c:v>125.83205915696442</c:v>
                </c:pt>
                <c:pt idx="126">
                  <c:v>66.894062570345696</c:v>
                </c:pt>
                <c:pt idx="127">
                  <c:v>1.4080090610003277</c:v>
                </c:pt>
                <c:pt idx="128">
                  <c:v>-64.215870185411745</c:v>
                </c:pt>
                <c:pt idx="129">
                  <c:v>-123.55385263979927</c:v>
                </c:pt>
                <c:pt idx="130">
                  <c:v>-170.79752314749265</c:v>
                </c:pt>
                <c:pt idx="131">
                  <c:v>-201.3223420731905</c:v>
                </c:pt>
                <c:pt idx="132">
                  <c:v>-212.14032746152756</c:v>
                </c:pt>
                <c:pt idx="133">
                  <c:v>-202.19253952935631</c:v>
                </c:pt>
                <c:pt idx="134">
                  <c:v>-172.45273706979253</c:v>
                </c:pt>
                <c:pt idx="135">
                  <c:v>-125.83205915696382</c:v>
                </c:pt>
                <c:pt idx="136">
                  <c:v>-66.894062570345014</c:v>
                </c:pt>
                <c:pt idx="137">
                  <c:v>-1.4080090609996003</c:v>
                </c:pt>
                <c:pt idx="138">
                  <c:v>64.215870185411006</c:v>
                </c:pt>
                <c:pt idx="139">
                  <c:v>123.55385263979987</c:v>
                </c:pt>
                <c:pt idx="140">
                  <c:v>170.79752314749217</c:v>
                </c:pt>
                <c:pt idx="141">
                  <c:v>201.32234207319024</c:v>
                </c:pt>
                <c:pt idx="142">
                  <c:v>212.14032746152756</c:v>
                </c:pt>
                <c:pt idx="143">
                  <c:v>202.19253952935654</c:v>
                </c:pt>
                <c:pt idx="144">
                  <c:v>172.45273706979211</c:v>
                </c:pt>
                <c:pt idx="145">
                  <c:v>125.83205915696445</c:v>
                </c:pt>
                <c:pt idx="146">
                  <c:v>66.894062570344317</c:v>
                </c:pt>
                <c:pt idx="147">
                  <c:v>1.4080090610003799</c:v>
                </c:pt>
                <c:pt idx="148">
                  <c:v>-64.215870185413138</c:v>
                </c:pt>
                <c:pt idx="149">
                  <c:v>-123.55385263979923</c:v>
                </c:pt>
                <c:pt idx="150">
                  <c:v>-170.79752314749175</c:v>
                </c:pt>
                <c:pt idx="151">
                  <c:v>-201.32234207319047</c:v>
                </c:pt>
                <c:pt idx="152">
                  <c:v>-212.14032746152756</c:v>
                </c:pt>
                <c:pt idx="153">
                  <c:v>-202.19253952935631</c:v>
                </c:pt>
                <c:pt idx="154">
                  <c:v>-172.45273706979256</c:v>
                </c:pt>
                <c:pt idx="155">
                  <c:v>-125.83205915696388</c:v>
                </c:pt>
                <c:pt idx="156">
                  <c:v>-66.894062570345071</c:v>
                </c:pt>
                <c:pt idx="157">
                  <c:v>-1.4080090610011595</c:v>
                </c:pt>
                <c:pt idx="158">
                  <c:v>64.215870185412385</c:v>
                </c:pt>
                <c:pt idx="159">
                  <c:v>123.55385263979981</c:v>
                </c:pt>
                <c:pt idx="160">
                  <c:v>170.79752314749214</c:v>
                </c:pt>
                <c:pt idx="161">
                  <c:v>201.32234207319118</c:v>
                </c:pt>
                <c:pt idx="162">
                  <c:v>212.14032746152756</c:v>
                </c:pt>
                <c:pt idx="163">
                  <c:v>202.19253952935654</c:v>
                </c:pt>
                <c:pt idx="164">
                  <c:v>172.45273706979305</c:v>
                </c:pt>
                <c:pt idx="165">
                  <c:v>125.83205915696449</c:v>
                </c:pt>
                <c:pt idx="166">
                  <c:v>66.894062570344374</c:v>
                </c:pt>
                <c:pt idx="167">
                  <c:v>1.4080090610004319</c:v>
                </c:pt>
                <c:pt idx="168">
                  <c:v>-64.215870185413081</c:v>
                </c:pt>
                <c:pt idx="169">
                  <c:v>-123.55385263979917</c:v>
                </c:pt>
                <c:pt idx="170">
                  <c:v>-170.79752314749169</c:v>
                </c:pt>
                <c:pt idx="171">
                  <c:v>-201.32234207319092</c:v>
                </c:pt>
                <c:pt idx="172">
                  <c:v>-212.14032746152756</c:v>
                </c:pt>
                <c:pt idx="173">
                  <c:v>-202.19253952935634</c:v>
                </c:pt>
                <c:pt idx="174">
                  <c:v>-172.45273706979171</c:v>
                </c:pt>
                <c:pt idx="175">
                  <c:v>-125.83205915696389</c:v>
                </c:pt>
                <c:pt idx="176">
                  <c:v>-66.894062570345113</c:v>
                </c:pt>
                <c:pt idx="177">
                  <c:v>-1.4080090610012117</c:v>
                </c:pt>
                <c:pt idx="178">
                  <c:v>64.215870185412328</c:v>
                </c:pt>
                <c:pt idx="179">
                  <c:v>123.55385263979855</c:v>
                </c:pt>
                <c:pt idx="180">
                  <c:v>170.79752314749214</c:v>
                </c:pt>
                <c:pt idx="181">
                  <c:v>201.32234207319067</c:v>
                </c:pt>
                <c:pt idx="182">
                  <c:v>212.14032746152756</c:v>
                </c:pt>
                <c:pt idx="183">
                  <c:v>202.19253952935702</c:v>
                </c:pt>
                <c:pt idx="184">
                  <c:v>172.45273706979128</c:v>
                </c:pt>
                <c:pt idx="185">
                  <c:v>125.83205915696576</c:v>
                </c:pt>
                <c:pt idx="186">
                  <c:v>66.894062570345852</c:v>
                </c:pt>
                <c:pt idx="187">
                  <c:v>1.4080090609974691</c:v>
                </c:pt>
                <c:pt idx="188">
                  <c:v>-64.215870185411589</c:v>
                </c:pt>
                <c:pt idx="189">
                  <c:v>-123.55385263979916</c:v>
                </c:pt>
                <c:pt idx="190">
                  <c:v>-170.79752314749078</c:v>
                </c:pt>
                <c:pt idx="191">
                  <c:v>-201.32234207319092</c:v>
                </c:pt>
                <c:pt idx="192">
                  <c:v>-212.14032746152753</c:v>
                </c:pt>
                <c:pt idx="193">
                  <c:v>-202.19253952935679</c:v>
                </c:pt>
                <c:pt idx="194">
                  <c:v>-172.45273706979086</c:v>
                </c:pt>
                <c:pt idx="195">
                  <c:v>-125.83205915696517</c:v>
                </c:pt>
                <c:pt idx="196">
                  <c:v>-66.894062570345156</c:v>
                </c:pt>
                <c:pt idx="197">
                  <c:v>-1.4080090609997562</c:v>
                </c:pt>
                <c:pt idx="198">
                  <c:v>64.215870185412285</c:v>
                </c:pt>
                <c:pt idx="199">
                  <c:v>123.5538526397973</c:v>
                </c:pt>
                <c:pt idx="200">
                  <c:v>170.79752314749297</c:v>
                </c:pt>
                <c:pt idx="201">
                  <c:v>201.32234207319115</c:v>
                </c:pt>
                <c:pt idx="202">
                  <c:v>212.14032746152753</c:v>
                </c:pt>
                <c:pt idx="203">
                  <c:v>202.19253952935566</c:v>
                </c:pt>
                <c:pt idx="204">
                  <c:v>172.45273706979222</c:v>
                </c:pt>
                <c:pt idx="205">
                  <c:v>125.83205915696458</c:v>
                </c:pt>
                <c:pt idx="206">
                  <c:v>66.894062570347344</c:v>
                </c:pt>
                <c:pt idx="207">
                  <c:v>1.4080090609990286</c:v>
                </c:pt>
                <c:pt idx="208">
                  <c:v>-64.215870185412982</c:v>
                </c:pt>
                <c:pt idx="209">
                  <c:v>-123.55385263979788</c:v>
                </c:pt>
                <c:pt idx="210">
                  <c:v>-170.79752314749342</c:v>
                </c:pt>
                <c:pt idx="211">
                  <c:v>-201.32234207319041</c:v>
                </c:pt>
                <c:pt idx="212">
                  <c:v>-212.14032746152756</c:v>
                </c:pt>
                <c:pt idx="213">
                  <c:v>-202.19253952935634</c:v>
                </c:pt>
                <c:pt idx="214">
                  <c:v>-172.45273706979179</c:v>
                </c:pt>
                <c:pt idx="215">
                  <c:v>-125.83205915696399</c:v>
                </c:pt>
                <c:pt idx="216">
                  <c:v>-66.894062570343777</c:v>
                </c:pt>
                <c:pt idx="217">
                  <c:v>-1.4080090609983007</c:v>
                </c:pt>
                <c:pt idx="218">
                  <c:v>64.215870185410807</c:v>
                </c:pt>
                <c:pt idx="219">
                  <c:v>123.55385263979848</c:v>
                </c:pt>
                <c:pt idx="220">
                  <c:v>170.79752314749206</c:v>
                </c:pt>
                <c:pt idx="221">
                  <c:v>201.32234207319067</c:v>
                </c:pt>
                <c:pt idx="222">
                  <c:v>212.14032746152756</c:v>
                </c:pt>
                <c:pt idx="223">
                  <c:v>202.19253952935614</c:v>
                </c:pt>
                <c:pt idx="224">
                  <c:v>172.45273706979137</c:v>
                </c:pt>
                <c:pt idx="225">
                  <c:v>125.83205915696583</c:v>
                </c:pt>
                <c:pt idx="226">
                  <c:v>66.894062570343081</c:v>
                </c:pt>
                <c:pt idx="227">
                  <c:v>1.4080090610005878</c:v>
                </c:pt>
                <c:pt idx="228">
                  <c:v>-64.215870185411504</c:v>
                </c:pt>
                <c:pt idx="229">
                  <c:v>-123.55385263979906</c:v>
                </c:pt>
                <c:pt idx="230">
                  <c:v>-170.79752314749248</c:v>
                </c:pt>
                <c:pt idx="231">
                  <c:v>-201.3223420731909</c:v>
                </c:pt>
                <c:pt idx="232">
                  <c:v>-212.14032746152753</c:v>
                </c:pt>
                <c:pt idx="233">
                  <c:v>-202.19253952935591</c:v>
                </c:pt>
                <c:pt idx="234">
                  <c:v>-172.4527370697927</c:v>
                </c:pt>
                <c:pt idx="235">
                  <c:v>-125.83205915696524</c:v>
                </c:pt>
                <c:pt idx="236">
                  <c:v>-66.89406257034527</c:v>
                </c:pt>
                <c:pt idx="237">
                  <c:v>-1.4080090609998601</c:v>
                </c:pt>
                <c:pt idx="238">
                  <c:v>64.215870185412186</c:v>
                </c:pt>
                <c:pt idx="239">
                  <c:v>123.55385263979966</c:v>
                </c:pt>
                <c:pt idx="240">
                  <c:v>170.79752314749294</c:v>
                </c:pt>
                <c:pt idx="241">
                  <c:v>201.32234207319016</c:v>
                </c:pt>
                <c:pt idx="242">
                  <c:v>212.14032746152756</c:v>
                </c:pt>
                <c:pt idx="243">
                  <c:v>202.19253952935662</c:v>
                </c:pt>
                <c:pt idx="244">
                  <c:v>172.45273706979228</c:v>
                </c:pt>
                <c:pt idx="245">
                  <c:v>125.83205915696465</c:v>
                </c:pt>
                <c:pt idx="246">
                  <c:v>66.894062570344573</c:v>
                </c:pt>
                <c:pt idx="247">
                  <c:v>1.4080090609991325</c:v>
                </c:pt>
                <c:pt idx="248">
                  <c:v>-64.215870185410012</c:v>
                </c:pt>
                <c:pt idx="249">
                  <c:v>-123.55385263980024</c:v>
                </c:pt>
                <c:pt idx="250">
                  <c:v>-170.79752314749157</c:v>
                </c:pt>
                <c:pt idx="251">
                  <c:v>-201.32234207319038</c:v>
                </c:pt>
                <c:pt idx="252">
                  <c:v>-212.14032746152756</c:v>
                </c:pt>
                <c:pt idx="253">
                  <c:v>-202.1925395293564</c:v>
                </c:pt>
                <c:pt idx="254">
                  <c:v>-172.45273706979185</c:v>
                </c:pt>
                <c:pt idx="255">
                  <c:v>-125.83205915696406</c:v>
                </c:pt>
                <c:pt idx="256">
                  <c:v>-66.894062570343877</c:v>
                </c:pt>
                <c:pt idx="257">
                  <c:v>-1.4080090610014195</c:v>
                </c:pt>
                <c:pt idx="258">
                  <c:v>64.215870185410694</c:v>
                </c:pt>
                <c:pt idx="259">
                  <c:v>123.55385263979838</c:v>
                </c:pt>
                <c:pt idx="260">
                  <c:v>170.797523147492</c:v>
                </c:pt>
                <c:pt idx="261">
                  <c:v>201.32234207319061</c:v>
                </c:pt>
                <c:pt idx="262">
                  <c:v>212.14032746152756</c:v>
                </c:pt>
                <c:pt idx="263">
                  <c:v>202.19253952935617</c:v>
                </c:pt>
                <c:pt idx="264">
                  <c:v>172.45273706979319</c:v>
                </c:pt>
                <c:pt idx="265">
                  <c:v>125.8320591569635</c:v>
                </c:pt>
                <c:pt idx="266">
                  <c:v>66.894062570346051</c:v>
                </c:pt>
                <c:pt idx="267">
                  <c:v>1.4080090610006919</c:v>
                </c:pt>
                <c:pt idx="268">
                  <c:v>-64.21587018541139</c:v>
                </c:pt>
                <c:pt idx="269">
                  <c:v>-123.55385263979898</c:v>
                </c:pt>
                <c:pt idx="270">
                  <c:v>-170.79752314749243</c:v>
                </c:pt>
                <c:pt idx="271">
                  <c:v>-201.3223420731899</c:v>
                </c:pt>
                <c:pt idx="272">
                  <c:v>-212.14032746152756</c:v>
                </c:pt>
                <c:pt idx="273">
                  <c:v>-202.19253952935688</c:v>
                </c:pt>
                <c:pt idx="274">
                  <c:v>-172.45273706979276</c:v>
                </c:pt>
                <c:pt idx="275">
                  <c:v>-125.83205915696533</c:v>
                </c:pt>
                <c:pt idx="276">
                  <c:v>-66.894062570345355</c:v>
                </c:pt>
                <c:pt idx="277">
                  <c:v>-1.408009060999964</c:v>
                </c:pt>
                <c:pt idx="278">
                  <c:v>64.215870185412086</c:v>
                </c:pt>
                <c:pt idx="279">
                  <c:v>123.55385263979959</c:v>
                </c:pt>
                <c:pt idx="280">
                  <c:v>170.79752314749106</c:v>
                </c:pt>
                <c:pt idx="281">
                  <c:v>201.32234207319013</c:v>
                </c:pt>
                <c:pt idx="282">
                  <c:v>212.14032746152753</c:v>
                </c:pt>
                <c:pt idx="283">
                  <c:v>202.19253952935574</c:v>
                </c:pt>
                <c:pt idx="284">
                  <c:v>172.45273706979233</c:v>
                </c:pt>
                <c:pt idx="285">
                  <c:v>125.83205915696475</c:v>
                </c:pt>
                <c:pt idx="286">
                  <c:v>66.894062570344659</c:v>
                </c:pt>
                <c:pt idx="287">
                  <c:v>1.4080090610022511</c:v>
                </c:pt>
                <c:pt idx="288">
                  <c:v>-64.215870185412783</c:v>
                </c:pt>
                <c:pt idx="289">
                  <c:v>-123.55385263980017</c:v>
                </c:pt>
                <c:pt idx="290">
                  <c:v>-170.79752314749149</c:v>
                </c:pt>
                <c:pt idx="291">
                  <c:v>-201.32234207319036</c:v>
                </c:pt>
                <c:pt idx="292">
                  <c:v>-212.14032746152753</c:v>
                </c:pt>
                <c:pt idx="293">
                  <c:v>-202.19253952935642</c:v>
                </c:pt>
                <c:pt idx="294">
                  <c:v>-172.45273706979191</c:v>
                </c:pt>
                <c:pt idx="295">
                  <c:v>-125.83205915696658</c:v>
                </c:pt>
                <c:pt idx="296">
                  <c:v>-66.894062570346847</c:v>
                </c:pt>
                <c:pt idx="297">
                  <c:v>-1.4080090609985088</c:v>
                </c:pt>
                <c:pt idx="298">
                  <c:v>64.215870185410608</c:v>
                </c:pt>
                <c:pt idx="299">
                  <c:v>123.55385263979831</c:v>
                </c:pt>
                <c:pt idx="300">
                  <c:v>170.79752314749194</c:v>
                </c:pt>
                <c:pt idx="301">
                  <c:v>201.32234207318965</c:v>
                </c:pt>
                <c:pt idx="302">
                  <c:v>212.14032746152756</c:v>
                </c:pt>
                <c:pt idx="303">
                  <c:v>202.1925395293562</c:v>
                </c:pt>
                <c:pt idx="304">
                  <c:v>172.45273706979324</c:v>
                </c:pt>
                <c:pt idx="305">
                  <c:v>125.832059156966</c:v>
                </c:pt>
                <c:pt idx="306">
                  <c:v>66.89406257034328</c:v>
                </c:pt>
                <c:pt idx="307">
                  <c:v>1.4080090610007958</c:v>
                </c:pt>
                <c:pt idx="308">
                  <c:v>-64.215870185411291</c:v>
                </c:pt>
                <c:pt idx="309">
                  <c:v>-123.5538526397989</c:v>
                </c:pt>
                <c:pt idx="310">
                  <c:v>-170.79752314749058</c:v>
                </c:pt>
                <c:pt idx="311">
                  <c:v>-201.32234207319081</c:v>
                </c:pt>
                <c:pt idx="312">
                  <c:v>-212.14032746152756</c:v>
                </c:pt>
                <c:pt idx="313">
                  <c:v>-202.19253952935688</c:v>
                </c:pt>
                <c:pt idx="314">
                  <c:v>-172.45273706979282</c:v>
                </c:pt>
                <c:pt idx="315">
                  <c:v>-125.83205915696298</c:v>
                </c:pt>
                <c:pt idx="316">
                  <c:v>-66.894062570345454</c:v>
                </c:pt>
                <c:pt idx="317">
                  <c:v>-1.408009061000068</c:v>
                </c:pt>
                <c:pt idx="318">
                  <c:v>64.215870185409116</c:v>
                </c:pt>
                <c:pt idx="319">
                  <c:v>123.55385263979704</c:v>
                </c:pt>
                <c:pt idx="320">
                  <c:v>170.7975231474928</c:v>
                </c:pt>
                <c:pt idx="321">
                  <c:v>201.3223420731901</c:v>
                </c:pt>
                <c:pt idx="322">
                  <c:v>212.14032746152753</c:v>
                </c:pt>
                <c:pt idx="323">
                  <c:v>202.19253952935577</c:v>
                </c:pt>
                <c:pt idx="324">
                  <c:v>172.45273706979415</c:v>
                </c:pt>
                <c:pt idx="325">
                  <c:v>125.83205915696482</c:v>
                </c:pt>
                <c:pt idx="326">
                  <c:v>66.894062570344772</c:v>
                </c:pt>
                <c:pt idx="327">
                  <c:v>1.408009061002355</c:v>
                </c:pt>
                <c:pt idx="328">
                  <c:v>-64.215870185409813</c:v>
                </c:pt>
                <c:pt idx="329">
                  <c:v>-123.55385263980007</c:v>
                </c:pt>
                <c:pt idx="330">
                  <c:v>-170.79752314749146</c:v>
                </c:pt>
                <c:pt idx="331">
                  <c:v>-201.32234207319033</c:v>
                </c:pt>
                <c:pt idx="332">
                  <c:v>-212.14032746152756</c:v>
                </c:pt>
                <c:pt idx="333">
                  <c:v>-202.19253952935736</c:v>
                </c:pt>
                <c:pt idx="334">
                  <c:v>-172.45273706979197</c:v>
                </c:pt>
                <c:pt idx="335">
                  <c:v>-125.83205915696425</c:v>
                </c:pt>
                <c:pt idx="336">
                  <c:v>-66.894062570346932</c:v>
                </c:pt>
                <c:pt idx="337">
                  <c:v>-1.4080090609986127</c:v>
                </c:pt>
                <c:pt idx="338">
                  <c:v>64.21587018541338</c:v>
                </c:pt>
                <c:pt idx="339">
                  <c:v>123.55385263979822</c:v>
                </c:pt>
                <c:pt idx="340">
                  <c:v>170.79752314749189</c:v>
                </c:pt>
                <c:pt idx="341">
                  <c:v>201.32234207319149</c:v>
                </c:pt>
                <c:pt idx="342">
                  <c:v>212.14032746152753</c:v>
                </c:pt>
                <c:pt idx="343">
                  <c:v>202.19253952935622</c:v>
                </c:pt>
                <c:pt idx="344">
                  <c:v>172.45273706979154</c:v>
                </c:pt>
                <c:pt idx="345">
                  <c:v>125.8320591569661</c:v>
                </c:pt>
                <c:pt idx="346">
                  <c:v>66.89406257034338</c:v>
                </c:pt>
                <c:pt idx="347">
                  <c:v>1.4080090610039144</c:v>
                </c:pt>
                <c:pt idx="348">
                  <c:v>-64.215870185411191</c:v>
                </c:pt>
                <c:pt idx="349">
                  <c:v>-123.55385263979881</c:v>
                </c:pt>
                <c:pt idx="350">
                  <c:v>-170.79752314749052</c:v>
                </c:pt>
                <c:pt idx="351">
                  <c:v>-201.32234207319078</c:v>
                </c:pt>
                <c:pt idx="352">
                  <c:v>-212.14032746152756</c:v>
                </c:pt>
                <c:pt idx="353">
                  <c:v>-202.19253952935691</c:v>
                </c:pt>
                <c:pt idx="354">
                  <c:v>-172.45273706979287</c:v>
                </c:pt>
                <c:pt idx="355">
                  <c:v>-125.83205915696307</c:v>
                </c:pt>
                <c:pt idx="356">
                  <c:v>-66.894062570345554</c:v>
                </c:pt>
                <c:pt idx="357">
                  <c:v>-1.4080090610001719</c:v>
                </c:pt>
                <c:pt idx="358">
                  <c:v>64.215870185411887</c:v>
                </c:pt>
                <c:pt idx="359">
                  <c:v>123.55385263979694</c:v>
                </c:pt>
                <c:pt idx="360">
                  <c:v>170.79752314749274</c:v>
                </c:pt>
                <c:pt idx="361">
                  <c:v>201.32234207319101</c:v>
                </c:pt>
                <c:pt idx="362">
                  <c:v>212.14032746152753</c:v>
                </c:pt>
                <c:pt idx="363">
                  <c:v>202.19253952935671</c:v>
                </c:pt>
                <c:pt idx="364">
                  <c:v>172.45273706979071</c:v>
                </c:pt>
                <c:pt idx="365">
                  <c:v>125.83205915696492</c:v>
                </c:pt>
                <c:pt idx="366">
                  <c:v>66.894062570344872</c:v>
                </c:pt>
                <c:pt idx="367">
                  <c:v>1.4080090609994445</c:v>
                </c:pt>
                <c:pt idx="368">
                  <c:v>-64.215870185409713</c:v>
                </c:pt>
                <c:pt idx="369">
                  <c:v>-123.55385263979998</c:v>
                </c:pt>
                <c:pt idx="370">
                  <c:v>-170.79752314749317</c:v>
                </c:pt>
                <c:pt idx="371">
                  <c:v>-201.32234207319027</c:v>
                </c:pt>
                <c:pt idx="372">
                  <c:v>-212.14032746152756</c:v>
                </c:pt>
                <c:pt idx="373">
                  <c:v>-202.19253952935739</c:v>
                </c:pt>
                <c:pt idx="374">
                  <c:v>-172.45273706979202</c:v>
                </c:pt>
                <c:pt idx="375">
                  <c:v>-125.83205915696432</c:v>
                </c:pt>
                <c:pt idx="376">
                  <c:v>-66.894062570347032</c:v>
                </c:pt>
                <c:pt idx="377">
                  <c:v>-1.4080090610017315</c:v>
                </c:pt>
                <c:pt idx="378">
                  <c:v>64.21587018541328</c:v>
                </c:pt>
                <c:pt idx="379">
                  <c:v>123.55385263979815</c:v>
                </c:pt>
                <c:pt idx="380">
                  <c:v>170.79752314749183</c:v>
                </c:pt>
                <c:pt idx="381">
                  <c:v>201.32234207319053</c:v>
                </c:pt>
                <c:pt idx="382">
                  <c:v>212.14032746152753</c:v>
                </c:pt>
                <c:pt idx="383">
                  <c:v>202.19253952935625</c:v>
                </c:pt>
                <c:pt idx="384">
                  <c:v>172.4527370697916</c:v>
                </c:pt>
                <c:pt idx="385">
                  <c:v>125.83205915696858</c:v>
                </c:pt>
                <c:pt idx="386">
                  <c:v>66.89406257034635</c:v>
                </c:pt>
                <c:pt idx="387">
                  <c:v>1.4080090609979889</c:v>
                </c:pt>
                <c:pt idx="388">
                  <c:v>-64.215870185411092</c:v>
                </c:pt>
                <c:pt idx="389">
                  <c:v>-123.55385263979629</c:v>
                </c:pt>
                <c:pt idx="390">
                  <c:v>-170.79752314749226</c:v>
                </c:pt>
                <c:pt idx="391">
                  <c:v>-201.32234207318982</c:v>
                </c:pt>
                <c:pt idx="392">
                  <c:v>-212.14032746152756</c:v>
                </c:pt>
                <c:pt idx="393">
                  <c:v>-202.19253952935512</c:v>
                </c:pt>
                <c:pt idx="394">
                  <c:v>-172.45273706979469</c:v>
                </c:pt>
                <c:pt idx="395">
                  <c:v>-125.83205915696557</c:v>
                </c:pt>
                <c:pt idx="396">
                  <c:v>-66.894062570342797</c:v>
                </c:pt>
                <c:pt idx="397">
                  <c:v>-1.408009061000276</c:v>
                </c:pt>
                <c:pt idx="398">
                  <c:v>64.215870185414659</c:v>
                </c:pt>
                <c:pt idx="399">
                  <c:v>123.55385263979443</c:v>
                </c:pt>
                <c:pt idx="400">
                  <c:v>170.79752314749089</c:v>
                </c:pt>
                <c:pt idx="401">
                  <c:v>201.32234207319098</c:v>
                </c:pt>
                <c:pt idx="402">
                  <c:v>212.14032746152753</c:v>
                </c:pt>
                <c:pt idx="403">
                  <c:v>202.19253952935765</c:v>
                </c:pt>
                <c:pt idx="404">
                  <c:v>172.45273706979251</c:v>
                </c:pt>
                <c:pt idx="405">
                  <c:v>125.83205915696743</c:v>
                </c:pt>
                <c:pt idx="406">
                  <c:v>66.894062570344957</c:v>
                </c:pt>
                <c:pt idx="407">
                  <c:v>1.4080090609965337</c:v>
                </c:pt>
                <c:pt idx="408">
                  <c:v>-64.215870185406743</c:v>
                </c:pt>
                <c:pt idx="409">
                  <c:v>-123.55385263979747</c:v>
                </c:pt>
                <c:pt idx="410">
                  <c:v>-170.79752314749311</c:v>
                </c:pt>
                <c:pt idx="411">
                  <c:v>-201.32234207319024</c:v>
                </c:pt>
                <c:pt idx="412">
                  <c:v>-212.14032746152756</c:v>
                </c:pt>
                <c:pt idx="413">
                  <c:v>-202.19253952935651</c:v>
                </c:pt>
                <c:pt idx="414">
                  <c:v>-172.45273706979384</c:v>
                </c:pt>
                <c:pt idx="415">
                  <c:v>-125.83205915696442</c:v>
                </c:pt>
                <c:pt idx="416">
                  <c:v>-66.894062570341418</c:v>
                </c:pt>
                <c:pt idx="417">
                  <c:v>-1.4080090610048499</c:v>
                </c:pt>
                <c:pt idx="418">
                  <c:v>64.21587018541031</c:v>
                </c:pt>
                <c:pt idx="419">
                  <c:v>123.5538526398005</c:v>
                </c:pt>
                <c:pt idx="420">
                  <c:v>170.79752314749175</c:v>
                </c:pt>
                <c:pt idx="421">
                  <c:v>201.32234207319144</c:v>
                </c:pt>
                <c:pt idx="422">
                  <c:v>212.14032746152756</c:v>
                </c:pt>
                <c:pt idx="423">
                  <c:v>202.19253952935719</c:v>
                </c:pt>
                <c:pt idx="424">
                  <c:v>172.45273706979168</c:v>
                </c:pt>
                <c:pt idx="425">
                  <c:v>125.83205915696141</c:v>
                </c:pt>
                <c:pt idx="426">
                  <c:v>66.894062570343578</c:v>
                </c:pt>
                <c:pt idx="427">
                  <c:v>1.4080090610011076</c:v>
                </c:pt>
                <c:pt idx="428">
                  <c:v>-64.215870185408136</c:v>
                </c:pt>
                <c:pt idx="429">
                  <c:v>-123.55385263979863</c:v>
                </c:pt>
                <c:pt idx="430">
                  <c:v>-170.79752314749396</c:v>
                </c:pt>
                <c:pt idx="431">
                  <c:v>-201.32234207318882</c:v>
                </c:pt>
                <c:pt idx="432">
                  <c:v>-212.14032746152753</c:v>
                </c:pt>
                <c:pt idx="433">
                  <c:v>-202.19253952935605</c:v>
                </c:pt>
                <c:pt idx="434">
                  <c:v>-172.45273706979299</c:v>
                </c:pt>
                <c:pt idx="435">
                  <c:v>-125.83205915696324</c:v>
                </c:pt>
                <c:pt idx="436">
                  <c:v>-66.894062570345767</c:v>
                </c:pt>
                <c:pt idx="437">
                  <c:v>-1.4080090610033946</c:v>
                </c:pt>
                <c:pt idx="438">
                  <c:v>64.215870185411703</c:v>
                </c:pt>
                <c:pt idx="439">
                  <c:v>123.55385263980168</c:v>
                </c:pt>
                <c:pt idx="440">
                  <c:v>170.79752314749263</c:v>
                </c:pt>
                <c:pt idx="441">
                  <c:v>201.32234207318999</c:v>
                </c:pt>
                <c:pt idx="442">
                  <c:v>212.14032746152756</c:v>
                </c:pt>
                <c:pt idx="443">
                  <c:v>202.19253952935676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42-4419-A574-3F8765BCDDA2}"/>
            </c:ext>
          </c:extLst>
        </c:ser>
        <c:ser>
          <c:idx val="1"/>
          <c:order val="1"/>
          <c:tx>
            <c:strRef>
              <c:f>DFT!$I$10:$I$29</c:f>
              <c:strCache>
                <c:ptCount val="20"/>
                <c:pt idx="0">
                  <c:v>mod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DFT!$A$30:$A$473</c:f>
              <c:numCache>
                <c:formatCode>General</c:formatCode>
                <c:ptCount val="444"/>
                <c:pt idx="0">
                  <c:v>1.5833333333333335E-2</c:v>
                </c:pt>
                <c:pt idx="1">
                  <c:v>1.6666666666666666E-2</c:v>
                </c:pt>
                <c:pt idx="2">
                  <c:v>1.7500000000000002E-2</c:v>
                </c:pt>
                <c:pt idx="3">
                  <c:v>1.8333333333333333E-2</c:v>
                </c:pt>
                <c:pt idx="4">
                  <c:v>1.9166666666666669E-2</c:v>
                </c:pt>
                <c:pt idx="5">
                  <c:v>0.02</c:v>
                </c:pt>
                <c:pt idx="6">
                  <c:v>2.0833333333333336E-2</c:v>
                </c:pt>
                <c:pt idx="7">
                  <c:v>2.1666666666666667E-2</c:v>
                </c:pt>
                <c:pt idx="8">
                  <c:v>2.2500000000000003E-2</c:v>
                </c:pt>
                <c:pt idx="9">
                  <c:v>2.3333333333333334E-2</c:v>
                </c:pt>
                <c:pt idx="10">
                  <c:v>2.416666666666667E-2</c:v>
                </c:pt>
                <c:pt idx="11">
                  <c:v>2.5000000000000001E-2</c:v>
                </c:pt>
                <c:pt idx="12">
                  <c:v>2.5833333333333337E-2</c:v>
                </c:pt>
                <c:pt idx="13">
                  <c:v>2.6666666666666668E-2</c:v>
                </c:pt>
                <c:pt idx="14">
                  <c:v>2.75E-2</c:v>
                </c:pt>
                <c:pt idx="15">
                  <c:v>2.8333333333333335E-2</c:v>
                </c:pt>
                <c:pt idx="16">
                  <c:v>2.9166666666666667E-2</c:v>
                </c:pt>
                <c:pt idx="17">
                  <c:v>3.0000000000000002E-2</c:v>
                </c:pt>
                <c:pt idx="18">
                  <c:v>3.0833333333333334E-2</c:v>
                </c:pt>
                <c:pt idx="19">
                  <c:v>3.1666666666666669E-2</c:v>
                </c:pt>
                <c:pt idx="20">
                  <c:v>3.2500000000000001E-2</c:v>
                </c:pt>
                <c:pt idx="21">
                  <c:v>3.3333333333333333E-2</c:v>
                </c:pt>
                <c:pt idx="22">
                  <c:v>3.4166666666666672E-2</c:v>
                </c:pt>
                <c:pt idx="23">
                  <c:v>3.5000000000000003E-2</c:v>
                </c:pt>
                <c:pt idx="24">
                  <c:v>3.5833333333333335E-2</c:v>
                </c:pt>
                <c:pt idx="25">
                  <c:v>3.6666666666666667E-2</c:v>
                </c:pt>
                <c:pt idx="26">
                  <c:v>3.7500000000000006E-2</c:v>
                </c:pt>
                <c:pt idx="27">
                  <c:v>3.8333333333333337E-2</c:v>
                </c:pt>
                <c:pt idx="28">
                  <c:v>3.9166666666666669E-2</c:v>
                </c:pt>
                <c:pt idx="29">
                  <c:v>0.04</c:v>
                </c:pt>
                <c:pt idx="30">
                  <c:v>4.0833333333333333E-2</c:v>
                </c:pt>
                <c:pt idx="31">
                  <c:v>4.1666666666666671E-2</c:v>
                </c:pt>
                <c:pt idx="32">
                  <c:v>4.2500000000000003E-2</c:v>
                </c:pt>
                <c:pt idx="33">
                  <c:v>4.3333333333333335E-2</c:v>
                </c:pt>
                <c:pt idx="34">
                  <c:v>4.4166666666666667E-2</c:v>
                </c:pt>
                <c:pt idx="35">
                  <c:v>4.5000000000000005E-2</c:v>
                </c:pt>
                <c:pt idx="36">
                  <c:v>4.5833333333333337E-2</c:v>
                </c:pt>
                <c:pt idx="37">
                  <c:v>4.6666666666666669E-2</c:v>
                </c:pt>
                <c:pt idx="38">
                  <c:v>4.7500000000000001E-2</c:v>
                </c:pt>
                <c:pt idx="39">
                  <c:v>4.8333333333333339E-2</c:v>
                </c:pt>
                <c:pt idx="40">
                  <c:v>4.9166666666666671E-2</c:v>
                </c:pt>
                <c:pt idx="41">
                  <c:v>0.05</c:v>
                </c:pt>
                <c:pt idx="42">
                  <c:v>5.0833333333333335E-2</c:v>
                </c:pt>
                <c:pt idx="43">
                  <c:v>5.1666666666666673E-2</c:v>
                </c:pt>
                <c:pt idx="44">
                  <c:v>5.2500000000000005E-2</c:v>
                </c:pt>
                <c:pt idx="45">
                  <c:v>5.3333333333333337E-2</c:v>
                </c:pt>
                <c:pt idx="46">
                  <c:v>5.4166666666666669E-2</c:v>
                </c:pt>
                <c:pt idx="47">
                  <c:v>5.5E-2</c:v>
                </c:pt>
                <c:pt idx="48">
                  <c:v>5.5833333333333339E-2</c:v>
                </c:pt>
                <c:pt idx="49">
                  <c:v>5.6666666666666671E-2</c:v>
                </c:pt>
                <c:pt idx="50">
                  <c:v>5.7500000000000002E-2</c:v>
                </c:pt>
                <c:pt idx="51">
                  <c:v>5.8333333333333334E-2</c:v>
                </c:pt>
                <c:pt idx="52">
                  <c:v>5.9166666666666673E-2</c:v>
                </c:pt>
                <c:pt idx="53">
                  <c:v>6.0000000000000005E-2</c:v>
                </c:pt>
                <c:pt idx="54">
                  <c:v>6.0833333333333336E-2</c:v>
                </c:pt>
                <c:pt idx="55">
                  <c:v>6.1666666666666668E-2</c:v>
                </c:pt>
                <c:pt idx="56">
                  <c:v>6.25E-2</c:v>
                </c:pt>
                <c:pt idx="57">
                  <c:v>6.3333333333333339E-2</c:v>
                </c:pt>
                <c:pt idx="58">
                  <c:v>6.4166666666666677E-2</c:v>
                </c:pt>
                <c:pt idx="59">
                  <c:v>6.5000000000000002E-2</c:v>
                </c:pt>
                <c:pt idx="60">
                  <c:v>6.5833333333333341E-2</c:v>
                </c:pt>
                <c:pt idx="61">
                  <c:v>6.6666666666666666E-2</c:v>
                </c:pt>
                <c:pt idx="62">
                  <c:v>6.7500000000000004E-2</c:v>
                </c:pt>
                <c:pt idx="63">
                  <c:v>6.8333333333333343E-2</c:v>
                </c:pt>
                <c:pt idx="64">
                  <c:v>6.9166666666666668E-2</c:v>
                </c:pt>
                <c:pt idx="65">
                  <c:v>7.0000000000000007E-2</c:v>
                </c:pt>
                <c:pt idx="66">
                  <c:v>7.0833333333333331E-2</c:v>
                </c:pt>
                <c:pt idx="67">
                  <c:v>7.166666666666667E-2</c:v>
                </c:pt>
                <c:pt idx="68">
                  <c:v>7.2500000000000009E-2</c:v>
                </c:pt>
                <c:pt idx="69">
                  <c:v>7.3333333333333334E-2</c:v>
                </c:pt>
                <c:pt idx="70">
                  <c:v>7.4166666666666672E-2</c:v>
                </c:pt>
                <c:pt idx="71">
                  <c:v>7.5000000000000011E-2</c:v>
                </c:pt>
                <c:pt idx="72">
                  <c:v>7.5833333333333336E-2</c:v>
                </c:pt>
                <c:pt idx="73">
                  <c:v>7.6666666666666675E-2</c:v>
                </c:pt>
                <c:pt idx="74">
                  <c:v>7.7499999999999999E-2</c:v>
                </c:pt>
                <c:pt idx="75">
                  <c:v>7.8333333333333338E-2</c:v>
                </c:pt>
                <c:pt idx="76">
                  <c:v>7.9166666666666677E-2</c:v>
                </c:pt>
                <c:pt idx="77">
                  <c:v>0.08</c:v>
                </c:pt>
                <c:pt idx="78">
                  <c:v>8.083333333333334E-2</c:v>
                </c:pt>
                <c:pt idx="79">
                  <c:v>8.1666666666666665E-2</c:v>
                </c:pt>
                <c:pt idx="80">
                  <c:v>8.2500000000000004E-2</c:v>
                </c:pt>
                <c:pt idx="81">
                  <c:v>8.3333333333333343E-2</c:v>
                </c:pt>
                <c:pt idx="82">
                  <c:v>8.4166666666666667E-2</c:v>
                </c:pt>
                <c:pt idx="83">
                  <c:v>8.5000000000000006E-2</c:v>
                </c:pt>
                <c:pt idx="84">
                  <c:v>8.5833333333333345E-2</c:v>
                </c:pt>
                <c:pt idx="85">
                  <c:v>8.666666666666667E-2</c:v>
                </c:pt>
                <c:pt idx="86">
                  <c:v>8.7500000000000008E-2</c:v>
                </c:pt>
                <c:pt idx="87">
                  <c:v>8.8333333333333333E-2</c:v>
                </c:pt>
                <c:pt idx="88">
                  <c:v>8.9166666666666672E-2</c:v>
                </c:pt>
                <c:pt idx="89">
                  <c:v>9.0000000000000011E-2</c:v>
                </c:pt>
                <c:pt idx="90">
                  <c:v>9.0833333333333335E-2</c:v>
                </c:pt>
                <c:pt idx="91">
                  <c:v>9.1666666666666674E-2</c:v>
                </c:pt>
                <c:pt idx="92">
                  <c:v>9.2500000000000013E-2</c:v>
                </c:pt>
                <c:pt idx="93">
                  <c:v>9.3333333333333338E-2</c:v>
                </c:pt>
                <c:pt idx="94">
                  <c:v>9.4166666666666676E-2</c:v>
                </c:pt>
                <c:pt idx="95">
                  <c:v>9.5000000000000001E-2</c:v>
                </c:pt>
                <c:pt idx="96">
                  <c:v>9.583333333333334E-2</c:v>
                </c:pt>
                <c:pt idx="97">
                  <c:v>9.6666666666666679E-2</c:v>
                </c:pt>
                <c:pt idx="98">
                  <c:v>9.7500000000000003E-2</c:v>
                </c:pt>
                <c:pt idx="99">
                  <c:v>9.8333333333333342E-2</c:v>
                </c:pt>
                <c:pt idx="100">
                  <c:v>9.9166666666666667E-2</c:v>
                </c:pt>
                <c:pt idx="101">
                  <c:v>0.1</c:v>
                </c:pt>
                <c:pt idx="102">
                  <c:v>0.10083333333333334</c:v>
                </c:pt>
                <c:pt idx="103">
                  <c:v>0.10166666666666667</c:v>
                </c:pt>
                <c:pt idx="104">
                  <c:v>0.10250000000000001</c:v>
                </c:pt>
                <c:pt idx="105">
                  <c:v>0.10333333333333335</c:v>
                </c:pt>
                <c:pt idx="106">
                  <c:v>0.10416666666666667</c:v>
                </c:pt>
                <c:pt idx="107">
                  <c:v>0.10500000000000001</c:v>
                </c:pt>
                <c:pt idx="108">
                  <c:v>0.10583333333333333</c:v>
                </c:pt>
                <c:pt idx="109">
                  <c:v>0.10666666666666667</c:v>
                </c:pt>
                <c:pt idx="110">
                  <c:v>0.10750000000000001</c:v>
                </c:pt>
                <c:pt idx="111">
                  <c:v>0.10833333333333334</c:v>
                </c:pt>
                <c:pt idx="112">
                  <c:v>0.10916666666666668</c:v>
                </c:pt>
                <c:pt idx="113">
                  <c:v>0.11</c:v>
                </c:pt>
                <c:pt idx="114">
                  <c:v>0.11083333333333334</c:v>
                </c:pt>
                <c:pt idx="115">
                  <c:v>0.11166666666666668</c:v>
                </c:pt>
                <c:pt idx="116">
                  <c:v>0.1125</c:v>
                </c:pt>
                <c:pt idx="117">
                  <c:v>0.11333333333333334</c:v>
                </c:pt>
                <c:pt idx="118">
                  <c:v>0.11416666666666668</c:v>
                </c:pt>
                <c:pt idx="119">
                  <c:v>0.115</c:v>
                </c:pt>
                <c:pt idx="120">
                  <c:v>0.11583333333333334</c:v>
                </c:pt>
                <c:pt idx="121">
                  <c:v>0.11666666666666667</c:v>
                </c:pt>
                <c:pt idx="122">
                  <c:v>0.11750000000000001</c:v>
                </c:pt>
                <c:pt idx="123">
                  <c:v>0.11833333333333335</c:v>
                </c:pt>
                <c:pt idx="124">
                  <c:v>0.11916666666666667</c:v>
                </c:pt>
                <c:pt idx="125">
                  <c:v>0.12000000000000001</c:v>
                </c:pt>
                <c:pt idx="126">
                  <c:v>0.12083333333333333</c:v>
                </c:pt>
                <c:pt idx="127">
                  <c:v>0.12166666666666667</c:v>
                </c:pt>
                <c:pt idx="128">
                  <c:v>0.12250000000000001</c:v>
                </c:pt>
                <c:pt idx="129">
                  <c:v>0.12333333333333334</c:v>
                </c:pt>
                <c:pt idx="130">
                  <c:v>0.12416666666666668</c:v>
                </c:pt>
                <c:pt idx="131">
                  <c:v>0.125</c:v>
                </c:pt>
                <c:pt idx="132">
                  <c:v>0.12583333333333335</c:v>
                </c:pt>
                <c:pt idx="133">
                  <c:v>0.12666666666666668</c:v>
                </c:pt>
                <c:pt idx="134">
                  <c:v>0.1275</c:v>
                </c:pt>
                <c:pt idx="135">
                  <c:v>0.12833333333333335</c:v>
                </c:pt>
                <c:pt idx="136">
                  <c:v>0.12916666666666668</c:v>
                </c:pt>
                <c:pt idx="137">
                  <c:v>0.13</c:v>
                </c:pt>
                <c:pt idx="138">
                  <c:v>0.13083333333333333</c:v>
                </c:pt>
                <c:pt idx="139">
                  <c:v>0.13166666666666668</c:v>
                </c:pt>
                <c:pt idx="140">
                  <c:v>0.13250000000000001</c:v>
                </c:pt>
                <c:pt idx="141">
                  <c:v>0.13333333333333333</c:v>
                </c:pt>
                <c:pt idx="142">
                  <c:v>0.13416666666666668</c:v>
                </c:pt>
                <c:pt idx="143">
                  <c:v>0.13500000000000001</c:v>
                </c:pt>
                <c:pt idx="144">
                  <c:v>0.13583333333333333</c:v>
                </c:pt>
                <c:pt idx="145">
                  <c:v>0.13666666666666669</c:v>
                </c:pt>
                <c:pt idx="146">
                  <c:v>0.13750000000000001</c:v>
                </c:pt>
                <c:pt idx="147">
                  <c:v>0.13833333333333334</c:v>
                </c:pt>
                <c:pt idx="148">
                  <c:v>0.13916666666666669</c:v>
                </c:pt>
                <c:pt idx="149">
                  <c:v>0.14000000000000001</c:v>
                </c:pt>
                <c:pt idx="150">
                  <c:v>0.14083333333333334</c:v>
                </c:pt>
                <c:pt idx="151">
                  <c:v>0.14166666666666666</c:v>
                </c:pt>
                <c:pt idx="152">
                  <c:v>0.14250000000000002</c:v>
                </c:pt>
                <c:pt idx="153">
                  <c:v>0.14333333333333334</c:v>
                </c:pt>
                <c:pt idx="154">
                  <c:v>0.14416666666666667</c:v>
                </c:pt>
                <c:pt idx="155">
                  <c:v>0.14500000000000002</c:v>
                </c:pt>
                <c:pt idx="156">
                  <c:v>0.14583333333333334</c:v>
                </c:pt>
                <c:pt idx="157">
                  <c:v>0.14666666666666667</c:v>
                </c:pt>
                <c:pt idx="158">
                  <c:v>0.14750000000000002</c:v>
                </c:pt>
                <c:pt idx="159">
                  <c:v>0.14833333333333334</c:v>
                </c:pt>
                <c:pt idx="160">
                  <c:v>0.14916666666666667</c:v>
                </c:pt>
                <c:pt idx="161">
                  <c:v>0.15000000000000002</c:v>
                </c:pt>
                <c:pt idx="162">
                  <c:v>0.15083333333333335</c:v>
                </c:pt>
                <c:pt idx="163">
                  <c:v>0.15166666666666667</c:v>
                </c:pt>
                <c:pt idx="164">
                  <c:v>0.1525</c:v>
                </c:pt>
                <c:pt idx="165">
                  <c:v>0.15333333333333335</c:v>
                </c:pt>
                <c:pt idx="166">
                  <c:v>0.15416666666666667</c:v>
                </c:pt>
                <c:pt idx="167">
                  <c:v>0.155</c:v>
                </c:pt>
                <c:pt idx="168">
                  <c:v>0.15583333333333335</c:v>
                </c:pt>
                <c:pt idx="169">
                  <c:v>0.15666666666666668</c:v>
                </c:pt>
                <c:pt idx="170">
                  <c:v>0.1575</c:v>
                </c:pt>
                <c:pt idx="171">
                  <c:v>0.15833333333333335</c:v>
                </c:pt>
                <c:pt idx="172">
                  <c:v>0.15916666666666668</c:v>
                </c:pt>
                <c:pt idx="173">
                  <c:v>0.16</c:v>
                </c:pt>
                <c:pt idx="174">
                  <c:v>0.16083333333333336</c:v>
                </c:pt>
                <c:pt idx="175">
                  <c:v>0.16166666666666668</c:v>
                </c:pt>
                <c:pt idx="176">
                  <c:v>0.16250000000000001</c:v>
                </c:pt>
                <c:pt idx="177">
                  <c:v>0.16333333333333333</c:v>
                </c:pt>
                <c:pt idx="178">
                  <c:v>0.16416666666666668</c:v>
                </c:pt>
                <c:pt idx="179">
                  <c:v>0.16500000000000001</c:v>
                </c:pt>
                <c:pt idx="180">
                  <c:v>0.16583333333333333</c:v>
                </c:pt>
                <c:pt idx="181">
                  <c:v>0.16666666666666669</c:v>
                </c:pt>
                <c:pt idx="182">
                  <c:v>0.16750000000000001</c:v>
                </c:pt>
                <c:pt idx="183">
                  <c:v>0.16833333333333333</c:v>
                </c:pt>
                <c:pt idx="184">
                  <c:v>0.16916666666666669</c:v>
                </c:pt>
                <c:pt idx="185">
                  <c:v>0.17</c:v>
                </c:pt>
                <c:pt idx="186">
                  <c:v>0.17083333333333334</c:v>
                </c:pt>
                <c:pt idx="187">
                  <c:v>0.17166666666666669</c:v>
                </c:pt>
                <c:pt idx="188">
                  <c:v>0.17250000000000001</c:v>
                </c:pt>
                <c:pt idx="189">
                  <c:v>0.17333333333333334</c:v>
                </c:pt>
                <c:pt idx="190">
                  <c:v>0.17416666666666666</c:v>
                </c:pt>
                <c:pt idx="191">
                  <c:v>0.17500000000000002</c:v>
                </c:pt>
                <c:pt idx="192">
                  <c:v>0.17583333333333334</c:v>
                </c:pt>
                <c:pt idx="193">
                  <c:v>0.17666666666666667</c:v>
                </c:pt>
                <c:pt idx="194">
                  <c:v>0.17750000000000002</c:v>
                </c:pt>
                <c:pt idx="195">
                  <c:v>0.17833333333333334</c:v>
                </c:pt>
                <c:pt idx="196">
                  <c:v>0.17916666666666667</c:v>
                </c:pt>
                <c:pt idx="197">
                  <c:v>0.18000000000000002</c:v>
                </c:pt>
                <c:pt idx="198">
                  <c:v>0.18083333333333335</c:v>
                </c:pt>
                <c:pt idx="199">
                  <c:v>0.18166666666666667</c:v>
                </c:pt>
                <c:pt idx="200">
                  <c:v>0.18250000000000002</c:v>
                </c:pt>
                <c:pt idx="201">
                  <c:v>0.18333333333333335</c:v>
                </c:pt>
                <c:pt idx="202">
                  <c:v>0.18416666666666667</c:v>
                </c:pt>
                <c:pt idx="203">
                  <c:v>0.18500000000000003</c:v>
                </c:pt>
                <c:pt idx="204">
                  <c:v>0.18583333333333335</c:v>
                </c:pt>
                <c:pt idx="205">
                  <c:v>0.18666666666666668</c:v>
                </c:pt>
                <c:pt idx="206">
                  <c:v>0.1875</c:v>
                </c:pt>
                <c:pt idx="207">
                  <c:v>0.18833333333333335</c:v>
                </c:pt>
                <c:pt idx="208">
                  <c:v>0.18916666666666668</c:v>
                </c:pt>
                <c:pt idx="209">
                  <c:v>0.19</c:v>
                </c:pt>
                <c:pt idx="210">
                  <c:v>0.19083333333333335</c:v>
                </c:pt>
                <c:pt idx="211">
                  <c:v>0.19166666666666668</c:v>
                </c:pt>
                <c:pt idx="212">
                  <c:v>0.1925</c:v>
                </c:pt>
                <c:pt idx="213">
                  <c:v>0.19333333333333336</c:v>
                </c:pt>
                <c:pt idx="214">
                  <c:v>0.19416666666666668</c:v>
                </c:pt>
                <c:pt idx="215">
                  <c:v>0.19500000000000001</c:v>
                </c:pt>
                <c:pt idx="216">
                  <c:v>0.19583333333333336</c:v>
                </c:pt>
                <c:pt idx="217">
                  <c:v>0.19666666666666668</c:v>
                </c:pt>
                <c:pt idx="218">
                  <c:v>0.19750000000000001</c:v>
                </c:pt>
                <c:pt idx="219">
                  <c:v>0.19833333333333333</c:v>
                </c:pt>
                <c:pt idx="220">
                  <c:v>0.19916666666666669</c:v>
                </c:pt>
                <c:pt idx="221">
                  <c:v>0.2</c:v>
                </c:pt>
                <c:pt idx="222">
                  <c:v>0.20083333333333334</c:v>
                </c:pt>
                <c:pt idx="223">
                  <c:v>0.20166666666666669</c:v>
                </c:pt>
                <c:pt idx="224">
                  <c:v>0.20250000000000001</c:v>
                </c:pt>
                <c:pt idx="225">
                  <c:v>0.20333333333333334</c:v>
                </c:pt>
                <c:pt idx="226">
                  <c:v>0.20416666666666669</c:v>
                </c:pt>
                <c:pt idx="227">
                  <c:v>0.20500000000000002</c:v>
                </c:pt>
                <c:pt idx="228">
                  <c:v>0.20583333333333334</c:v>
                </c:pt>
                <c:pt idx="229">
                  <c:v>0.20666666666666669</c:v>
                </c:pt>
                <c:pt idx="230">
                  <c:v>0.20750000000000002</c:v>
                </c:pt>
                <c:pt idx="231">
                  <c:v>0.20833333333333334</c:v>
                </c:pt>
                <c:pt idx="232">
                  <c:v>0.20916666666666667</c:v>
                </c:pt>
                <c:pt idx="233">
                  <c:v>0.21000000000000002</c:v>
                </c:pt>
                <c:pt idx="234">
                  <c:v>0.21083333333333334</c:v>
                </c:pt>
                <c:pt idx="235">
                  <c:v>0.21166666666666667</c:v>
                </c:pt>
                <c:pt idx="236">
                  <c:v>0.21250000000000002</c:v>
                </c:pt>
                <c:pt idx="237">
                  <c:v>0.21333333333333335</c:v>
                </c:pt>
                <c:pt idx="238">
                  <c:v>0.21416666666666667</c:v>
                </c:pt>
                <c:pt idx="239">
                  <c:v>0.21500000000000002</c:v>
                </c:pt>
                <c:pt idx="240">
                  <c:v>0.21583333333333335</c:v>
                </c:pt>
                <c:pt idx="241">
                  <c:v>0.21666666666666667</c:v>
                </c:pt>
                <c:pt idx="242">
                  <c:v>0.21750000000000003</c:v>
                </c:pt>
                <c:pt idx="243">
                  <c:v>0.21833333333333335</c:v>
                </c:pt>
                <c:pt idx="244">
                  <c:v>0.21916666666666668</c:v>
                </c:pt>
                <c:pt idx="245">
                  <c:v>0.22</c:v>
                </c:pt>
                <c:pt idx="246">
                  <c:v>0.22083333333333335</c:v>
                </c:pt>
                <c:pt idx="247">
                  <c:v>0.22166666666666668</c:v>
                </c:pt>
                <c:pt idx="248">
                  <c:v>0.2225</c:v>
                </c:pt>
                <c:pt idx="249">
                  <c:v>0.22333333333333336</c:v>
                </c:pt>
                <c:pt idx="250">
                  <c:v>0.22416666666666668</c:v>
                </c:pt>
                <c:pt idx="251">
                  <c:v>0.22500000000000001</c:v>
                </c:pt>
                <c:pt idx="252">
                  <c:v>0.22583333333333336</c:v>
                </c:pt>
                <c:pt idx="253">
                  <c:v>0.22666666666666668</c:v>
                </c:pt>
                <c:pt idx="254">
                  <c:v>0.22750000000000001</c:v>
                </c:pt>
                <c:pt idx="255">
                  <c:v>0.22833333333333336</c:v>
                </c:pt>
                <c:pt idx="256">
                  <c:v>0.22916666666666669</c:v>
                </c:pt>
                <c:pt idx="257">
                  <c:v>0.23</c:v>
                </c:pt>
                <c:pt idx="258">
                  <c:v>0.23083333333333333</c:v>
                </c:pt>
                <c:pt idx="259">
                  <c:v>0.23166666666666669</c:v>
                </c:pt>
                <c:pt idx="260">
                  <c:v>0.23250000000000001</c:v>
                </c:pt>
                <c:pt idx="261">
                  <c:v>0.23333333333333334</c:v>
                </c:pt>
                <c:pt idx="262">
                  <c:v>0.23416666666666669</c:v>
                </c:pt>
                <c:pt idx="263">
                  <c:v>0.23500000000000001</c:v>
                </c:pt>
                <c:pt idx="264">
                  <c:v>0.23583333333333334</c:v>
                </c:pt>
                <c:pt idx="265">
                  <c:v>0.23666666666666669</c:v>
                </c:pt>
                <c:pt idx="266">
                  <c:v>0.23750000000000002</c:v>
                </c:pt>
                <c:pt idx="267">
                  <c:v>0.23833333333333334</c:v>
                </c:pt>
                <c:pt idx="268">
                  <c:v>0.23916666666666669</c:v>
                </c:pt>
                <c:pt idx="269">
                  <c:v>0.24000000000000002</c:v>
                </c:pt>
                <c:pt idx="270">
                  <c:v>0.24083333333333334</c:v>
                </c:pt>
                <c:pt idx="271">
                  <c:v>0.24166666666666667</c:v>
                </c:pt>
                <c:pt idx="272">
                  <c:v>0.24250000000000002</c:v>
                </c:pt>
                <c:pt idx="273">
                  <c:v>0.24333333333333335</c:v>
                </c:pt>
                <c:pt idx="274">
                  <c:v>0.24416666666666667</c:v>
                </c:pt>
                <c:pt idx="275">
                  <c:v>0.24500000000000002</c:v>
                </c:pt>
                <c:pt idx="276">
                  <c:v>0.24583333333333335</c:v>
                </c:pt>
                <c:pt idx="277">
                  <c:v>0.24666666666666667</c:v>
                </c:pt>
                <c:pt idx="278">
                  <c:v>0.24750000000000003</c:v>
                </c:pt>
                <c:pt idx="279">
                  <c:v>0.24833333333333335</c:v>
                </c:pt>
                <c:pt idx="280">
                  <c:v>0.24916666666666668</c:v>
                </c:pt>
                <c:pt idx="281">
                  <c:v>0.25</c:v>
                </c:pt>
                <c:pt idx="282">
                  <c:v>0.25083333333333335</c:v>
                </c:pt>
                <c:pt idx="283">
                  <c:v>0.25166666666666671</c:v>
                </c:pt>
                <c:pt idx="284">
                  <c:v>0.2525</c:v>
                </c:pt>
                <c:pt idx="285">
                  <c:v>0.25333333333333335</c:v>
                </c:pt>
                <c:pt idx="286">
                  <c:v>0.25416666666666671</c:v>
                </c:pt>
                <c:pt idx="287">
                  <c:v>0.255</c:v>
                </c:pt>
                <c:pt idx="288">
                  <c:v>0.25583333333333336</c:v>
                </c:pt>
                <c:pt idx="289">
                  <c:v>0.25666666666666671</c:v>
                </c:pt>
                <c:pt idx="290">
                  <c:v>0.25750000000000001</c:v>
                </c:pt>
                <c:pt idx="291">
                  <c:v>0.25833333333333336</c:v>
                </c:pt>
                <c:pt idx="292">
                  <c:v>0.25916666666666666</c:v>
                </c:pt>
                <c:pt idx="293">
                  <c:v>0.26</c:v>
                </c:pt>
                <c:pt idx="294">
                  <c:v>0.26083333333333336</c:v>
                </c:pt>
                <c:pt idx="295">
                  <c:v>0.26166666666666666</c:v>
                </c:pt>
                <c:pt idx="296">
                  <c:v>0.26250000000000001</c:v>
                </c:pt>
                <c:pt idx="297">
                  <c:v>0.26333333333333336</c:v>
                </c:pt>
                <c:pt idx="298">
                  <c:v>0.26416666666666666</c:v>
                </c:pt>
                <c:pt idx="299">
                  <c:v>0.26500000000000001</c:v>
                </c:pt>
                <c:pt idx="300">
                  <c:v>0.26583333333333337</c:v>
                </c:pt>
                <c:pt idx="301">
                  <c:v>0.26666666666666666</c:v>
                </c:pt>
                <c:pt idx="302">
                  <c:v>0.26750000000000002</c:v>
                </c:pt>
                <c:pt idx="303">
                  <c:v>0.26833333333333337</c:v>
                </c:pt>
                <c:pt idx="304">
                  <c:v>0.26916666666666667</c:v>
                </c:pt>
                <c:pt idx="305">
                  <c:v>0.27</c:v>
                </c:pt>
                <c:pt idx="306">
                  <c:v>0.27083333333333337</c:v>
                </c:pt>
                <c:pt idx="307">
                  <c:v>0.27166666666666667</c:v>
                </c:pt>
                <c:pt idx="308">
                  <c:v>0.27250000000000002</c:v>
                </c:pt>
                <c:pt idx="309">
                  <c:v>0.27333333333333337</c:v>
                </c:pt>
                <c:pt idx="310">
                  <c:v>0.27416666666666667</c:v>
                </c:pt>
                <c:pt idx="311">
                  <c:v>0.27500000000000002</c:v>
                </c:pt>
                <c:pt idx="312">
                  <c:v>0.27583333333333337</c:v>
                </c:pt>
                <c:pt idx="313">
                  <c:v>0.27666666666666667</c:v>
                </c:pt>
                <c:pt idx="314">
                  <c:v>0.27750000000000002</c:v>
                </c:pt>
                <c:pt idx="315">
                  <c:v>0.27833333333333338</c:v>
                </c:pt>
                <c:pt idx="316">
                  <c:v>0.27916666666666667</c:v>
                </c:pt>
                <c:pt idx="317">
                  <c:v>0.28000000000000003</c:v>
                </c:pt>
                <c:pt idx="318">
                  <c:v>0.28083333333333332</c:v>
                </c:pt>
                <c:pt idx="319">
                  <c:v>0.28166666666666668</c:v>
                </c:pt>
                <c:pt idx="320">
                  <c:v>0.28250000000000003</c:v>
                </c:pt>
                <c:pt idx="321">
                  <c:v>0.28333333333333333</c:v>
                </c:pt>
                <c:pt idx="322">
                  <c:v>0.28416666666666668</c:v>
                </c:pt>
                <c:pt idx="323">
                  <c:v>0.28500000000000003</c:v>
                </c:pt>
                <c:pt idx="324">
                  <c:v>0.28583333333333333</c:v>
                </c:pt>
                <c:pt idx="325">
                  <c:v>0.28666666666666668</c:v>
                </c:pt>
                <c:pt idx="326">
                  <c:v>0.28750000000000003</c:v>
                </c:pt>
                <c:pt idx="327">
                  <c:v>0.28833333333333333</c:v>
                </c:pt>
                <c:pt idx="328">
                  <c:v>0.28916666666666668</c:v>
                </c:pt>
                <c:pt idx="329">
                  <c:v>0.29000000000000004</c:v>
                </c:pt>
                <c:pt idx="330">
                  <c:v>0.29083333333333333</c:v>
                </c:pt>
                <c:pt idx="331">
                  <c:v>0.29166666666666669</c:v>
                </c:pt>
                <c:pt idx="332">
                  <c:v>0.29250000000000004</c:v>
                </c:pt>
                <c:pt idx="333">
                  <c:v>0.29333333333333333</c:v>
                </c:pt>
                <c:pt idx="334">
                  <c:v>0.29416666666666669</c:v>
                </c:pt>
                <c:pt idx="335">
                  <c:v>0.29500000000000004</c:v>
                </c:pt>
                <c:pt idx="336">
                  <c:v>0.29583333333333334</c:v>
                </c:pt>
                <c:pt idx="337">
                  <c:v>0.29666666666666669</c:v>
                </c:pt>
                <c:pt idx="338">
                  <c:v>0.29750000000000004</c:v>
                </c:pt>
                <c:pt idx="339">
                  <c:v>0.29833333333333334</c:v>
                </c:pt>
                <c:pt idx="340">
                  <c:v>0.29916666666666669</c:v>
                </c:pt>
                <c:pt idx="341">
                  <c:v>0.30000000000000004</c:v>
                </c:pt>
                <c:pt idx="342">
                  <c:v>0.30083333333333334</c:v>
                </c:pt>
                <c:pt idx="343">
                  <c:v>0.30166666666666669</c:v>
                </c:pt>
                <c:pt idx="344">
                  <c:v>0.30250000000000005</c:v>
                </c:pt>
                <c:pt idx="345">
                  <c:v>0.30333333333333334</c:v>
                </c:pt>
                <c:pt idx="346">
                  <c:v>0.3041666666666667</c:v>
                </c:pt>
                <c:pt idx="347">
                  <c:v>0.30499999999999999</c:v>
                </c:pt>
                <c:pt idx="348">
                  <c:v>0.30583333333333335</c:v>
                </c:pt>
                <c:pt idx="349">
                  <c:v>0.3066666666666667</c:v>
                </c:pt>
                <c:pt idx="350">
                  <c:v>0.3075</c:v>
                </c:pt>
                <c:pt idx="351">
                  <c:v>0.30833333333333335</c:v>
                </c:pt>
                <c:pt idx="352">
                  <c:v>0.3091666666666667</c:v>
                </c:pt>
                <c:pt idx="353">
                  <c:v>0.31</c:v>
                </c:pt>
                <c:pt idx="354">
                  <c:v>0.31083333333333335</c:v>
                </c:pt>
                <c:pt idx="355">
                  <c:v>0.3116666666666667</c:v>
                </c:pt>
                <c:pt idx="356">
                  <c:v>0.3125</c:v>
                </c:pt>
                <c:pt idx="357">
                  <c:v>0.31333333333333335</c:v>
                </c:pt>
                <c:pt idx="358">
                  <c:v>0.31416666666666671</c:v>
                </c:pt>
                <c:pt idx="359">
                  <c:v>0.315</c:v>
                </c:pt>
                <c:pt idx="360">
                  <c:v>0.31583333333333335</c:v>
                </c:pt>
                <c:pt idx="361">
                  <c:v>0.31666666666666671</c:v>
                </c:pt>
                <c:pt idx="362">
                  <c:v>0.3175</c:v>
                </c:pt>
                <c:pt idx="363">
                  <c:v>0.31833333333333336</c:v>
                </c:pt>
                <c:pt idx="364">
                  <c:v>0.31916666666666671</c:v>
                </c:pt>
                <c:pt idx="365">
                  <c:v>0.32</c:v>
                </c:pt>
                <c:pt idx="366">
                  <c:v>0.32083333333333336</c:v>
                </c:pt>
                <c:pt idx="367">
                  <c:v>0.32166666666666671</c:v>
                </c:pt>
                <c:pt idx="368">
                  <c:v>0.32250000000000001</c:v>
                </c:pt>
                <c:pt idx="369">
                  <c:v>0.32333333333333336</c:v>
                </c:pt>
                <c:pt idx="370">
                  <c:v>0.32416666666666671</c:v>
                </c:pt>
                <c:pt idx="371">
                  <c:v>0.32500000000000001</c:v>
                </c:pt>
                <c:pt idx="372">
                  <c:v>0.32583333333333336</c:v>
                </c:pt>
                <c:pt idx="373">
                  <c:v>0.32666666666666666</c:v>
                </c:pt>
                <c:pt idx="374">
                  <c:v>0.32750000000000001</c:v>
                </c:pt>
                <c:pt idx="375">
                  <c:v>0.32833333333333337</c:v>
                </c:pt>
                <c:pt idx="376">
                  <c:v>0.32916666666666666</c:v>
                </c:pt>
                <c:pt idx="377">
                  <c:v>0.33</c:v>
                </c:pt>
                <c:pt idx="378">
                  <c:v>0.33083333333333337</c:v>
                </c:pt>
                <c:pt idx="379">
                  <c:v>0.33166666666666667</c:v>
                </c:pt>
                <c:pt idx="380">
                  <c:v>0.33250000000000002</c:v>
                </c:pt>
                <c:pt idx="381">
                  <c:v>0.33333333333333337</c:v>
                </c:pt>
                <c:pt idx="382">
                  <c:v>0.33416666666666667</c:v>
                </c:pt>
                <c:pt idx="383">
                  <c:v>0.33500000000000002</c:v>
                </c:pt>
                <c:pt idx="384">
                  <c:v>0.33583333333333337</c:v>
                </c:pt>
                <c:pt idx="385">
                  <c:v>0.33666666666666667</c:v>
                </c:pt>
                <c:pt idx="386">
                  <c:v>0.33750000000000002</c:v>
                </c:pt>
                <c:pt idx="387">
                  <c:v>0.33833333333333337</c:v>
                </c:pt>
                <c:pt idx="388">
                  <c:v>0.33916666666666667</c:v>
                </c:pt>
                <c:pt idx="389">
                  <c:v>0.34</c:v>
                </c:pt>
                <c:pt idx="390">
                  <c:v>0.34083333333333338</c:v>
                </c:pt>
                <c:pt idx="391">
                  <c:v>0.34166666666666667</c:v>
                </c:pt>
                <c:pt idx="392">
                  <c:v>0.34250000000000003</c:v>
                </c:pt>
                <c:pt idx="393">
                  <c:v>0.34333333333333338</c:v>
                </c:pt>
                <c:pt idx="394">
                  <c:v>0.34416666666666668</c:v>
                </c:pt>
                <c:pt idx="395">
                  <c:v>0.34500000000000003</c:v>
                </c:pt>
                <c:pt idx="396">
                  <c:v>0.34583333333333338</c:v>
                </c:pt>
                <c:pt idx="397">
                  <c:v>0.34666666666666668</c:v>
                </c:pt>
                <c:pt idx="398">
                  <c:v>0.34750000000000003</c:v>
                </c:pt>
                <c:pt idx="399">
                  <c:v>0.34833333333333333</c:v>
                </c:pt>
                <c:pt idx="400">
                  <c:v>0.34916666666666668</c:v>
                </c:pt>
                <c:pt idx="401">
                  <c:v>0.35000000000000003</c:v>
                </c:pt>
                <c:pt idx="402">
                  <c:v>0.35083333333333333</c:v>
                </c:pt>
                <c:pt idx="403">
                  <c:v>0.35166666666666668</c:v>
                </c:pt>
                <c:pt idx="404">
                  <c:v>0.35250000000000004</c:v>
                </c:pt>
                <c:pt idx="405">
                  <c:v>0.35333333333333333</c:v>
                </c:pt>
                <c:pt idx="406">
                  <c:v>0.35416666666666669</c:v>
                </c:pt>
                <c:pt idx="407">
                  <c:v>0.35500000000000004</c:v>
                </c:pt>
                <c:pt idx="408">
                  <c:v>0.35583333333333333</c:v>
                </c:pt>
                <c:pt idx="409">
                  <c:v>0.35666666666666669</c:v>
                </c:pt>
                <c:pt idx="410">
                  <c:v>0.35750000000000004</c:v>
                </c:pt>
                <c:pt idx="411">
                  <c:v>0.35833333333333334</c:v>
                </c:pt>
                <c:pt idx="412">
                  <c:v>0.35916666666666669</c:v>
                </c:pt>
                <c:pt idx="413">
                  <c:v>0.36000000000000004</c:v>
                </c:pt>
                <c:pt idx="414">
                  <c:v>0.36083333333333334</c:v>
                </c:pt>
                <c:pt idx="415">
                  <c:v>0.36166666666666669</c:v>
                </c:pt>
                <c:pt idx="416">
                  <c:v>0.36250000000000004</c:v>
                </c:pt>
                <c:pt idx="417">
                  <c:v>0.36333333333333334</c:v>
                </c:pt>
                <c:pt idx="418">
                  <c:v>0.36416666666666669</c:v>
                </c:pt>
                <c:pt idx="419">
                  <c:v>0.36500000000000005</c:v>
                </c:pt>
                <c:pt idx="420">
                  <c:v>0.36583333333333334</c:v>
                </c:pt>
                <c:pt idx="421">
                  <c:v>0.3666666666666667</c:v>
                </c:pt>
                <c:pt idx="422">
                  <c:v>0.36750000000000005</c:v>
                </c:pt>
                <c:pt idx="423">
                  <c:v>0.36833333333333335</c:v>
                </c:pt>
                <c:pt idx="424">
                  <c:v>0.3691666666666667</c:v>
                </c:pt>
                <c:pt idx="425">
                  <c:v>0.37000000000000005</c:v>
                </c:pt>
                <c:pt idx="426">
                  <c:v>0.37083333333333335</c:v>
                </c:pt>
                <c:pt idx="427">
                  <c:v>0.3716666666666667</c:v>
                </c:pt>
                <c:pt idx="428">
                  <c:v>0.3725</c:v>
                </c:pt>
                <c:pt idx="429">
                  <c:v>0.37333333333333335</c:v>
                </c:pt>
                <c:pt idx="430">
                  <c:v>0.3741666666666667</c:v>
                </c:pt>
                <c:pt idx="431">
                  <c:v>0.375</c:v>
                </c:pt>
                <c:pt idx="432">
                  <c:v>0.37583333333333335</c:v>
                </c:pt>
                <c:pt idx="433">
                  <c:v>0.37666666666666671</c:v>
                </c:pt>
                <c:pt idx="434">
                  <c:v>0.3775</c:v>
                </c:pt>
                <c:pt idx="435">
                  <c:v>0.37833333333333335</c:v>
                </c:pt>
                <c:pt idx="436">
                  <c:v>0.37916666666666671</c:v>
                </c:pt>
                <c:pt idx="437">
                  <c:v>0.38</c:v>
                </c:pt>
                <c:pt idx="438">
                  <c:v>0.38083333333333336</c:v>
                </c:pt>
                <c:pt idx="439">
                  <c:v>0.38166666666666671</c:v>
                </c:pt>
                <c:pt idx="440">
                  <c:v>0.38250000000000001</c:v>
                </c:pt>
                <c:pt idx="441">
                  <c:v>0.38333333333333336</c:v>
                </c:pt>
                <c:pt idx="442">
                  <c:v>0.38416666666666671</c:v>
                </c:pt>
                <c:pt idx="443">
                  <c:v>0.38500000000000001</c:v>
                </c:pt>
              </c:numCache>
            </c:numRef>
          </c:xVal>
          <c:yVal>
            <c:numRef>
              <c:f>DFT!$I$30:$I$473</c:f>
              <c:numCache>
                <c:formatCode>General</c:formatCode>
                <c:ptCount val="444"/>
                <c:pt idx="0">
                  <c:v>100.00515300000001</c:v>
                </c:pt>
                <c:pt idx="1">
                  <c:v>100.00515299999999</c:v>
                </c:pt>
                <c:pt idx="2">
                  <c:v>100.00515299999998</c:v>
                </c:pt>
                <c:pt idx="3">
                  <c:v>100.00515299999998</c:v>
                </c:pt>
                <c:pt idx="4">
                  <c:v>100.00515299999999</c:v>
                </c:pt>
                <c:pt idx="5">
                  <c:v>100.00515299999998</c:v>
                </c:pt>
                <c:pt idx="6">
                  <c:v>100.00515299999998</c:v>
                </c:pt>
                <c:pt idx="7">
                  <c:v>100.00515299999996</c:v>
                </c:pt>
                <c:pt idx="8">
                  <c:v>100.00515299999996</c:v>
                </c:pt>
                <c:pt idx="9">
                  <c:v>100.00515299999996</c:v>
                </c:pt>
                <c:pt idx="10">
                  <c:v>100.00515299999996</c:v>
                </c:pt>
                <c:pt idx="11">
                  <c:v>100.00515299999996</c:v>
                </c:pt>
                <c:pt idx="12">
                  <c:v>100.00515299999996</c:v>
                </c:pt>
                <c:pt idx="13">
                  <c:v>100.00515299999996</c:v>
                </c:pt>
                <c:pt idx="14">
                  <c:v>100.00515299999998</c:v>
                </c:pt>
                <c:pt idx="15">
                  <c:v>100.00515299999998</c:v>
                </c:pt>
                <c:pt idx="16">
                  <c:v>100.00515299999999</c:v>
                </c:pt>
                <c:pt idx="17">
                  <c:v>100.00515299999998</c:v>
                </c:pt>
                <c:pt idx="18">
                  <c:v>100.00515299999996</c:v>
                </c:pt>
                <c:pt idx="19">
                  <c:v>100.00515299999996</c:v>
                </c:pt>
                <c:pt idx="20">
                  <c:v>100.00515299999998</c:v>
                </c:pt>
                <c:pt idx="21">
                  <c:v>100.00515299999995</c:v>
                </c:pt>
                <c:pt idx="22">
                  <c:v>100.00515299999995</c:v>
                </c:pt>
                <c:pt idx="23">
                  <c:v>100.00515299999995</c:v>
                </c:pt>
                <c:pt idx="24">
                  <c:v>100.00515299999998</c:v>
                </c:pt>
                <c:pt idx="25">
                  <c:v>100.00515299999999</c:v>
                </c:pt>
                <c:pt idx="26">
                  <c:v>100.00515299999998</c:v>
                </c:pt>
                <c:pt idx="27">
                  <c:v>100.00515299999998</c:v>
                </c:pt>
                <c:pt idx="28">
                  <c:v>100.00515299999996</c:v>
                </c:pt>
                <c:pt idx="29">
                  <c:v>100.00515299999996</c:v>
                </c:pt>
                <c:pt idx="30">
                  <c:v>100.00515299999995</c:v>
                </c:pt>
                <c:pt idx="31">
                  <c:v>100.00515299999996</c:v>
                </c:pt>
                <c:pt idx="32">
                  <c:v>100.00515299999995</c:v>
                </c:pt>
                <c:pt idx="33">
                  <c:v>100.00515299999995</c:v>
                </c:pt>
                <c:pt idx="34">
                  <c:v>100.00515299999995</c:v>
                </c:pt>
                <c:pt idx="35">
                  <c:v>100.00515299999998</c:v>
                </c:pt>
                <c:pt idx="36">
                  <c:v>100.00515299999995</c:v>
                </c:pt>
                <c:pt idx="37">
                  <c:v>100.00515299999995</c:v>
                </c:pt>
                <c:pt idx="38">
                  <c:v>100.00515299999995</c:v>
                </c:pt>
                <c:pt idx="39">
                  <c:v>100.00515299999998</c:v>
                </c:pt>
                <c:pt idx="40">
                  <c:v>100.00515299999998</c:v>
                </c:pt>
                <c:pt idx="41">
                  <c:v>100.00515300000001</c:v>
                </c:pt>
                <c:pt idx="42">
                  <c:v>100.00515299999998</c:v>
                </c:pt>
                <c:pt idx="43">
                  <c:v>100.00515299999999</c:v>
                </c:pt>
                <c:pt idx="44">
                  <c:v>100.00515300000001</c:v>
                </c:pt>
                <c:pt idx="45">
                  <c:v>100.00515299999999</c:v>
                </c:pt>
                <c:pt idx="46">
                  <c:v>100.00515300000001</c:v>
                </c:pt>
                <c:pt idx="47">
                  <c:v>100.00515300000001</c:v>
                </c:pt>
                <c:pt idx="48">
                  <c:v>100.00515299999998</c:v>
                </c:pt>
                <c:pt idx="49">
                  <c:v>100.00515299999998</c:v>
                </c:pt>
                <c:pt idx="50">
                  <c:v>100.00515299999998</c:v>
                </c:pt>
                <c:pt idx="51">
                  <c:v>100.00515299999999</c:v>
                </c:pt>
                <c:pt idx="52">
                  <c:v>100.00515300000002</c:v>
                </c:pt>
                <c:pt idx="53">
                  <c:v>100.00515300000002</c:v>
                </c:pt>
                <c:pt idx="54">
                  <c:v>100.00515300000001</c:v>
                </c:pt>
                <c:pt idx="55">
                  <c:v>100.00515299999999</c:v>
                </c:pt>
                <c:pt idx="56">
                  <c:v>100.00515300000002</c:v>
                </c:pt>
                <c:pt idx="57">
                  <c:v>100.00515300000002</c:v>
                </c:pt>
                <c:pt idx="58">
                  <c:v>100.00515299999999</c:v>
                </c:pt>
                <c:pt idx="59">
                  <c:v>100.00515300000001</c:v>
                </c:pt>
                <c:pt idx="60">
                  <c:v>100.00515300000001</c:v>
                </c:pt>
                <c:pt idx="61">
                  <c:v>100.00515299999998</c:v>
                </c:pt>
                <c:pt idx="62">
                  <c:v>100.00515299999996</c:v>
                </c:pt>
                <c:pt idx="63">
                  <c:v>100.00515299999996</c:v>
                </c:pt>
                <c:pt idx="64">
                  <c:v>100.00515299999995</c:v>
                </c:pt>
                <c:pt idx="65">
                  <c:v>100.00515299999995</c:v>
                </c:pt>
                <c:pt idx="66">
                  <c:v>100.00515299999995</c:v>
                </c:pt>
                <c:pt idx="67">
                  <c:v>100.00515299999992</c:v>
                </c:pt>
                <c:pt idx="68">
                  <c:v>100.00515299999995</c:v>
                </c:pt>
                <c:pt idx="69">
                  <c:v>100.00515299999996</c:v>
                </c:pt>
                <c:pt idx="70">
                  <c:v>101.47690287025252</c:v>
                </c:pt>
                <c:pt idx="71">
                  <c:v>106.88015441138621</c:v>
                </c:pt>
                <c:pt idx="72">
                  <c:v>113.69300223749993</c:v>
                </c:pt>
                <c:pt idx="73">
                  <c:v>119.22319887001461</c:v>
                </c:pt>
                <c:pt idx="74">
                  <c:v>121.70296876578232</c:v>
                </c:pt>
                <c:pt idx="75">
                  <c:v>120.68707218929033</c:v>
                </c:pt>
                <c:pt idx="76">
                  <c:v>117.11594357546335</c:v>
                </c:pt>
                <c:pt idx="77">
                  <c:v>113.1414245755261</c:v>
                </c:pt>
                <c:pt idx="78">
                  <c:v>111.47601691260073</c:v>
                </c:pt>
                <c:pt idx="79">
                  <c:v>114.06206957055758</c:v>
                </c:pt>
                <c:pt idx="80">
                  <c:v>120.79622929112055</c:v>
                </c:pt>
                <c:pt idx="81">
                  <c:v>129.65073587420756</c:v>
                </c:pt>
                <c:pt idx="82">
                  <c:v>137.98973744426351</c:v>
                </c:pt>
                <c:pt idx="83">
                  <c:v>143.75269423059436</c:v>
                </c:pt>
                <c:pt idx="84">
                  <c:v>146.02668613052026</c:v>
                </c:pt>
                <c:pt idx="85">
                  <c:v>145.22091916870201</c:v>
                </c:pt>
                <c:pt idx="86">
                  <c:v>142.98503110681054</c:v>
                </c:pt>
                <c:pt idx="87">
                  <c:v>141.76403451142789</c:v>
                </c:pt>
                <c:pt idx="88">
                  <c:v>143.81923524498887</c:v>
                </c:pt>
                <c:pt idx="89">
                  <c:v>150.00772949999993</c:v>
                </c:pt>
                <c:pt idx="90">
                  <c:v>150.00772949999984</c:v>
                </c:pt>
                <c:pt idx="91">
                  <c:v>150.00772949999984</c:v>
                </c:pt>
                <c:pt idx="92">
                  <c:v>150.00772949999981</c:v>
                </c:pt>
                <c:pt idx="93">
                  <c:v>150.00772949999981</c:v>
                </c:pt>
                <c:pt idx="94">
                  <c:v>150.00772949999981</c:v>
                </c:pt>
                <c:pt idx="95">
                  <c:v>150.00772949999984</c:v>
                </c:pt>
                <c:pt idx="96">
                  <c:v>150.0077294999999</c:v>
                </c:pt>
                <c:pt idx="97">
                  <c:v>150.0077294999999</c:v>
                </c:pt>
                <c:pt idx="98">
                  <c:v>150.0077294999999</c:v>
                </c:pt>
                <c:pt idx="99">
                  <c:v>150.00772949999998</c:v>
                </c:pt>
                <c:pt idx="100">
                  <c:v>150.00772949999998</c:v>
                </c:pt>
                <c:pt idx="101">
                  <c:v>150.00772949999993</c:v>
                </c:pt>
                <c:pt idx="102">
                  <c:v>150.00772949999995</c:v>
                </c:pt>
                <c:pt idx="103">
                  <c:v>150.00772949999995</c:v>
                </c:pt>
                <c:pt idx="104">
                  <c:v>150.00772950000007</c:v>
                </c:pt>
                <c:pt idx="105">
                  <c:v>150.00772950000007</c:v>
                </c:pt>
                <c:pt idx="106">
                  <c:v>150.00772950000007</c:v>
                </c:pt>
                <c:pt idx="107">
                  <c:v>150.00772950000007</c:v>
                </c:pt>
                <c:pt idx="108">
                  <c:v>150.00772950000007</c:v>
                </c:pt>
                <c:pt idx="109">
                  <c:v>150.00772950000007</c:v>
                </c:pt>
                <c:pt idx="110">
                  <c:v>150.00772950000018</c:v>
                </c:pt>
                <c:pt idx="111">
                  <c:v>150.00772950000012</c:v>
                </c:pt>
                <c:pt idx="112">
                  <c:v>150.00772950000012</c:v>
                </c:pt>
                <c:pt idx="113">
                  <c:v>150.00772950000012</c:v>
                </c:pt>
                <c:pt idx="114">
                  <c:v>150.00772950000015</c:v>
                </c:pt>
                <c:pt idx="115">
                  <c:v>150.00772950000001</c:v>
                </c:pt>
                <c:pt idx="116">
                  <c:v>150.00772950000001</c:v>
                </c:pt>
                <c:pt idx="117">
                  <c:v>150.00772950000007</c:v>
                </c:pt>
                <c:pt idx="118">
                  <c:v>150.00772950000007</c:v>
                </c:pt>
                <c:pt idx="119">
                  <c:v>150.00772949999995</c:v>
                </c:pt>
                <c:pt idx="120">
                  <c:v>150.00772949999995</c:v>
                </c:pt>
                <c:pt idx="121">
                  <c:v>150.00772949999993</c:v>
                </c:pt>
                <c:pt idx="122">
                  <c:v>150.00772949999995</c:v>
                </c:pt>
                <c:pt idx="123">
                  <c:v>150.00772949999987</c:v>
                </c:pt>
                <c:pt idx="124">
                  <c:v>150.00772949999984</c:v>
                </c:pt>
                <c:pt idx="125">
                  <c:v>150.00772949999984</c:v>
                </c:pt>
                <c:pt idx="126">
                  <c:v>150.0077294999999</c:v>
                </c:pt>
                <c:pt idx="127">
                  <c:v>150.00772949999993</c:v>
                </c:pt>
                <c:pt idx="128">
                  <c:v>150.00772949999993</c:v>
                </c:pt>
                <c:pt idx="129">
                  <c:v>150.0077294999999</c:v>
                </c:pt>
                <c:pt idx="130">
                  <c:v>150.0077294999999</c:v>
                </c:pt>
                <c:pt idx="131">
                  <c:v>150.0077294999999</c:v>
                </c:pt>
                <c:pt idx="132">
                  <c:v>150.00772949999995</c:v>
                </c:pt>
                <c:pt idx="133">
                  <c:v>150.00772949999995</c:v>
                </c:pt>
                <c:pt idx="134">
                  <c:v>150.00772949999998</c:v>
                </c:pt>
                <c:pt idx="135">
                  <c:v>150.00772949999998</c:v>
                </c:pt>
                <c:pt idx="136">
                  <c:v>150.00772950000001</c:v>
                </c:pt>
                <c:pt idx="137">
                  <c:v>150.00772950000001</c:v>
                </c:pt>
                <c:pt idx="138">
                  <c:v>150.00772949999995</c:v>
                </c:pt>
                <c:pt idx="139">
                  <c:v>150.00772950000001</c:v>
                </c:pt>
                <c:pt idx="140">
                  <c:v>150.00772950000001</c:v>
                </c:pt>
                <c:pt idx="141">
                  <c:v>150.00772949999995</c:v>
                </c:pt>
                <c:pt idx="142">
                  <c:v>150.00772949999995</c:v>
                </c:pt>
                <c:pt idx="143">
                  <c:v>150.00772950000004</c:v>
                </c:pt>
                <c:pt idx="144">
                  <c:v>150.00772950000004</c:v>
                </c:pt>
                <c:pt idx="145">
                  <c:v>150.00772950000004</c:v>
                </c:pt>
                <c:pt idx="146">
                  <c:v>150.00772949999998</c:v>
                </c:pt>
                <c:pt idx="147">
                  <c:v>150.00772949999998</c:v>
                </c:pt>
                <c:pt idx="148">
                  <c:v>150.00772950000001</c:v>
                </c:pt>
                <c:pt idx="149">
                  <c:v>150.00772950000001</c:v>
                </c:pt>
                <c:pt idx="150">
                  <c:v>150.00772949999993</c:v>
                </c:pt>
                <c:pt idx="151">
                  <c:v>150.00772949999993</c:v>
                </c:pt>
                <c:pt idx="152">
                  <c:v>150.00772949999993</c:v>
                </c:pt>
                <c:pt idx="153">
                  <c:v>150.00772949999993</c:v>
                </c:pt>
                <c:pt idx="154">
                  <c:v>150.00772949999995</c:v>
                </c:pt>
                <c:pt idx="155">
                  <c:v>150.00772949999993</c:v>
                </c:pt>
                <c:pt idx="156">
                  <c:v>150.00772949999993</c:v>
                </c:pt>
                <c:pt idx="157">
                  <c:v>150.00772949999993</c:v>
                </c:pt>
                <c:pt idx="158">
                  <c:v>150.00772949999998</c:v>
                </c:pt>
                <c:pt idx="159">
                  <c:v>150.00772949999998</c:v>
                </c:pt>
                <c:pt idx="160">
                  <c:v>150.00772949999998</c:v>
                </c:pt>
                <c:pt idx="161">
                  <c:v>150.00772950000015</c:v>
                </c:pt>
                <c:pt idx="162">
                  <c:v>150.00772950000012</c:v>
                </c:pt>
                <c:pt idx="163">
                  <c:v>150.00772950000015</c:v>
                </c:pt>
                <c:pt idx="164">
                  <c:v>150.00772950000021</c:v>
                </c:pt>
                <c:pt idx="165">
                  <c:v>150.00772950000024</c:v>
                </c:pt>
                <c:pt idx="166">
                  <c:v>150.00772950000024</c:v>
                </c:pt>
                <c:pt idx="167">
                  <c:v>150.00772950000027</c:v>
                </c:pt>
                <c:pt idx="168">
                  <c:v>150.00772950000024</c:v>
                </c:pt>
                <c:pt idx="169">
                  <c:v>150.00772950000021</c:v>
                </c:pt>
                <c:pt idx="170">
                  <c:v>150.00772950000021</c:v>
                </c:pt>
                <c:pt idx="171">
                  <c:v>150.00772950000027</c:v>
                </c:pt>
                <c:pt idx="172">
                  <c:v>150.00772950000029</c:v>
                </c:pt>
                <c:pt idx="173">
                  <c:v>150.00772950000029</c:v>
                </c:pt>
                <c:pt idx="174">
                  <c:v>150.00772950000018</c:v>
                </c:pt>
                <c:pt idx="175">
                  <c:v>150.00772950000015</c:v>
                </c:pt>
                <c:pt idx="176">
                  <c:v>150.00772950000015</c:v>
                </c:pt>
                <c:pt idx="177">
                  <c:v>150.00772950000015</c:v>
                </c:pt>
                <c:pt idx="178">
                  <c:v>150.00772950000015</c:v>
                </c:pt>
                <c:pt idx="179">
                  <c:v>150.00772950000007</c:v>
                </c:pt>
                <c:pt idx="180">
                  <c:v>150.00772950000007</c:v>
                </c:pt>
                <c:pt idx="181">
                  <c:v>150.00772950000001</c:v>
                </c:pt>
                <c:pt idx="182">
                  <c:v>150.00772950000001</c:v>
                </c:pt>
                <c:pt idx="183">
                  <c:v>150.00772950000004</c:v>
                </c:pt>
                <c:pt idx="184">
                  <c:v>150.00772949999987</c:v>
                </c:pt>
                <c:pt idx="185">
                  <c:v>150.00772949999998</c:v>
                </c:pt>
                <c:pt idx="186">
                  <c:v>150.00772950000004</c:v>
                </c:pt>
                <c:pt idx="187">
                  <c:v>150.00772950000004</c:v>
                </c:pt>
                <c:pt idx="188">
                  <c:v>150.00772949999995</c:v>
                </c:pt>
                <c:pt idx="189">
                  <c:v>150.00772949999995</c:v>
                </c:pt>
                <c:pt idx="190">
                  <c:v>150.00772949999984</c:v>
                </c:pt>
                <c:pt idx="191">
                  <c:v>150.00772949999984</c:v>
                </c:pt>
                <c:pt idx="192">
                  <c:v>150.00772949999984</c:v>
                </c:pt>
                <c:pt idx="193">
                  <c:v>150.0077294999999</c:v>
                </c:pt>
                <c:pt idx="194">
                  <c:v>150.00772949999981</c:v>
                </c:pt>
                <c:pt idx="195">
                  <c:v>150.0077294999999</c:v>
                </c:pt>
                <c:pt idx="196">
                  <c:v>150.0077294999999</c:v>
                </c:pt>
                <c:pt idx="197">
                  <c:v>150.00772949999993</c:v>
                </c:pt>
                <c:pt idx="198">
                  <c:v>150.00772949999993</c:v>
                </c:pt>
                <c:pt idx="199">
                  <c:v>150.00772949999981</c:v>
                </c:pt>
                <c:pt idx="200">
                  <c:v>150.00772949999993</c:v>
                </c:pt>
                <c:pt idx="201">
                  <c:v>150.00772949999998</c:v>
                </c:pt>
                <c:pt idx="202">
                  <c:v>150.00772949999998</c:v>
                </c:pt>
                <c:pt idx="203">
                  <c:v>150.00772949999981</c:v>
                </c:pt>
                <c:pt idx="204">
                  <c:v>150.00772949999993</c:v>
                </c:pt>
                <c:pt idx="205">
                  <c:v>150.00772949999984</c:v>
                </c:pt>
                <c:pt idx="206">
                  <c:v>150.0077294999999</c:v>
                </c:pt>
                <c:pt idx="207">
                  <c:v>150.0077294999999</c:v>
                </c:pt>
                <c:pt idx="208">
                  <c:v>150.00772949999995</c:v>
                </c:pt>
                <c:pt idx="209">
                  <c:v>150.00772949999981</c:v>
                </c:pt>
                <c:pt idx="210">
                  <c:v>150.0077295000001</c:v>
                </c:pt>
                <c:pt idx="211">
                  <c:v>150.00772950000007</c:v>
                </c:pt>
                <c:pt idx="212">
                  <c:v>150.00772950000007</c:v>
                </c:pt>
                <c:pt idx="213">
                  <c:v>150.00772949999998</c:v>
                </c:pt>
                <c:pt idx="214">
                  <c:v>150.0077295000001</c:v>
                </c:pt>
                <c:pt idx="215">
                  <c:v>150.00772950000004</c:v>
                </c:pt>
                <c:pt idx="216">
                  <c:v>150.00772949999998</c:v>
                </c:pt>
                <c:pt idx="217">
                  <c:v>150.00772949999995</c:v>
                </c:pt>
                <c:pt idx="218">
                  <c:v>150.0077294999999</c:v>
                </c:pt>
                <c:pt idx="219">
                  <c:v>150.00772949999998</c:v>
                </c:pt>
                <c:pt idx="220">
                  <c:v>150.0077294999999</c:v>
                </c:pt>
                <c:pt idx="221">
                  <c:v>150.00772949999981</c:v>
                </c:pt>
                <c:pt idx="222">
                  <c:v>150.00772949999981</c:v>
                </c:pt>
                <c:pt idx="223">
                  <c:v>150.00772949999987</c:v>
                </c:pt>
                <c:pt idx="224">
                  <c:v>150.00772949999975</c:v>
                </c:pt>
                <c:pt idx="225">
                  <c:v>150.0077294999999</c:v>
                </c:pt>
                <c:pt idx="226">
                  <c:v>150.0077294999997</c:v>
                </c:pt>
                <c:pt idx="227">
                  <c:v>150.0077294999997</c:v>
                </c:pt>
                <c:pt idx="228">
                  <c:v>150.00772949999964</c:v>
                </c:pt>
                <c:pt idx="229">
                  <c:v>150.00772949999973</c:v>
                </c:pt>
                <c:pt idx="230">
                  <c:v>150.00772949999964</c:v>
                </c:pt>
                <c:pt idx="231">
                  <c:v>150.0077294999997</c:v>
                </c:pt>
                <c:pt idx="232">
                  <c:v>150.0077294999997</c:v>
                </c:pt>
                <c:pt idx="233">
                  <c:v>150.00772949999964</c:v>
                </c:pt>
                <c:pt idx="234">
                  <c:v>150.00772949999975</c:v>
                </c:pt>
                <c:pt idx="235">
                  <c:v>150.00772949999987</c:v>
                </c:pt>
                <c:pt idx="236">
                  <c:v>150.00772949999993</c:v>
                </c:pt>
                <c:pt idx="237">
                  <c:v>150.0077294999999</c:v>
                </c:pt>
                <c:pt idx="238">
                  <c:v>150.00772949999998</c:v>
                </c:pt>
                <c:pt idx="239">
                  <c:v>150.00772950000007</c:v>
                </c:pt>
                <c:pt idx="240">
                  <c:v>150.00772950000015</c:v>
                </c:pt>
                <c:pt idx="241">
                  <c:v>150.00772950000012</c:v>
                </c:pt>
                <c:pt idx="242">
                  <c:v>150.00772950000007</c:v>
                </c:pt>
                <c:pt idx="243">
                  <c:v>150.00772950000015</c:v>
                </c:pt>
                <c:pt idx="244">
                  <c:v>150.00772950000027</c:v>
                </c:pt>
                <c:pt idx="245">
                  <c:v>150.00772950000018</c:v>
                </c:pt>
                <c:pt idx="246">
                  <c:v>150.00772950000024</c:v>
                </c:pt>
                <c:pt idx="247">
                  <c:v>150.00772950000024</c:v>
                </c:pt>
                <c:pt idx="248">
                  <c:v>150.00772950000015</c:v>
                </c:pt>
                <c:pt idx="249">
                  <c:v>150.00772950000027</c:v>
                </c:pt>
                <c:pt idx="250">
                  <c:v>150.00772950000015</c:v>
                </c:pt>
                <c:pt idx="251">
                  <c:v>150.0077295000001</c:v>
                </c:pt>
                <c:pt idx="252">
                  <c:v>150.0077295000001</c:v>
                </c:pt>
                <c:pt idx="253">
                  <c:v>150.00772950000012</c:v>
                </c:pt>
                <c:pt idx="254">
                  <c:v>150.00772950000007</c:v>
                </c:pt>
                <c:pt idx="255">
                  <c:v>150.00772949999998</c:v>
                </c:pt>
                <c:pt idx="256">
                  <c:v>150.00772949999993</c:v>
                </c:pt>
                <c:pt idx="257">
                  <c:v>150.0077294999999</c:v>
                </c:pt>
                <c:pt idx="258">
                  <c:v>150.00772949999984</c:v>
                </c:pt>
                <c:pt idx="259">
                  <c:v>150.00772949999973</c:v>
                </c:pt>
                <c:pt idx="260">
                  <c:v>150.00772949999964</c:v>
                </c:pt>
                <c:pt idx="261">
                  <c:v>150.0077294999997</c:v>
                </c:pt>
                <c:pt idx="262">
                  <c:v>150.0077294999997</c:v>
                </c:pt>
                <c:pt idx="263">
                  <c:v>150.00772949999961</c:v>
                </c:pt>
                <c:pt idx="264">
                  <c:v>150.00772949999973</c:v>
                </c:pt>
                <c:pt idx="265">
                  <c:v>150.00772949999964</c:v>
                </c:pt>
                <c:pt idx="266">
                  <c:v>150.00772949999973</c:v>
                </c:pt>
                <c:pt idx="267">
                  <c:v>150.00772949999973</c:v>
                </c:pt>
                <c:pt idx="268">
                  <c:v>150.00772949999975</c:v>
                </c:pt>
                <c:pt idx="269">
                  <c:v>150.00772949999964</c:v>
                </c:pt>
                <c:pt idx="270">
                  <c:v>150.00772949999978</c:v>
                </c:pt>
                <c:pt idx="271">
                  <c:v>150.0077294999997</c:v>
                </c:pt>
                <c:pt idx="272">
                  <c:v>150.0077294999997</c:v>
                </c:pt>
                <c:pt idx="273">
                  <c:v>150.00772949999975</c:v>
                </c:pt>
                <c:pt idx="274">
                  <c:v>150.00772949999987</c:v>
                </c:pt>
                <c:pt idx="275">
                  <c:v>150.00772949999998</c:v>
                </c:pt>
                <c:pt idx="276">
                  <c:v>150.00772950000007</c:v>
                </c:pt>
                <c:pt idx="277">
                  <c:v>150.00772950000004</c:v>
                </c:pt>
                <c:pt idx="278">
                  <c:v>150.00772950000012</c:v>
                </c:pt>
                <c:pt idx="279">
                  <c:v>150.00772950000021</c:v>
                </c:pt>
                <c:pt idx="280">
                  <c:v>150.0077295000001</c:v>
                </c:pt>
                <c:pt idx="281">
                  <c:v>150.00772950000004</c:v>
                </c:pt>
                <c:pt idx="282">
                  <c:v>150.00772950000001</c:v>
                </c:pt>
                <c:pt idx="283">
                  <c:v>150.00772949999995</c:v>
                </c:pt>
                <c:pt idx="284">
                  <c:v>150.00772949999984</c:v>
                </c:pt>
                <c:pt idx="285">
                  <c:v>150.00772949999995</c:v>
                </c:pt>
                <c:pt idx="286">
                  <c:v>150.0077294999999</c:v>
                </c:pt>
                <c:pt idx="287">
                  <c:v>150.0077294999999</c:v>
                </c:pt>
                <c:pt idx="288">
                  <c:v>150.00772949999995</c:v>
                </c:pt>
                <c:pt idx="289">
                  <c:v>150.00772950000007</c:v>
                </c:pt>
                <c:pt idx="290">
                  <c:v>150.00772949999995</c:v>
                </c:pt>
                <c:pt idx="291">
                  <c:v>150.00772950000004</c:v>
                </c:pt>
                <c:pt idx="292">
                  <c:v>150.00772950000001</c:v>
                </c:pt>
                <c:pt idx="293">
                  <c:v>150.00772949999998</c:v>
                </c:pt>
                <c:pt idx="294">
                  <c:v>150.0077294999999</c:v>
                </c:pt>
                <c:pt idx="295">
                  <c:v>150.00772949999998</c:v>
                </c:pt>
                <c:pt idx="296">
                  <c:v>150.00772950000004</c:v>
                </c:pt>
                <c:pt idx="297">
                  <c:v>150.00772950000004</c:v>
                </c:pt>
                <c:pt idx="298">
                  <c:v>150.00772949999995</c:v>
                </c:pt>
                <c:pt idx="299">
                  <c:v>150.00772949999987</c:v>
                </c:pt>
                <c:pt idx="300">
                  <c:v>150.00772949999993</c:v>
                </c:pt>
                <c:pt idx="301">
                  <c:v>150.0077294999999</c:v>
                </c:pt>
                <c:pt idx="302">
                  <c:v>150.0077294999999</c:v>
                </c:pt>
                <c:pt idx="303">
                  <c:v>150.00772949999995</c:v>
                </c:pt>
                <c:pt idx="304">
                  <c:v>150.00772950000007</c:v>
                </c:pt>
                <c:pt idx="305">
                  <c:v>150.00772950000018</c:v>
                </c:pt>
                <c:pt idx="306">
                  <c:v>150.00772950000012</c:v>
                </c:pt>
                <c:pt idx="307">
                  <c:v>150.00772950000012</c:v>
                </c:pt>
                <c:pt idx="308">
                  <c:v>150.00772950000004</c:v>
                </c:pt>
                <c:pt idx="309">
                  <c:v>150.00772949999993</c:v>
                </c:pt>
                <c:pt idx="310">
                  <c:v>150.00772949999984</c:v>
                </c:pt>
                <c:pt idx="311">
                  <c:v>150.00772949999993</c:v>
                </c:pt>
                <c:pt idx="312">
                  <c:v>150.0077294999999</c:v>
                </c:pt>
                <c:pt idx="313">
                  <c:v>150.00772949999998</c:v>
                </c:pt>
                <c:pt idx="314">
                  <c:v>150.00772950000007</c:v>
                </c:pt>
                <c:pt idx="315">
                  <c:v>150.00772949999975</c:v>
                </c:pt>
                <c:pt idx="316">
                  <c:v>150.0077294999997</c:v>
                </c:pt>
                <c:pt idx="317">
                  <c:v>150.0077294999997</c:v>
                </c:pt>
                <c:pt idx="318">
                  <c:v>150.00772949999961</c:v>
                </c:pt>
                <c:pt idx="319">
                  <c:v>150.00772949999953</c:v>
                </c:pt>
                <c:pt idx="320">
                  <c:v>150.00772949999964</c:v>
                </c:pt>
                <c:pt idx="321">
                  <c:v>150.0077294999997</c:v>
                </c:pt>
                <c:pt idx="322">
                  <c:v>150.00772949999973</c:v>
                </c:pt>
                <c:pt idx="323">
                  <c:v>150.00772949999964</c:v>
                </c:pt>
                <c:pt idx="324">
                  <c:v>150.00772949999975</c:v>
                </c:pt>
                <c:pt idx="325">
                  <c:v>150.00772949999964</c:v>
                </c:pt>
                <c:pt idx="326">
                  <c:v>150.00772949999975</c:v>
                </c:pt>
                <c:pt idx="327">
                  <c:v>150.00772949999975</c:v>
                </c:pt>
                <c:pt idx="328">
                  <c:v>150.0077294999997</c:v>
                </c:pt>
                <c:pt idx="329">
                  <c:v>150.00772949999978</c:v>
                </c:pt>
                <c:pt idx="330">
                  <c:v>150.00772949999984</c:v>
                </c:pt>
                <c:pt idx="331">
                  <c:v>150.00772949999981</c:v>
                </c:pt>
                <c:pt idx="332">
                  <c:v>150.00772949999981</c:v>
                </c:pt>
                <c:pt idx="333">
                  <c:v>150.00772949999987</c:v>
                </c:pt>
                <c:pt idx="334">
                  <c:v>150.00772949999981</c:v>
                </c:pt>
                <c:pt idx="335">
                  <c:v>150.00772949999987</c:v>
                </c:pt>
                <c:pt idx="336">
                  <c:v>150.00772949999993</c:v>
                </c:pt>
                <c:pt idx="337">
                  <c:v>150.0077294999999</c:v>
                </c:pt>
                <c:pt idx="338">
                  <c:v>150.0077295000001</c:v>
                </c:pt>
                <c:pt idx="339">
                  <c:v>150.00772950000021</c:v>
                </c:pt>
                <c:pt idx="340">
                  <c:v>150.0077295000001</c:v>
                </c:pt>
                <c:pt idx="341">
                  <c:v>150.00772950000029</c:v>
                </c:pt>
                <c:pt idx="342">
                  <c:v>150.00772950000029</c:v>
                </c:pt>
                <c:pt idx="343">
                  <c:v>150.00772950000035</c:v>
                </c:pt>
                <c:pt idx="344">
                  <c:v>150.00772950000004</c:v>
                </c:pt>
                <c:pt idx="345">
                  <c:v>150.00772950000015</c:v>
                </c:pt>
                <c:pt idx="346">
                  <c:v>150.00772950000007</c:v>
                </c:pt>
                <c:pt idx="347">
                  <c:v>150.00772950000007</c:v>
                </c:pt>
                <c:pt idx="348">
                  <c:v>150.00772950000015</c:v>
                </c:pt>
                <c:pt idx="349">
                  <c:v>150.00772950000007</c:v>
                </c:pt>
                <c:pt idx="350">
                  <c:v>150.00772949999993</c:v>
                </c:pt>
                <c:pt idx="351">
                  <c:v>150.00772950000001</c:v>
                </c:pt>
                <c:pt idx="352">
                  <c:v>150.00772950000001</c:v>
                </c:pt>
                <c:pt idx="353">
                  <c:v>150.00772949999993</c:v>
                </c:pt>
                <c:pt idx="354">
                  <c:v>150.00772950000004</c:v>
                </c:pt>
                <c:pt idx="355">
                  <c:v>150.00772949999995</c:v>
                </c:pt>
                <c:pt idx="356">
                  <c:v>150.0077294999999</c:v>
                </c:pt>
                <c:pt idx="357">
                  <c:v>150.0077294999999</c:v>
                </c:pt>
                <c:pt idx="358">
                  <c:v>150.00772949999984</c:v>
                </c:pt>
                <c:pt idx="359">
                  <c:v>150.0077294999997</c:v>
                </c:pt>
                <c:pt idx="360">
                  <c:v>150.00772949999981</c:v>
                </c:pt>
                <c:pt idx="361">
                  <c:v>150.00772949999975</c:v>
                </c:pt>
                <c:pt idx="362">
                  <c:v>150.00772949999978</c:v>
                </c:pt>
                <c:pt idx="363">
                  <c:v>150.00772949999981</c:v>
                </c:pt>
                <c:pt idx="364">
                  <c:v>150.00772949999973</c:v>
                </c:pt>
                <c:pt idx="365">
                  <c:v>150.00772949999964</c:v>
                </c:pt>
                <c:pt idx="366">
                  <c:v>150.00772949999967</c:v>
                </c:pt>
                <c:pt idx="367">
                  <c:v>150.0077294999997</c:v>
                </c:pt>
                <c:pt idx="368">
                  <c:v>150.00772949999964</c:v>
                </c:pt>
                <c:pt idx="369">
                  <c:v>150.00772949999975</c:v>
                </c:pt>
                <c:pt idx="370">
                  <c:v>150.00772950000004</c:v>
                </c:pt>
                <c:pt idx="371">
                  <c:v>150.00772949999998</c:v>
                </c:pt>
                <c:pt idx="372">
                  <c:v>150.00772949999998</c:v>
                </c:pt>
                <c:pt idx="373">
                  <c:v>150.00772950000004</c:v>
                </c:pt>
                <c:pt idx="374">
                  <c:v>150.00772949999993</c:v>
                </c:pt>
                <c:pt idx="375">
                  <c:v>150.00772950000007</c:v>
                </c:pt>
                <c:pt idx="376">
                  <c:v>150.00772950000012</c:v>
                </c:pt>
                <c:pt idx="377">
                  <c:v>150.00772950000012</c:v>
                </c:pt>
                <c:pt idx="378">
                  <c:v>150.00772950000015</c:v>
                </c:pt>
                <c:pt idx="379">
                  <c:v>150.00772950000027</c:v>
                </c:pt>
                <c:pt idx="380">
                  <c:v>150.00772950000018</c:v>
                </c:pt>
                <c:pt idx="381">
                  <c:v>150.00772950000007</c:v>
                </c:pt>
                <c:pt idx="382">
                  <c:v>150.00772950000007</c:v>
                </c:pt>
                <c:pt idx="383">
                  <c:v>150.00772950000004</c:v>
                </c:pt>
                <c:pt idx="384">
                  <c:v>150.00772950000012</c:v>
                </c:pt>
                <c:pt idx="385">
                  <c:v>150.00772950000035</c:v>
                </c:pt>
                <c:pt idx="386">
                  <c:v>150.00772950000041</c:v>
                </c:pt>
                <c:pt idx="387">
                  <c:v>150.00772950000041</c:v>
                </c:pt>
                <c:pt idx="388">
                  <c:v>150.00772950000049</c:v>
                </c:pt>
                <c:pt idx="389">
                  <c:v>150.00772950000018</c:v>
                </c:pt>
                <c:pt idx="390">
                  <c:v>150.00772950000007</c:v>
                </c:pt>
                <c:pt idx="391">
                  <c:v>150.00772949999995</c:v>
                </c:pt>
                <c:pt idx="392">
                  <c:v>150.00772949999998</c:v>
                </c:pt>
                <c:pt idx="393">
                  <c:v>150.00772949999967</c:v>
                </c:pt>
                <c:pt idx="394">
                  <c:v>150.00772949999998</c:v>
                </c:pt>
                <c:pt idx="395">
                  <c:v>150.0077295000001</c:v>
                </c:pt>
                <c:pt idx="396">
                  <c:v>150.0077294999999</c:v>
                </c:pt>
                <c:pt idx="397">
                  <c:v>150.0077294999999</c:v>
                </c:pt>
                <c:pt idx="398">
                  <c:v>150.00772949999998</c:v>
                </c:pt>
                <c:pt idx="399">
                  <c:v>150.00772949999964</c:v>
                </c:pt>
                <c:pt idx="400">
                  <c:v>150.00772949999958</c:v>
                </c:pt>
                <c:pt idx="401">
                  <c:v>150.00772949999958</c:v>
                </c:pt>
                <c:pt idx="402">
                  <c:v>150.00772949999964</c:v>
                </c:pt>
                <c:pt idx="403">
                  <c:v>150.00772949999981</c:v>
                </c:pt>
                <c:pt idx="404">
                  <c:v>150.00772949999993</c:v>
                </c:pt>
                <c:pt idx="405">
                  <c:v>150.0077294999999</c:v>
                </c:pt>
                <c:pt idx="406">
                  <c:v>150.00772949999987</c:v>
                </c:pt>
                <c:pt idx="407">
                  <c:v>150.00772949999984</c:v>
                </c:pt>
                <c:pt idx="408">
                  <c:v>150.00772949999967</c:v>
                </c:pt>
                <c:pt idx="409">
                  <c:v>150.00772949999978</c:v>
                </c:pt>
                <c:pt idx="410">
                  <c:v>150.00772949999987</c:v>
                </c:pt>
                <c:pt idx="411">
                  <c:v>150.0077294999999</c:v>
                </c:pt>
                <c:pt idx="412">
                  <c:v>150.0077294999999</c:v>
                </c:pt>
                <c:pt idx="413">
                  <c:v>150.0077295000001</c:v>
                </c:pt>
                <c:pt idx="414">
                  <c:v>150.00772949999998</c:v>
                </c:pt>
                <c:pt idx="415">
                  <c:v>150.0077294999999</c:v>
                </c:pt>
                <c:pt idx="416">
                  <c:v>150.00772949999984</c:v>
                </c:pt>
                <c:pt idx="417">
                  <c:v>150.00772949999984</c:v>
                </c:pt>
                <c:pt idx="418">
                  <c:v>150.00772949999967</c:v>
                </c:pt>
                <c:pt idx="419">
                  <c:v>150.00772950000015</c:v>
                </c:pt>
                <c:pt idx="420">
                  <c:v>150.00772950000024</c:v>
                </c:pt>
                <c:pt idx="421">
                  <c:v>150.00772950000032</c:v>
                </c:pt>
                <c:pt idx="422">
                  <c:v>150.00772950000032</c:v>
                </c:pt>
                <c:pt idx="423">
                  <c:v>150.00772950000024</c:v>
                </c:pt>
                <c:pt idx="424">
                  <c:v>150.00772950000015</c:v>
                </c:pt>
                <c:pt idx="425">
                  <c:v>150.00772949999964</c:v>
                </c:pt>
                <c:pt idx="426">
                  <c:v>150.00772949999958</c:v>
                </c:pt>
                <c:pt idx="427">
                  <c:v>150.00772949999958</c:v>
                </c:pt>
                <c:pt idx="428">
                  <c:v>150.00772949999964</c:v>
                </c:pt>
                <c:pt idx="429">
                  <c:v>150.00772949999973</c:v>
                </c:pt>
                <c:pt idx="430">
                  <c:v>150.00772949999984</c:v>
                </c:pt>
                <c:pt idx="431">
                  <c:v>150.00772949999967</c:v>
                </c:pt>
                <c:pt idx="432">
                  <c:v>150.00772949999964</c:v>
                </c:pt>
                <c:pt idx="433">
                  <c:v>150.00772949999958</c:v>
                </c:pt>
                <c:pt idx="434">
                  <c:v>150.00772949999947</c:v>
                </c:pt>
                <c:pt idx="435">
                  <c:v>150.00772949999941</c:v>
                </c:pt>
                <c:pt idx="436">
                  <c:v>150.00772949999958</c:v>
                </c:pt>
                <c:pt idx="437">
                  <c:v>150.00772949999958</c:v>
                </c:pt>
                <c:pt idx="438">
                  <c:v>150.00772949999964</c:v>
                </c:pt>
                <c:pt idx="439">
                  <c:v>150.00772949999978</c:v>
                </c:pt>
                <c:pt idx="440">
                  <c:v>150.00772949999987</c:v>
                </c:pt>
                <c:pt idx="441">
                  <c:v>150.00772949999964</c:v>
                </c:pt>
                <c:pt idx="442">
                  <c:v>150.00772949999967</c:v>
                </c:pt>
                <c:pt idx="443">
                  <c:v>150.00772949999958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042-4419-A574-3F8765BCDD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4027312"/>
        <c:axId val="1964027792"/>
      </c:scatterChart>
      <c:valAx>
        <c:axId val="1964027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64027792"/>
        <c:crosses val="autoZero"/>
        <c:crossBetween val="midCat"/>
      </c:valAx>
      <c:valAx>
        <c:axId val="1964027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64027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'DFT Recurs'!$B$10</c:f>
              <c:strCache>
                <c:ptCount val="1"/>
                <c:pt idx="0">
                  <c:v>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'DFT Recurs'!$A$11:$A$473</c:f>
              <c:numCache>
                <c:formatCode>General</c:formatCode>
                <c:ptCount val="463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9.0000000000000011E-3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1.3000000000000001E-2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1.8000000000000002E-2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2.6000000000000002E-2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3.6000000000000004E-2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4.3000000000000003E-2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5.1000000000000004E-2</c:v>
                </c:pt>
                <c:pt idx="52">
                  <c:v>5.2000000000000005E-2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5.9000000000000004E-2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7.1000000000000008E-2</c:v>
                </c:pt>
                <c:pt idx="72">
                  <c:v>7.2000000000000008E-2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8.6000000000000007E-2</c:v>
                </c:pt>
                <c:pt idx="87">
                  <c:v>8.7000000000000008E-2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0.10200000000000001</c:v>
                </c:pt>
                <c:pt idx="103">
                  <c:v>0.10300000000000001</c:v>
                </c:pt>
                <c:pt idx="104">
                  <c:v>0.10400000000000001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0.11800000000000001</c:v>
                </c:pt>
                <c:pt idx="119">
                  <c:v>0.11900000000000001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0.14100000000000001</c:v>
                </c:pt>
                <c:pt idx="142">
                  <c:v>0.14200000000000002</c:v>
                </c:pt>
                <c:pt idx="143">
                  <c:v>0.14300000000000002</c:v>
                </c:pt>
                <c:pt idx="144">
                  <c:v>0.14400000000000002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0.17200000000000001</c:v>
                </c:pt>
                <c:pt idx="173">
                  <c:v>0.17300000000000001</c:v>
                </c:pt>
                <c:pt idx="174">
                  <c:v>0.17400000000000002</c:v>
                </c:pt>
                <c:pt idx="175">
                  <c:v>0.17500000000000002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0.20400000000000001</c:v>
                </c:pt>
                <c:pt idx="205">
                  <c:v>0.20500000000000002</c:v>
                </c:pt>
                <c:pt idx="206">
                  <c:v>0.20600000000000002</c:v>
                </c:pt>
                <c:pt idx="207">
                  <c:v>0.20700000000000002</c:v>
                </c:pt>
                <c:pt idx="208">
                  <c:v>0.20800000000000002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0.23500000000000001</c:v>
                </c:pt>
                <c:pt idx="236">
                  <c:v>0.23600000000000002</c:v>
                </c:pt>
                <c:pt idx="237">
                  <c:v>0.23700000000000002</c:v>
                </c:pt>
                <c:pt idx="238">
                  <c:v>0.23800000000000002</c:v>
                </c:pt>
                <c:pt idx="239">
                  <c:v>0.23900000000000002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0.28200000000000003</c:v>
                </c:pt>
                <c:pt idx="283">
                  <c:v>0.28300000000000003</c:v>
                </c:pt>
                <c:pt idx="284">
                  <c:v>0.28400000000000003</c:v>
                </c:pt>
                <c:pt idx="285">
                  <c:v>0.28500000000000003</c:v>
                </c:pt>
                <c:pt idx="286">
                  <c:v>0.28600000000000003</c:v>
                </c:pt>
                <c:pt idx="287">
                  <c:v>0.28700000000000003</c:v>
                </c:pt>
                <c:pt idx="288">
                  <c:v>0.28800000000000003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0.34400000000000003</c:v>
                </c:pt>
                <c:pt idx="345">
                  <c:v>0.34500000000000003</c:v>
                </c:pt>
                <c:pt idx="346">
                  <c:v>0.34600000000000003</c:v>
                </c:pt>
                <c:pt idx="347">
                  <c:v>0.34700000000000003</c:v>
                </c:pt>
                <c:pt idx="348">
                  <c:v>0.34800000000000003</c:v>
                </c:pt>
                <c:pt idx="349">
                  <c:v>0.34900000000000003</c:v>
                </c:pt>
                <c:pt idx="350">
                  <c:v>0.35000000000000003</c:v>
                </c:pt>
                <c:pt idx="351">
                  <c:v>0.35100000000000003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0.40700000000000003</c:v>
                </c:pt>
                <c:pt idx="408">
                  <c:v>0.40800000000000003</c:v>
                </c:pt>
                <c:pt idx="409">
                  <c:v>0.40900000000000003</c:v>
                </c:pt>
                <c:pt idx="410">
                  <c:v>0.41000000000000003</c:v>
                </c:pt>
                <c:pt idx="411">
                  <c:v>0.41100000000000003</c:v>
                </c:pt>
                <c:pt idx="412">
                  <c:v>0.41200000000000003</c:v>
                </c:pt>
                <c:pt idx="413">
                  <c:v>0.41300000000000003</c:v>
                </c:pt>
                <c:pt idx="414">
                  <c:v>0.41400000000000003</c:v>
                </c:pt>
                <c:pt idx="415">
                  <c:v>0.41500000000000004</c:v>
                </c:pt>
                <c:pt idx="416">
                  <c:v>0.41600000000000004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</c:numCache>
            </c:numRef>
          </c:xVal>
          <c:yVal>
            <c:numRef>
              <c:f>'DFT Recurs'!$B$11:$B$473</c:f>
              <c:numCache>
                <c:formatCode>General</c:formatCode>
                <c:ptCount val="463"/>
                <c:pt idx="0">
                  <c:v>53.552273952154593</c:v>
                </c:pt>
                <c:pt idx="1">
                  <c:v>91.38131444090439</c:v>
                </c:pt>
                <c:pt idx="2">
                  <c:v>120.26531518112246</c:v>
                </c:pt>
                <c:pt idx="3">
                  <c:v>137.37690893368958</c:v>
                </c:pt>
                <c:pt idx="4">
                  <c:v>141.04109367862026</c:v>
                </c:pt>
                <c:pt idx="5">
                  <c:v>130.89919348320441</c:v>
                </c:pt>
                <c:pt idx="6">
                  <c:v>107.94396820134305</c:v>
                </c:pt>
                <c:pt idx="7">
                  <c:v>74.422435222083948</c:v>
                </c:pt>
                <c:pt idx="8">
                  <c:v>33.6159157516907</c:v>
                </c:pt>
                <c:pt idx="9">
                  <c:v>-10.481163768335337</c:v>
                </c:pt>
                <c:pt idx="10">
                  <c:v>-53.552273952154565</c:v>
                </c:pt>
                <c:pt idx="11">
                  <c:v>-91.381314440904347</c:v>
                </c:pt>
                <c:pt idx="12">
                  <c:v>-120.2653151811225</c:v>
                </c:pt>
                <c:pt idx="13">
                  <c:v>-137.37690893368958</c:v>
                </c:pt>
                <c:pt idx="14">
                  <c:v>-141.04109367862026</c:v>
                </c:pt>
                <c:pt idx="15">
                  <c:v>-130.89919348320444</c:v>
                </c:pt>
                <c:pt idx="16">
                  <c:v>-107.9439682013431</c:v>
                </c:pt>
                <c:pt idx="17">
                  <c:v>-74.422435222083863</c:v>
                </c:pt>
                <c:pt idx="18">
                  <c:v>-33.615915751690594</c:v>
                </c:pt>
                <c:pt idx="19">
                  <c:v>10.481163768335255</c:v>
                </c:pt>
                <c:pt idx="20">
                  <c:v>53.552273952154543</c:v>
                </c:pt>
                <c:pt idx="21">
                  <c:v>91.381314440904433</c:v>
                </c:pt>
                <c:pt idx="22">
                  <c:v>120.26531518112243</c:v>
                </c:pt>
                <c:pt idx="23">
                  <c:v>137.37690893368955</c:v>
                </c:pt>
                <c:pt idx="24">
                  <c:v>141.04109367862026</c:v>
                </c:pt>
                <c:pt idx="25">
                  <c:v>130.89919348320436</c:v>
                </c:pt>
                <c:pt idx="26">
                  <c:v>107.94396820134294</c:v>
                </c:pt>
                <c:pt idx="27">
                  <c:v>74.422435222083976</c:v>
                </c:pt>
                <c:pt idx="28">
                  <c:v>33.615915751690736</c:v>
                </c:pt>
                <c:pt idx="29">
                  <c:v>-10.481163768335238</c:v>
                </c:pt>
                <c:pt idx="30">
                  <c:v>-53.552273952154529</c:v>
                </c:pt>
                <c:pt idx="31">
                  <c:v>-91.381314440904319</c:v>
                </c:pt>
                <c:pt idx="32">
                  <c:v>-120.26531518112243</c:v>
                </c:pt>
                <c:pt idx="33">
                  <c:v>-137.37690893368961</c:v>
                </c:pt>
                <c:pt idx="34">
                  <c:v>-141.04109367862026</c:v>
                </c:pt>
                <c:pt idx="35">
                  <c:v>-130.89919348320436</c:v>
                </c:pt>
                <c:pt idx="36">
                  <c:v>-107.94396820134295</c:v>
                </c:pt>
                <c:pt idx="37">
                  <c:v>-74.422435222084005</c:v>
                </c:pt>
                <c:pt idx="38">
                  <c:v>-33.61591575169075</c:v>
                </c:pt>
                <c:pt idx="39">
                  <c:v>10.48116376833522</c:v>
                </c:pt>
                <c:pt idx="40">
                  <c:v>53.552273952154515</c:v>
                </c:pt>
                <c:pt idx="41">
                  <c:v>91.38131444090449</c:v>
                </c:pt>
                <c:pt idx="42">
                  <c:v>120.26531518112253</c:v>
                </c:pt>
                <c:pt idx="43">
                  <c:v>137.37690893368961</c:v>
                </c:pt>
                <c:pt idx="44">
                  <c:v>141.04109367862026</c:v>
                </c:pt>
                <c:pt idx="45">
                  <c:v>130.89919348320444</c:v>
                </c:pt>
                <c:pt idx="46">
                  <c:v>107.94396820134313</c:v>
                </c:pt>
                <c:pt idx="47">
                  <c:v>74.422435222084019</c:v>
                </c:pt>
                <c:pt idx="48">
                  <c:v>33.615915751690522</c:v>
                </c:pt>
                <c:pt idx="49">
                  <c:v>-10.481163768335454</c:v>
                </c:pt>
                <c:pt idx="50">
                  <c:v>-53.552273952154728</c:v>
                </c:pt>
                <c:pt idx="51">
                  <c:v>-91.381314440904688</c:v>
                </c:pt>
                <c:pt idx="52">
                  <c:v>-120.2653151811228</c:v>
                </c:pt>
                <c:pt idx="53">
                  <c:v>-137.37690893368966</c:v>
                </c:pt>
                <c:pt idx="54">
                  <c:v>-141.04109367862026</c:v>
                </c:pt>
                <c:pt idx="55">
                  <c:v>-130.89919348320427</c:v>
                </c:pt>
                <c:pt idx="56">
                  <c:v>-107.94396820134297</c:v>
                </c:pt>
                <c:pt idx="57">
                  <c:v>-74.422435222083593</c:v>
                </c:pt>
                <c:pt idx="58">
                  <c:v>-33.615915751690544</c:v>
                </c:pt>
                <c:pt idx="59">
                  <c:v>10.481163768335687</c:v>
                </c:pt>
                <c:pt idx="60">
                  <c:v>53.552273952154714</c:v>
                </c:pt>
                <c:pt idx="61">
                  <c:v>91.38131444090466</c:v>
                </c:pt>
                <c:pt idx="62">
                  <c:v>120.26531518112252</c:v>
                </c:pt>
                <c:pt idx="63">
                  <c:v>137.37690893368966</c:v>
                </c:pt>
                <c:pt idx="64">
                  <c:v>141.04109367862026</c:v>
                </c:pt>
                <c:pt idx="65">
                  <c:v>130.89919348320427</c:v>
                </c:pt>
                <c:pt idx="66">
                  <c:v>107.94396820134266</c:v>
                </c:pt>
                <c:pt idx="67">
                  <c:v>74.422435222083607</c:v>
                </c:pt>
                <c:pt idx="68">
                  <c:v>33.615915751690068</c:v>
                </c:pt>
                <c:pt idx="69">
                  <c:v>-10.481163768335669</c:v>
                </c:pt>
                <c:pt idx="70">
                  <c:v>-53.552273952155161</c:v>
                </c:pt>
                <c:pt idx="71">
                  <c:v>-91.381314440904646</c:v>
                </c:pt>
                <c:pt idx="72">
                  <c:v>-120.26531518112279</c:v>
                </c:pt>
                <c:pt idx="73">
                  <c:v>-137.37690893368955</c:v>
                </c:pt>
                <c:pt idx="74">
                  <c:v>-141.04109367862026</c:v>
                </c:pt>
                <c:pt idx="75">
                  <c:v>-130.8991934832043</c:v>
                </c:pt>
                <c:pt idx="76">
                  <c:v>-107.94396820134301</c:v>
                </c:pt>
                <c:pt idx="77">
                  <c:v>-74.422435222083621</c:v>
                </c:pt>
                <c:pt idx="78">
                  <c:v>-33.615915751690579</c:v>
                </c:pt>
                <c:pt idx="79">
                  <c:v>10.481163768335652</c:v>
                </c:pt>
                <c:pt idx="80">
                  <c:v>53.552273952154678</c:v>
                </c:pt>
                <c:pt idx="81">
                  <c:v>91.381314440904632</c:v>
                </c:pt>
                <c:pt idx="82">
                  <c:v>120.26531518112277</c:v>
                </c:pt>
                <c:pt idx="83">
                  <c:v>137.37690893368966</c:v>
                </c:pt>
                <c:pt idx="84">
                  <c:v>141.04109367862023</c:v>
                </c:pt>
                <c:pt idx="85">
                  <c:v>130.8991934832043</c:v>
                </c:pt>
                <c:pt idx="86">
                  <c:v>107.94396820134268</c:v>
                </c:pt>
                <c:pt idx="87">
                  <c:v>74.422435222083209</c:v>
                </c:pt>
                <c:pt idx="88">
                  <c:v>33.615915751690594</c:v>
                </c:pt>
                <c:pt idx="89">
                  <c:v>-171.62891027167285</c:v>
                </c:pt>
                <c:pt idx="90">
                  <c:v>-201.76188464943527</c:v>
                </c:pt>
                <c:pt idx="91">
                  <c:v>-212.14500000000001</c:v>
                </c:pt>
                <c:pt idx="92">
                  <c:v>-201.76188464943544</c:v>
                </c:pt>
                <c:pt idx="93">
                  <c:v>-171.62891027167316</c:v>
                </c:pt>
                <c:pt idx="94">
                  <c:v>-124.69570234758693</c:v>
                </c:pt>
                <c:pt idx="95">
                  <c:v>-65.556410271673116</c:v>
                </c:pt>
                <c:pt idx="96">
                  <c:v>4.9378132442254311E-13</c:v>
                </c:pt>
                <c:pt idx="97">
                  <c:v>65.556410271673343</c:v>
                </c:pt>
                <c:pt idx="98">
                  <c:v>124.69570234758712</c:v>
                </c:pt>
                <c:pt idx="99">
                  <c:v>171.62891027167285</c:v>
                </c:pt>
                <c:pt idx="100">
                  <c:v>201.76188464943527</c:v>
                </c:pt>
                <c:pt idx="101">
                  <c:v>212.14500000000001</c:v>
                </c:pt>
                <c:pt idx="102">
                  <c:v>201.76188464943522</c:v>
                </c:pt>
                <c:pt idx="103">
                  <c:v>171.62891027167271</c:v>
                </c:pt>
                <c:pt idx="104">
                  <c:v>124.69570234758574</c:v>
                </c:pt>
                <c:pt idx="105">
                  <c:v>65.55641027167313</c:v>
                </c:pt>
                <c:pt idx="106">
                  <c:v>-4.6779041252588413E-13</c:v>
                </c:pt>
                <c:pt idx="107">
                  <c:v>-65.55641027167259</c:v>
                </c:pt>
                <c:pt idx="108">
                  <c:v>-124.69570234758649</c:v>
                </c:pt>
                <c:pt idx="109">
                  <c:v>-171.62891027167328</c:v>
                </c:pt>
                <c:pt idx="110">
                  <c:v>-201.7618846494355</c:v>
                </c:pt>
                <c:pt idx="111">
                  <c:v>-212.14500000000001</c:v>
                </c:pt>
                <c:pt idx="112">
                  <c:v>-201.76188464943544</c:v>
                </c:pt>
                <c:pt idx="113">
                  <c:v>-171.62891027167319</c:v>
                </c:pt>
                <c:pt idx="114">
                  <c:v>-124.69570234758636</c:v>
                </c:pt>
                <c:pt idx="115">
                  <c:v>-65.556410271672448</c:v>
                </c:pt>
                <c:pt idx="116">
                  <c:v>-3.1189094275990705E-13</c:v>
                </c:pt>
                <c:pt idx="117">
                  <c:v>65.556410271673286</c:v>
                </c:pt>
                <c:pt idx="118">
                  <c:v>124.69570234758707</c:v>
                </c:pt>
                <c:pt idx="119">
                  <c:v>171.6289102716737</c:v>
                </c:pt>
                <c:pt idx="120">
                  <c:v>201.76188464943527</c:v>
                </c:pt>
                <c:pt idx="121">
                  <c:v>212.14500000000001</c:v>
                </c:pt>
                <c:pt idx="122">
                  <c:v>201.76188464943525</c:v>
                </c:pt>
                <c:pt idx="123">
                  <c:v>171.62891027167365</c:v>
                </c:pt>
                <c:pt idx="124">
                  <c:v>124.69570234758697</c:v>
                </c:pt>
                <c:pt idx="125">
                  <c:v>65.556410271673187</c:v>
                </c:pt>
                <c:pt idx="126">
                  <c:v>-4.1580858873256633E-13</c:v>
                </c:pt>
                <c:pt idx="127">
                  <c:v>-65.556410271673968</c:v>
                </c:pt>
                <c:pt idx="128">
                  <c:v>-124.69570234758643</c:v>
                </c:pt>
                <c:pt idx="129">
                  <c:v>-171.62891027167325</c:v>
                </c:pt>
                <c:pt idx="130">
                  <c:v>-201.7618846494355</c:v>
                </c:pt>
                <c:pt idx="131">
                  <c:v>-212.14500000000001</c:v>
                </c:pt>
                <c:pt idx="132">
                  <c:v>-201.76188464943499</c:v>
                </c:pt>
                <c:pt idx="133">
                  <c:v>-171.62891027167322</c:v>
                </c:pt>
                <c:pt idx="134">
                  <c:v>-124.69570234758639</c:v>
                </c:pt>
                <c:pt idx="135">
                  <c:v>-65.55641027167249</c:v>
                </c:pt>
                <c:pt idx="136">
                  <c:v>1.1435081202250397E-12</c:v>
                </c:pt>
                <c:pt idx="137">
                  <c:v>65.556410271673229</c:v>
                </c:pt>
                <c:pt idx="138">
                  <c:v>124.69570234758703</c:v>
                </c:pt>
                <c:pt idx="139">
                  <c:v>171.62891027167367</c:v>
                </c:pt>
                <c:pt idx="140">
                  <c:v>201.7618846494357</c:v>
                </c:pt>
                <c:pt idx="141">
                  <c:v>212.14500000000001</c:v>
                </c:pt>
                <c:pt idx="142">
                  <c:v>201.76188464943525</c:v>
                </c:pt>
                <c:pt idx="143">
                  <c:v>171.62891027167279</c:v>
                </c:pt>
                <c:pt idx="144">
                  <c:v>124.69570234758581</c:v>
                </c:pt>
                <c:pt idx="145">
                  <c:v>65.556410271673229</c:v>
                </c:pt>
                <c:pt idx="146">
                  <c:v>1.1435541218390162E-12</c:v>
                </c:pt>
                <c:pt idx="147">
                  <c:v>-65.55641027167249</c:v>
                </c:pt>
                <c:pt idx="148">
                  <c:v>-124.69570234758639</c:v>
                </c:pt>
                <c:pt idx="149">
                  <c:v>-171.62891027167322</c:v>
                </c:pt>
                <c:pt idx="150">
                  <c:v>-201.76188464943547</c:v>
                </c:pt>
                <c:pt idx="151">
                  <c:v>-212.14500000000001</c:v>
                </c:pt>
                <c:pt idx="152">
                  <c:v>-201.7618846494355</c:v>
                </c:pt>
                <c:pt idx="153">
                  <c:v>-171.62891027167325</c:v>
                </c:pt>
                <c:pt idx="154">
                  <c:v>-124.69570234758643</c:v>
                </c:pt>
                <c:pt idx="155">
                  <c:v>-65.556410271672547</c:v>
                </c:pt>
                <c:pt idx="156">
                  <c:v>-4.1585459034654272E-13</c:v>
                </c:pt>
                <c:pt idx="157">
                  <c:v>65.556410271673187</c:v>
                </c:pt>
                <c:pt idx="158">
                  <c:v>124.69570234758697</c:v>
                </c:pt>
                <c:pt idx="159">
                  <c:v>171.62891027167365</c:v>
                </c:pt>
                <c:pt idx="160">
                  <c:v>201.76188464943525</c:v>
                </c:pt>
                <c:pt idx="161">
                  <c:v>212.14500000000001</c:v>
                </c:pt>
                <c:pt idx="162">
                  <c:v>201.76188464943527</c:v>
                </c:pt>
                <c:pt idx="163">
                  <c:v>171.62891027167282</c:v>
                </c:pt>
                <c:pt idx="164">
                  <c:v>124.69570234758585</c:v>
                </c:pt>
                <c:pt idx="165">
                  <c:v>65.556410271673286</c:v>
                </c:pt>
                <c:pt idx="166">
                  <c:v>-3.1184494114593066E-13</c:v>
                </c:pt>
                <c:pt idx="167">
                  <c:v>-65.556410271673883</c:v>
                </c:pt>
                <c:pt idx="168">
                  <c:v>-124.69570234758757</c:v>
                </c:pt>
                <c:pt idx="169">
                  <c:v>-171.62891027167407</c:v>
                </c:pt>
                <c:pt idx="170">
                  <c:v>-201.76188464943544</c:v>
                </c:pt>
                <c:pt idx="171">
                  <c:v>-212.14500000000001</c:v>
                </c:pt>
                <c:pt idx="172">
                  <c:v>-201.76188464943505</c:v>
                </c:pt>
                <c:pt idx="173">
                  <c:v>-171.6289102716724</c:v>
                </c:pt>
                <c:pt idx="174">
                  <c:v>-124.69570234758525</c:v>
                </c:pt>
                <c:pt idx="175">
                  <c:v>-65.55641027167259</c:v>
                </c:pt>
                <c:pt idx="176">
                  <c:v>-4.6783641413986053E-13</c:v>
                </c:pt>
                <c:pt idx="177">
                  <c:v>65.55641027167313</c:v>
                </c:pt>
                <c:pt idx="178">
                  <c:v>124.69570234758574</c:v>
                </c:pt>
                <c:pt idx="179">
                  <c:v>171.62891027167271</c:v>
                </c:pt>
                <c:pt idx="180">
                  <c:v>201.76188464943522</c:v>
                </c:pt>
                <c:pt idx="181">
                  <c:v>212.14500000000001</c:v>
                </c:pt>
                <c:pt idx="182">
                  <c:v>201.76188464943527</c:v>
                </c:pt>
                <c:pt idx="183">
                  <c:v>171.62891027167373</c:v>
                </c:pt>
                <c:pt idx="184">
                  <c:v>124.69570234758712</c:v>
                </c:pt>
                <c:pt idx="185">
                  <c:v>65.556410271673343</c:v>
                </c:pt>
                <c:pt idx="186">
                  <c:v>-2.598631173526128E-13</c:v>
                </c:pt>
                <c:pt idx="187">
                  <c:v>-65.556410271673826</c:v>
                </c:pt>
                <c:pt idx="188">
                  <c:v>-124.69570234758632</c:v>
                </c:pt>
                <c:pt idx="189">
                  <c:v>-171.62891027167316</c:v>
                </c:pt>
                <c:pt idx="190">
                  <c:v>-201.76188464943544</c:v>
                </c:pt>
                <c:pt idx="191">
                  <c:v>-212.14500000000001</c:v>
                </c:pt>
                <c:pt idx="192">
                  <c:v>-201.76188464943505</c:v>
                </c:pt>
                <c:pt idx="193">
                  <c:v>-171.62891027167331</c:v>
                </c:pt>
                <c:pt idx="194">
                  <c:v>-124.69570234758653</c:v>
                </c:pt>
                <c:pt idx="195">
                  <c:v>-65.556410271672647</c:v>
                </c:pt>
                <c:pt idx="196">
                  <c:v>9.8756264884508623E-13</c:v>
                </c:pt>
                <c:pt idx="197">
                  <c:v>65.556410271674508</c:v>
                </c:pt>
                <c:pt idx="198">
                  <c:v>124.6957023475869</c:v>
                </c:pt>
                <c:pt idx="199">
                  <c:v>171.62891027167359</c:v>
                </c:pt>
                <c:pt idx="200">
                  <c:v>201.76188464943567</c:v>
                </c:pt>
                <c:pt idx="201">
                  <c:v>212.14500000000001</c:v>
                </c:pt>
                <c:pt idx="202">
                  <c:v>201.76188464943576</c:v>
                </c:pt>
                <c:pt idx="203">
                  <c:v>171.628910271672</c:v>
                </c:pt>
                <c:pt idx="204">
                  <c:v>124.69570234758714</c:v>
                </c:pt>
                <c:pt idx="205">
                  <c:v>65.556410271670515</c:v>
                </c:pt>
                <c:pt idx="206">
                  <c:v>-2.0788129355929497E-13</c:v>
                </c:pt>
                <c:pt idx="207">
                  <c:v>-65.55641027167664</c:v>
                </c:pt>
                <c:pt idx="208">
                  <c:v>-124.6957023475875</c:v>
                </c:pt>
                <c:pt idx="209">
                  <c:v>-171.62891027167225</c:v>
                </c:pt>
                <c:pt idx="210">
                  <c:v>-201.7618846494359</c:v>
                </c:pt>
                <c:pt idx="211">
                  <c:v>-212.14500000000001</c:v>
                </c:pt>
                <c:pt idx="212">
                  <c:v>-201.76188464943459</c:v>
                </c:pt>
                <c:pt idx="213">
                  <c:v>-171.62891027167333</c:v>
                </c:pt>
                <c:pt idx="214">
                  <c:v>-124.69570234758901</c:v>
                </c:pt>
                <c:pt idx="215">
                  <c:v>-65.556410271672689</c:v>
                </c:pt>
                <c:pt idx="216">
                  <c:v>-2.079180948504761E-12</c:v>
                </c:pt>
                <c:pt idx="217">
                  <c:v>65.556410271674466</c:v>
                </c:pt>
                <c:pt idx="218">
                  <c:v>124.69570234758564</c:v>
                </c:pt>
                <c:pt idx="219">
                  <c:v>171.62891027167444</c:v>
                </c:pt>
                <c:pt idx="220">
                  <c:v>201.76188464943519</c:v>
                </c:pt>
                <c:pt idx="221">
                  <c:v>212.14500000000001</c:v>
                </c:pt>
                <c:pt idx="222">
                  <c:v>201.7618846494353</c:v>
                </c:pt>
                <c:pt idx="223">
                  <c:v>171.6289102716747</c:v>
                </c:pt>
                <c:pt idx="224">
                  <c:v>124.69570234758599</c:v>
                </c:pt>
                <c:pt idx="225">
                  <c:v>65.556410271674864</c:v>
                </c:pt>
                <c:pt idx="226">
                  <c:v>-1.6632803565442418E-12</c:v>
                </c:pt>
                <c:pt idx="227">
                  <c:v>-65.556410271672306</c:v>
                </c:pt>
                <c:pt idx="228">
                  <c:v>-124.69570234758868</c:v>
                </c:pt>
                <c:pt idx="229">
                  <c:v>-171.62891027167311</c:v>
                </c:pt>
                <c:pt idx="230">
                  <c:v>-201.76188464943635</c:v>
                </c:pt>
                <c:pt idx="231">
                  <c:v>-212.14500000000001</c:v>
                </c:pt>
                <c:pt idx="232">
                  <c:v>-201.76188464943601</c:v>
                </c:pt>
                <c:pt idx="233">
                  <c:v>-171.62891027167248</c:v>
                </c:pt>
                <c:pt idx="234">
                  <c:v>-124.69570234758783</c:v>
                </c:pt>
                <c:pt idx="235">
                  <c:v>-65.556410271671311</c:v>
                </c:pt>
                <c:pt idx="236">
                  <c:v>-6.237818855198141E-13</c:v>
                </c:pt>
                <c:pt idx="237">
                  <c:v>65.556410271675858</c:v>
                </c:pt>
                <c:pt idx="238">
                  <c:v>124.69570234758682</c:v>
                </c:pt>
                <c:pt idx="239">
                  <c:v>171.6289102716753</c:v>
                </c:pt>
                <c:pt idx="240">
                  <c:v>201.76188464943564</c:v>
                </c:pt>
                <c:pt idx="241">
                  <c:v>212.14500000000001</c:v>
                </c:pt>
                <c:pt idx="242">
                  <c:v>201.76188464943485</c:v>
                </c:pt>
                <c:pt idx="243">
                  <c:v>171.62891027167382</c:v>
                </c:pt>
                <c:pt idx="244">
                  <c:v>124.69570234758481</c:v>
                </c:pt>
                <c:pt idx="245">
                  <c:v>65.556410271673471</c:v>
                </c:pt>
                <c:pt idx="246">
                  <c:v>2.91084412758387E-12</c:v>
                </c:pt>
                <c:pt idx="247">
                  <c:v>-65.556410271673684</c:v>
                </c:pt>
                <c:pt idx="248">
                  <c:v>-124.69570234758498</c:v>
                </c:pt>
                <c:pt idx="249">
                  <c:v>-171.62891027167393</c:v>
                </c:pt>
                <c:pt idx="250">
                  <c:v>-201.76188464943493</c:v>
                </c:pt>
                <c:pt idx="251">
                  <c:v>-212.14500000000001</c:v>
                </c:pt>
                <c:pt idx="252">
                  <c:v>-201.76188464943556</c:v>
                </c:pt>
                <c:pt idx="253">
                  <c:v>-171.62891027167163</c:v>
                </c:pt>
                <c:pt idx="254">
                  <c:v>-124.69570234758665</c:v>
                </c:pt>
                <c:pt idx="255">
                  <c:v>-65.556410271675659</c:v>
                </c:pt>
                <c:pt idx="256">
                  <c:v>8.3161717746513265E-13</c:v>
                </c:pt>
                <c:pt idx="257">
                  <c:v>65.556410271671496</c:v>
                </c:pt>
                <c:pt idx="258">
                  <c:v>124.695702347588</c:v>
                </c:pt>
                <c:pt idx="259">
                  <c:v>171.62891027167259</c:v>
                </c:pt>
                <c:pt idx="260">
                  <c:v>201.7618846494361</c:v>
                </c:pt>
                <c:pt idx="261">
                  <c:v>212.14500000000001</c:v>
                </c:pt>
                <c:pt idx="262">
                  <c:v>201.76188464943442</c:v>
                </c:pt>
                <c:pt idx="263">
                  <c:v>171.62891027167296</c:v>
                </c:pt>
                <c:pt idx="264">
                  <c:v>124.69570234758363</c:v>
                </c:pt>
                <c:pt idx="265">
                  <c:v>65.556410271672107</c:v>
                </c:pt>
                <c:pt idx="266">
                  <c:v>1.4554450645989231E-12</c:v>
                </c:pt>
                <c:pt idx="267">
                  <c:v>-65.556410271675063</c:v>
                </c:pt>
                <c:pt idx="268">
                  <c:v>-124.69570234758615</c:v>
                </c:pt>
                <c:pt idx="269">
                  <c:v>-171.62891027167481</c:v>
                </c:pt>
                <c:pt idx="270">
                  <c:v>-201.76188464943539</c:v>
                </c:pt>
                <c:pt idx="271">
                  <c:v>-212.14500000000001</c:v>
                </c:pt>
                <c:pt idx="272">
                  <c:v>-201.76188464943513</c:v>
                </c:pt>
                <c:pt idx="273">
                  <c:v>-171.62891027167078</c:v>
                </c:pt>
                <c:pt idx="274">
                  <c:v>-124.69570234758547</c:v>
                </c:pt>
                <c:pt idx="275">
                  <c:v>-65.556410271674281</c:v>
                </c:pt>
                <c:pt idx="276">
                  <c:v>2.2870162404500794E-12</c:v>
                </c:pt>
                <c:pt idx="277">
                  <c:v>65.556410271672888</c:v>
                </c:pt>
                <c:pt idx="278">
                  <c:v>124.69570234758918</c:v>
                </c:pt>
                <c:pt idx="279">
                  <c:v>171.62891027167348</c:v>
                </c:pt>
                <c:pt idx="280">
                  <c:v>201.76188464943652</c:v>
                </c:pt>
                <c:pt idx="281">
                  <c:v>212.14500000000001</c:v>
                </c:pt>
                <c:pt idx="282">
                  <c:v>201.76188464943397</c:v>
                </c:pt>
                <c:pt idx="283">
                  <c:v>171.62891027167214</c:v>
                </c:pt>
                <c:pt idx="284">
                  <c:v>124.69570234758733</c:v>
                </c:pt>
                <c:pt idx="285">
                  <c:v>65.556410271670714</c:v>
                </c:pt>
                <c:pt idx="286">
                  <c:v>4.600161397638747E-17</c:v>
                </c:pt>
                <c:pt idx="287">
                  <c:v>-65.556410271676441</c:v>
                </c:pt>
                <c:pt idx="288">
                  <c:v>-124.69570234758733</c:v>
                </c:pt>
                <c:pt idx="289">
                  <c:v>-171.62891027167214</c:v>
                </c:pt>
                <c:pt idx="290">
                  <c:v>-201.76188464943581</c:v>
                </c:pt>
                <c:pt idx="291">
                  <c:v>-212.14500000000001</c:v>
                </c:pt>
                <c:pt idx="292">
                  <c:v>-201.76188464943652</c:v>
                </c:pt>
                <c:pt idx="293">
                  <c:v>-171.62891027167348</c:v>
                </c:pt>
                <c:pt idx="294">
                  <c:v>-124.69570234758918</c:v>
                </c:pt>
                <c:pt idx="295">
                  <c:v>-65.556410271672888</c:v>
                </c:pt>
                <c:pt idx="296">
                  <c:v>-2.2871082436780324E-12</c:v>
                </c:pt>
                <c:pt idx="297">
                  <c:v>65.556410271674267</c:v>
                </c:pt>
                <c:pt idx="298">
                  <c:v>124.69570234758547</c:v>
                </c:pt>
                <c:pt idx="299">
                  <c:v>171.62891027167433</c:v>
                </c:pt>
                <c:pt idx="300">
                  <c:v>201.76188464943513</c:v>
                </c:pt>
                <c:pt idx="301">
                  <c:v>212.14500000000001</c:v>
                </c:pt>
                <c:pt idx="302">
                  <c:v>201.76188464943539</c:v>
                </c:pt>
                <c:pt idx="303">
                  <c:v>171.62891027167481</c:v>
                </c:pt>
                <c:pt idx="304">
                  <c:v>124.69570234758615</c:v>
                </c:pt>
                <c:pt idx="305">
                  <c:v>65.556410271675063</c:v>
                </c:pt>
                <c:pt idx="306">
                  <c:v>-1.4553530613709704E-12</c:v>
                </c:pt>
                <c:pt idx="307">
                  <c:v>-65.556410271672107</c:v>
                </c:pt>
                <c:pt idx="308">
                  <c:v>-124.69570234758851</c:v>
                </c:pt>
                <c:pt idx="309">
                  <c:v>-171.62891027167296</c:v>
                </c:pt>
                <c:pt idx="310">
                  <c:v>-201.76188464943627</c:v>
                </c:pt>
                <c:pt idx="311">
                  <c:v>-212.14500000000001</c:v>
                </c:pt>
                <c:pt idx="312">
                  <c:v>-201.7618846494361</c:v>
                </c:pt>
                <c:pt idx="313">
                  <c:v>-171.62891027167259</c:v>
                </c:pt>
                <c:pt idx="314">
                  <c:v>-124.695702347588</c:v>
                </c:pt>
                <c:pt idx="315">
                  <c:v>-65.556410271671496</c:v>
                </c:pt>
                <c:pt idx="316">
                  <c:v>-8.3170918069308543E-13</c:v>
                </c:pt>
                <c:pt idx="317">
                  <c:v>65.556410271675659</c:v>
                </c:pt>
                <c:pt idx="318">
                  <c:v>124.69570234758665</c:v>
                </c:pt>
                <c:pt idx="319">
                  <c:v>171.62891027167515</c:v>
                </c:pt>
                <c:pt idx="320">
                  <c:v>201.76188464943556</c:v>
                </c:pt>
                <c:pt idx="321">
                  <c:v>212.14500000000001</c:v>
                </c:pt>
                <c:pt idx="322">
                  <c:v>201.76188464943493</c:v>
                </c:pt>
                <c:pt idx="323">
                  <c:v>171.62891027167393</c:v>
                </c:pt>
                <c:pt idx="324">
                  <c:v>124.69570234758498</c:v>
                </c:pt>
                <c:pt idx="325">
                  <c:v>65.556410271673684</c:v>
                </c:pt>
                <c:pt idx="326">
                  <c:v>-2.910752124355917E-12</c:v>
                </c:pt>
                <c:pt idx="327">
                  <c:v>-65.556410271673471</c:v>
                </c:pt>
                <c:pt idx="328">
                  <c:v>-124.69570234758969</c:v>
                </c:pt>
                <c:pt idx="329">
                  <c:v>-171.62891027167382</c:v>
                </c:pt>
                <c:pt idx="330">
                  <c:v>-201.76188464943485</c:v>
                </c:pt>
                <c:pt idx="331">
                  <c:v>-212.14500000000001</c:v>
                </c:pt>
                <c:pt idx="332">
                  <c:v>-201.76188464943564</c:v>
                </c:pt>
                <c:pt idx="333">
                  <c:v>-171.62891027167174</c:v>
                </c:pt>
                <c:pt idx="334">
                  <c:v>-124.69570234758682</c:v>
                </c:pt>
                <c:pt idx="335">
                  <c:v>-65.556410271670117</c:v>
                </c:pt>
                <c:pt idx="336">
                  <c:v>6.2368988229186132E-13</c:v>
                </c:pt>
                <c:pt idx="337">
                  <c:v>65.556410271677052</c:v>
                </c:pt>
                <c:pt idx="338">
                  <c:v>124.69570234758783</c:v>
                </c:pt>
                <c:pt idx="339">
                  <c:v>171.62891027167248</c:v>
                </c:pt>
                <c:pt idx="340">
                  <c:v>201.76188464943601</c:v>
                </c:pt>
                <c:pt idx="341">
                  <c:v>212.14500000000001</c:v>
                </c:pt>
                <c:pt idx="342">
                  <c:v>201.76188464943448</c:v>
                </c:pt>
                <c:pt idx="343">
                  <c:v>171.62891027167311</c:v>
                </c:pt>
                <c:pt idx="344">
                  <c:v>124.6957023475838</c:v>
                </c:pt>
                <c:pt idx="345">
                  <c:v>65.556410271672306</c:v>
                </c:pt>
                <c:pt idx="346">
                  <c:v>-4.3661511873408641E-12</c:v>
                </c:pt>
                <c:pt idx="347">
                  <c:v>-65.556410271674864</c:v>
                </c:pt>
                <c:pt idx="348">
                  <c:v>-124.69570234759087</c:v>
                </c:pt>
                <c:pt idx="349">
                  <c:v>-171.6289102716747</c:v>
                </c:pt>
                <c:pt idx="350">
                  <c:v>-201.7618846494353</c:v>
                </c:pt>
                <c:pt idx="351">
                  <c:v>-212.14500000000001</c:v>
                </c:pt>
                <c:pt idx="352">
                  <c:v>-201.76188464943519</c:v>
                </c:pt>
                <c:pt idx="353">
                  <c:v>-171.62891027167444</c:v>
                </c:pt>
                <c:pt idx="354">
                  <c:v>-124.69570234758564</c:v>
                </c:pt>
                <c:pt idx="355">
                  <c:v>-65.556410271674466</c:v>
                </c:pt>
                <c:pt idx="356">
                  <c:v>-3.9504346018362501E-12</c:v>
                </c:pt>
                <c:pt idx="357">
                  <c:v>65.556410271672689</c:v>
                </c:pt>
                <c:pt idx="358">
                  <c:v>124.69570234758413</c:v>
                </c:pt>
                <c:pt idx="359">
                  <c:v>171.62891027167333</c:v>
                </c:pt>
                <c:pt idx="360">
                  <c:v>201.76188464943459</c:v>
                </c:pt>
                <c:pt idx="361">
                  <c:v>212.14500000000001</c:v>
                </c:pt>
                <c:pt idx="362">
                  <c:v>201.7618846494359</c:v>
                </c:pt>
                <c:pt idx="363">
                  <c:v>171.62891027167225</c:v>
                </c:pt>
                <c:pt idx="364">
                  <c:v>124.6957023475875</c:v>
                </c:pt>
                <c:pt idx="365">
                  <c:v>65.556410271670913</c:v>
                </c:pt>
                <c:pt idx="366">
                  <c:v>2.0797329678724775E-13</c:v>
                </c:pt>
                <c:pt idx="367">
                  <c:v>-65.556410271670515</c:v>
                </c:pt>
                <c:pt idx="368">
                  <c:v>-124.69570234758714</c:v>
                </c:pt>
                <c:pt idx="369">
                  <c:v>-171.628910271672</c:v>
                </c:pt>
                <c:pt idx="370">
                  <c:v>-201.76188464943576</c:v>
                </c:pt>
                <c:pt idx="371">
                  <c:v>-212.14500000000001</c:v>
                </c:pt>
                <c:pt idx="372">
                  <c:v>-201.76188464943473</c:v>
                </c:pt>
                <c:pt idx="373">
                  <c:v>-171.62891027167359</c:v>
                </c:pt>
                <c:pt idx="374">
                  <c:v>-124.69570234758446</c:v>
                </c:pt>
                <c:pt idx="375">
                  <c:v>-65.556410271673087</c:v>
                </c:pt>
                <c:pt idx="376">
                  <c:v>-2.4950355388513034E-12</c:v>
                </c:pt>
                <c:pt idx="377">
                  <c:v>65.556410271674082</c:v>
                </c:pt>
                <c:pt idx="378">
                  <c:v>124.69570234758531</c:v>
                </c:pt>
                <c:pt idx="379">
                  <c:v>171.62891027167421</c:v>
                </c:pt>
                <c:pt idx="380">
                  <c:v>201.76188464943505</c:v>
                </c:pt>
                <c:pt idx="381">
                  <c:v>212.14500000000001</c:v>
                </c:pt>
                <c:pt idx="382">
                  <c:v>201.76188464943544</c:v>
                </c:pt>
                <c:pt idx="383">
                  <c:v>171.62891027167137</c:v>
                </c:pt>
                <c:pt idx="384">
                  <c:v>124.69570234758632</c:v>
                </c:pt>
                <c:pt idx="385">
                  <c:v>65.556410271675261</c:v>
                </c:pt>
                <c:pt idx="386">
                  <c:v>-1.2474257661976989E-12</c:v>
                </c:pt>
                <c:pt idx="387">
                  <c:v>-65.556410271671893</c:v>
                </c:pt>
                <c:pt idx="388">
                  <c:v>-124.69570234758832</c:v>
                </c:pt>
                <c:pt idx="389">
                  <c:v>-171.62891027167285</c:v>
                </c:pt>
                <c:pt idx="390">
                  <c:v>-201.76188464943621</c:v>
                </c:pt>
                <c:pt idx="391">
                  <c:v>-212.14500000000001</c:v>
                </c:pt>
                <c:pt idx="392">
                  <c:v>-201.76188464943431</c:v>
                </c:pt>
                <c:pt idx="393">
                  <c:v>-171.62891027167271</c:v>
                </c:pt>
                <c:pt idx="394">
                  <c:v>-124.69570234758328</c:v>
                </c:pt>
                <c:pt idx="395">
                  <c:v>-65.556410271671695</c:v>
                </c:pt>
                <c:pt idx="396">
                  <c:v>-1.0396364758663568E-12</c:v>
                </c:pt>
                <c:pt idx="397">
                  <c:v>65.55641027167546</c:v>
                </c:pt>
                <c:pt idx="398">
                  <c:v>124.69570234758649</c:v>
                </c:pt>
                <c:pt idx="399">
                  <c:v>171.62891027167504</c:v>
                </c:pt>
                <c:pt idx="400">
                  <c:v>201.7618846494355</c:v>
                </c:pt>
                <c:pt idx="401">
                  <c:v>212.14500000000001</c:v>
                </c:pt>
                <c:pt idx="402">
                  <c:v>201.76188464943499</c:v>
                </c:pt>
                <c:pt idx="403">
                  <c:v>171.62891027167052</c:v>
                </c:pt>
                <c:pt idx="404">
                  <c:v>124.69570234758514</c:v>
                </c:pt>
                <c:pt idx="405">
                  <c:v>65.556410271673883</c:v>
                </c:pt>
                <c:pt idx="406">
                  <c:v>-2.702824829182646E-12</c:v>
                </c:pt>
                <c:pt idx="407">
                  <c:v>-65.556410271673286</c:v>
                </c:pt>
                <c:pt idx="408">
                  <c:v>-124.6957023475895</c:v>
                </c:pt>
                <c:pt idx="409">
                  <c:v>-171.6289102716737</c:v>
                </c:pt>
                <c:pt idx="410">
                  <c:v>-201.76188464943664</c:v>
                </c:pt>
                <c:pt idx="411">
                  <c:v>-212.14500000000001</c:v>
                </c:pt>
                <c:pt idx="412">
                  <c:v>-201.76188464943382</c:v>
                </c:pt>
                <c:pt idx="413">
                  <c:v>-171.62891027167186</c:v>
                </c:pt>
                <c:pt idx="414">
                  <c:v>-124.6957023475821</c:v>
                </c:pt>
                <c:pt idx="415">
                  <c:v>-65.556410271670316</c:v>
                </c:pt>
                <c:pt idx="416">
                  <c:v>6.4452861342316487E-12</c:v>
                </c:pt>
                <c:pt idx="417">
                  <c:v>65.556410271671112</c:v>
                </c:pt>
                <c:pt idx="418">
                  <c:v>124.69570234758766</c:v>
                </c:pt>
                <c:pt idx="419">
                  <c:v>171.62891027167237</c:v>
                </c:pt>
                <c:pt idx="420">
                  <c:v>201.76188464943596</c:v>
                </c:pt>
                <c:pt idx="421">
                  <c:v>212.14500000000001</c:v>
                </c:pt>
                <c:pt idx="422">
                  <c:v>201.76188464943453</c:v>
                </c:pt>
                <c:pt idx="423">
                  <c:v>171.62891027167322</c:v>
                </c:pt>
                <c:pt idx="424">
                  <c:v>124.69570234758396</c:v>
                </c:pt>
                <c:pt idx="425">
                  <c:v>65.55641027167249</c:v>
                </c:pt>
                <c:pt idx="426">
                  <c:v>1.8712996549454658E-12</c:v>
                </c:pt>
                <c:pt idx="427">
                  <c:v>-65.556410271674665</c:v>
                </c:pt>
                <c:pt idx="428">
                  <c:v>-124.69570234758581</c:v>
                </c:pt>
                <c:pt idx="429">
                  <c:v>-171.62891027167456</c:v>
                </c:pt>
                <c:pt idx="430">
                  <c:v>-201.76188464943525</c:v>
                </c:pt>
                <c:pt idx="431">
                  <c:v>-212.14500000000001</c:v>
                </c:pt>
                <c:pt idx="432">
                  <c:v>-201.76188464943525</c:v>
                </c:pt>
                <c:pt idx="433">
                  <c:v>-171.62891027167103</c:v>
                </c:pt>
                <c:pt idx="434">
                  <c:v>-124.69570234758581</c:v>
                </c:pt>
                <c:pt idx="435">
                  <c:v>-65.556410271668938</c:v>
                </c:pt>
                <c:pt idx="436">
                  <c:v>1.8711616501035365E-12</c:v>
                </c:pt>
                <c:pt idx="437">
                  <c:v>65.55641027167249</c:v>
                </c:pt>
                <c:pt idx="438">
                  <c:v>124.69570234758883</c:v>
                </c:pt>
                <c:pt idx="439">
                  <c:v>171.62891027167322</c:v>
                </c:pt>
                <c:pt idx="440">
                  <c:v>201.76188464943641</c:v>
                </c:pt>
                <c:pt idx="441">
                  <c:v>212.14500000000001</c:v>
                </c:pt>
                <c:pt idx="442">
                  <c:v>201.76188464943408</c:v>
                </c:pt>
                <c:pt idx="443">
                  <c:v>171.62891027167237</c:v>
                </c:pt>
                <c:pt idx="444">
                  <c:v>124.69570234758278</c:v>
                </c:pt>
                <c:pt idx="445">
                  <c:v>65.556410271671112</c:v>
                </c:pt>
                <c:pt idx="446">
                  <c:v>4.1590059196051911E-13</c:v>
                </c:pt>
                <c:pt idx="447">
                  <c:v>-65.556410271676057</c:v>
                </c:pt>
                <c:pt idx="448">
                  <c:v>-124.69570234758697</c:v>
                </c:pt>
                <c:pt idx="449">
                  <c:v>-171.62891027167544</c:v>
                </c:pt>
                <c:pt idx="450">
                  <c:v>-201.7618846494357</c:v>
                </c:pt>
                <c:pt idx="451">
                  <c:v>-212.14500000000001</c:v>
                </c:pt>
                <c:pt idx="452">
                  <c:v>-201.76188464943479</c:v>
                </c:pt>
                <c:pt idx="453">
                  <c:v>-171.62891027167018</c:v>
                </c:pt>
                <c:pt idx="454">
                  <c:v>-124.69570234758463</c:v>
                </c:pt>
                <c:pt idx="455">
                  <c:v>-65.556410271673286</c:v>
                </c:pt>
                <c:pt idx="456">
                  <c:v>3.3265607130884836E-12</c:v>
                </c:pt>
                <c:pt idx="457">
                  <c:v>65.556410271673883</c:v>
                </c:pt>
                <c:pt idx="458">
                  <c:v>124.69570234759001</c:v>
                </c:pt>
                <c:pt idx="459">
                  <c:v>171.62891027167407</c:v>
                </c:pt>
                <c:pt idx="460">
                  <c:v>201.76188464943687</c:v>
                </c:pt>
                <c:pt idx="461">
                  <c:v>212.14500000000001</c:v>
                </c:pt>
                <c:pt idx="462">
                  <c:v>201.76188464943363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83-4A5E-A630-B8CFE97B3182}"/>
            </c:ext>
          </c:extLst>
        </c:ser>
        <c:ser>
          <c:idx val="1"/>
          <c:order val="1"/>
          <c:tx>
            <c:strRef>
              <c:f>'DFT Recurs'!$H$10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'DFT Recurs'!$A$11:$A$473</c:f>
              <c:numCache>
                <c:formatCode>General</c:formatCode>
                <c:ptCount val="463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9.0000000000000011E-3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1.3000000000000001E-2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1.8000000000000002E-2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2.6000000000000002E-2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3.6000000000000004E-2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4.3000000000000003E-2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5.1000000000000004E-2</c:v>
                </c:pt>
                <c:pt idx="52">
                  <c:v>5.2000000000000005E-2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5.9000000000000004E-2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7.1000000000000008E-2</c:v>
                </c:pt>
                <c:pt idx="72">
                  <c:v>7.2000000000000008E-2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8.6000000000000007E-2</c:v>
                </c:pt>
                <c:pt idx="87">
                  <c:v>8.7000000000000008E-2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0.10200000000000001</c:v>
                </c:pt>
                <c:pt idx="103">
                  <c:v>0.10300000000000001</c:v>
                </c:pt>
                <c:pt idx="104">
                  <c:v>0.10400000000000001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0.11800000000000001</c:v>
                </c:pt>
                <c:pt idx="119">
                  <c:v>0.11900000000000001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0.14100000000000001</c:v>
                </c:pt>
                <c:pt idx="142">
                  <c:v>0.14200000000000002</c:v>
                </c:pt>
                <c:pt idx="143">
                  <c:v>0.14300000000000002</c:v>
                </c:pt>
                <c:pt idx="144">
                  <c:v>0.14400000000000002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0.17200000000000001</c:v>
                </c:pt>
                <c:pt idx="173">
                  <c:v>0.17300000000000001</c:v>
                </c:pt>
                <c:pt idx="174">
                  <c:v>0.17400000000000002</c:v>
                </c:pt>
                <c:pt idx="175">
                  <c:v>0.17500000000000002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0.20400000000000001</c:v>
                </c:pt>
                <c:pt idx="205">
                  <c:v>0.20500000000000002</c:v>
                </c:pt>
                <c:pt idx="206">
                  <c:v>0.20600000000000002</c:v>
                </c:pt>
                <c:pt idx="207">
                  <c:v>0.20700000000000002</c:v>
                </c:pt>
                <c:pt idx="208">
                  <c:v>0.20800000000000002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0.23500000000000001</c:v>
                </c:pt>
                <c:pt idx="236">
                  <c:v>0.23600000000000002</c:v>
                </c:pt>
                <c:pt idx="237">
                  <c:v>0.23700000000000002</c:v>
                </c:pt>
                <c:pt idx="238">
                  <c:v>0.23800000000000002</c:v>
                </c:pt>
                <c:pt idx="239">
                  <c:v>0.23900000000000002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0.28200000000000003</c:v>
                </c:pt>
                <c:pt idx="283">
                  <c:v>0.28300000000000003</c:v>
                </c:pt>
                <c:pt idx="284">
                  <c:v>0.28400000000000003</c:v>
                </c:pt>
                <c:pt idx="285">
                  <c:v>0.28500000000000003</c:v>
                </c:pt>
                <c:pt idx="286">
                  <c:v>0.28600000000000003</c:v>
                </c:pt>
                <c:pt idx="287">
                  <c:v>0.28700000000000003</c:v>
                </c:pt>
                <c:pt idx="288">
                  <c:v>0.28800000000000003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0.34400000000000003</c:v>
                </c:pt>
                <c:pt idx="345">
                  <c:v>0.34500000000000003</c:v>
                </c:pt>
                <c:pt idx="346">
                  <c:v>0.34600000000000003</c:v>
                </c:pt>
                <c:pt idx="347">
                  <c:v>0.34700000000000003</c:v>
                </c:pt>
                <c:pt idx="348">
                  <c:v>0.34800000000000003</c:v>
                </c:pt>
                <c:pt idx="349">
                  <c:v>0.34900000000000003</c:v>
                </c:pt>
                <c:pt idx="350">
                  <c:v>0.35000000000000003</c:v>
                </c:pt>
                <c:pt idx="351">
                  <c:v>0.35100000000000003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0.40700000000000003</c:v>
                </c:pt>
                <c:pt idx="408">
                  <c:v>0.40800000000000003</c:v>
                </c:pt>
                <c:pt idx="409">
                  <c:v>0.40900000000000003</c:v>
                </c:pt>
                <c:pt idx="410">
                  <c:v>0.41000000000000003</c:v>
                </c:pt>
                <c:pt idx="411">
                  <c:v>0.41100000000000003</c:v>
                </c:pt>
                <c:pt idx="412">
                  <c:v>0.41200000000000003</c:v>
                </c:pt>
                <c:pt idx="413">
                  <c:v>0.41300000000000003</c:v>
                </c:pt>
                <c:pt idx="414">
                  <c:v>0.41400000000000003</c:v>
                </c:pt>
                <c:pt idx="415">
                  <c:v>0.41500000000000004</c:v>
                </c:pt>
                <c:pt idx="416">
                  <c:v>0.41600000000000004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</c:numCache>
            </c:numRef>
          </c:xVal>
          <c:yVal>
            <c:numRef>
              <c:f>'DFT Recurs'!$H$11:$H$473</c:f>
              <c:numCache>
                <c:formatCode>General</c:formatCode>
                <c:ptCount val="463"/>
                <c:pt idx="0">
                  <c:v>3.7866812911568508</c:v>
                </c:pt>
                <c:pt idx="1">
                  <c:v>10.13072655906635</c:v>
                </c:pt>
                <c:pt idx="2">
                  <c:v>18.209109863112641</c:v>
                </c:pt>
                <c:pt idx="3">
                  <c:v>26.978890352227936</c:v>
                </c:pt>
                <c:pt idx="4">
                  <c:v>35.325820762870428</c:v>
                </c:pt>
                <c:pt idx="5">
                  <c:v>42.239085327485277</c:v>
                </c:pt>
                <c:pt idx="6">
                  <c:v>47.003816934943949</c:v>
                </c:pt>
                <c:pt idx="7">
                  <c:v>49.407621780502971</c:v>
                </c:pt>
                <c:pt idx="8">
                  <c:v>49.95312088074963</c:v>
                </c:pt>
                <c:pt idx="9">
                  <c:v>50.002576500000004</c:v>
                </c:pt>
                <c:pt idx="10">
                  <c:v>51.555660832222124</c:v>
                </c:pt>
                <c:pt idx="11">
                  <c:v>56.247649306757431</c:v>
                </c:pt>
                <c:pt idx="12">
                  <c:v>64.155370351799789</c:v>
                </c:pt>
                <c:pt idx="13">
                  <c:v>73.863408020276836</c:v>
                </c:pt>
                <c:pt idx="14">
                  <c:v>83.489320039223955</c:v>
                </c:pt>
                <c:pt idx="15">
                  <c:v>91.451663669894302</c:v>
                </c:pt>
                <c:pt idx="16">
                  <c:v>96.805005575759751</c:v>
                </c:pt>
                <c:pt idx="17">
                  <c:v>99.397650976677696</c:v>
                </c:pt>
                <c:pt idx="18">
                  <c:v>99.952962043631572</c:v>
                </c:pt>
                <c:pt idx="19">
                  <c:v>100.00515300000001</c:v>
                </c:pt>
                <c:pt idx="20">
                  <c:v>100.00515300000001</c:v>
                </c:pt>
                <c:pt idx="21">
                  <c:v>100.00515300000001</c:v>
                </c:pt>
                <c:pt idx="22">
                  <c:v>100.00515300000001</c:v>
                </c:pt>
                <c:pt idx="23">
                  <c:v>100.00515300000001</c:v>
                </c:pt>
                <c:pt idx="24">
                  <c:v>100.00515300000001</c:v>
                </c:pt>
                <c:pt idx="25">
                  <c:v>100.00515300000001</c:v>
                </c:pt>
                <c:pt idx="26">
                  <c:v>100.00515299999998</c:v>
                </c:pt>
                <c:pt idx="27">
                  <c:v>100.00515299999998</c:v>
                </c:pt>
                <c:pt idx="28">
                  <c:v>100.00515299999998</c:v>
                </c:pt>
                <c:pt idx="29">
                  <c:v>100.00515299999998</c:v>
                </c:pt>
                <c:pt idx="30">
                  <c:v>100.00515299999998</c:v>
                </c:pt>
                <c:pt idx="31">
                  <c:v>100.00515299999998</c:v>
                </c:pt>
                <c:pt idx="32">
                  <c:v>100.00515299999998</c:v>
                </c:pt>
                <c:pt idx="33">
                  <c:v>100.00515299999998</c:v>
                </c:pt>
                <c:pt idx="34">
                  <c:v>100.00515299999998</c:v>
                </c:pt>
                <c:pt idx="35">
                  <c:v>100.00515299999998</c:v>
                </c:pt>
                <c:pt idx="36">
                  <c:v>100.00515299999996</c:v>
                </c:pt>
                <c:pt idx="37">
                  <c:v>100.00515299999998</c:v>
                </c:pt>
                <c:pt idx="38">
                  <c:v>100.00515299999996</c:v>
                </c:pt>
                <c:pt idx="39">
                  <c:v>100.00515299999996</c:v>
                </c:pt>
                <c:pt idx="40">
                  <c:v>100.00515299999996</c:v>
                </c:pt>
                <c:pt idx="41">
                  <c:v>100.00515299999998</c:v>
                </c:pt>
                <c:pt idx="42">
                  <c:v>100.00515299999998</c:v>
                </c:pt>
                <c:pt idx="43">
                  <c:v>100.00515299999998</c:v>
                </c:pt>
                <c:pt idx="44">
                  <c:v>100.00515299999998</c:v>
                </c:pt>
                <c:pt idx="45">
                  <c:v>100.00515299999998</c:v>
                </c:pt>
                <c:pt idx="46">
                  <c:v>100.00515299999999</c:v>
                </c:pt>
                <c:pt idx="47">
                  <c:v>100.00515299999999</c:v>
                </c:pt>
                <c:pt idx="48">
                  <c:v>100.00515299999998</c:v>
                </c:pt>
                <c:pt idx="49">
                  <c:v>100.00515299999998</c:v>
                </c:pt>
                <c:pt idx="50">
                  <c:v>100.00515299999998</c:v>
                </c:pt>
                <c:pt idx="51">
                  <c:v>100.00515300000001</c:v>
                </c:pt>
                <c:pt idx="52">
                  <c:v>100.00515300000002</c:v>
                </c:pt>
                <c:pt idx="53">
                  <c:v>100.00515300000002</c:v>
                </c:pt>
                <c:pt idx="54">
                  <c:v>100.00515300000002</c:v>
                </c:pt>
                <c:pt idx="55">
                  <c:v>100.00515300000002</c:v>
                </c:pt>
                <c:pt idx="56">
                  <c:v>100.00515300000002</c:v>
                </c:pt>
                <c:pt idx="57">
                  <c:v>100.00515300000001</c:v>
                </c:pt>
                <c:pt idx="58">
                  <c:v>100.00515300000001</c:v>
                </c:pt>
                <c:pt idx="59">
                  <c:v>100.00515300000001</c:v>
                </c:pt>
                <c:pt idx="60">
                  <c:v>100.00515300000001</c:v>
                </c:pt>
                <c:pt idx="61">
                  <c:v>100.00515300000002</c:v>
                </c:pt>
                <c:pt idx="62">
                  <c:v>100.00515300000002</c:v>
                </c:pt>
                <c:pt idx="63">
                  <c:v>100.00515300000002</c:v>
                </c:pt>
                <c:pt idx="64">
                  <c:v>100.00515300000002</c:v>
                </c:pt>
                <c:pt idx="65">
                  <c:v>100.00515300000001</c:v>
                </c:pt>
                <c:pt idx="66">
                  <c:v>100.00515299999998</c:v>
                </c:pt>
                <c:pt idx="67">
                  <c:v>100.00515299999995</c:v>
                </c:pt>
                <c:pt idx="68">
                  <c:v>100.00515299999995</c:v>
                </c:pt>
                <c:pt idx="69">
                  <c:v>100.00515299999996</c:v>
                </c:pt>
                <c:pt idx="70">
                  <c:v>100.00515299999998</c:v>
                </c:pt>
                <c:pt idx="71">
                  <c:v>100.00515299999998</c:v>
                </c:pt>
                <c:pt idx="72">
                  <c:v>100.00515299999998</c:v>
                </c:pt>
                <c:pt idx="73">
                  <c:v>100.00515299999996</c:v>
                </c:pt>
                <c:pt idx="74">
                  <c:v>100.00515299999996</c:v>
                </c:pt>
                <c:pt idx="75">
                  <c:v>100.00515299999996</c:v>
                </c:pt>
                <c:pt idx="76">
                  <c:v>100.00515299999996</c:v>
                </c:pt>
                <c:pt idx="77">
                  <c:v>100.00515299999996</c:v>
                </c:pt>
                <c:pt idx="78">
                  <c:v>100.00515299999996</c:v>
                </c:pt>
                <c:pt idx="79">
                  <c:v>100.00515299999996</c:v>
                </c:pt>
                <c:pt idx="80">
                  <c:v>100.00515299999996</c:v>
                </c:pt>
                <c:pt idx="81">
                  <c:v>100.00515299999996</c:v>
                </c:pt>
                <c:pt idx="82">
                  <c:v>100.00515299999998</c:v>
                </c:pt>
                <c:pt idx="83">
                  <c:v>100.00515299999998</c:v>
                </c:pt>
                <c:pt idx="84">
                  <c:v>100.00515299999998</c:v>
                </c:pt>
                <c:pt idx="85">
                  <c:v>100.00515299999998</c:v>
                </c:pt>
                <c:pt idx="86">
                  <c:v>100.00515299999998</c:v>
                </c:pt>
                <c:pt idx="87">
                  <c:v>100.00515299999996</c:v>
                </c:pt>
                <c:pt idx="88">
                  <c:v>100.00515299999998</c:v>
                </c:pt>
                <c:pt idx="89">
                  <c:v>101.48777990402576</c:v>
                </c:pt>
                <c:pt idx="90">
                  <c:v>106.91314865083866</c:v>
                </c:pt>
                <c:pt idx="91">
                  <c:v>113.73007842682232</c:v>
                </c:pt>
                <c:pt idx="92">
                  <c:v>119.23232988523952</c:v>
                </c:pt>
                <c:pt idx="93">
                  <c:v>121.65382951573012</c:v>
                </c:pt>
                <c:pt idx="94">
                  <c:v>120.56229912177476</c:v>
                </c:pt>
                <c:pt idx="95">
                  <c:v>116.919655123995</c:v>
                </c:pt>
                <c:pt idx="96">
                  <c:v>112.90444786323928</c:v>
                </c:pt>
                <c:pt idx="97">
                  <c:v>111.25035511234778</c:v>
                </c:pt>
                <c:pt idx="98">
                  <c:v>113.89585886148161</c:v>
                </c:pt>
                <c:pt idx="99">
                  <c:v>120.70381276231731</c:v>
                </c:pt>
                <c:pt idx="100">
                  <c:v>129.60843209306185</c:v>
                </c:pt>
                <c:pt idx="101">
                  <c:v>137.95519002820546</c:v>
                </c:pt>
                <c:pt idx="102">
                  <c:v>143.68552598986221</c:v>
                </c:pt>
                <c:pt idx="103">
                  <c:v>145.90234740965465</c:v>
                </c:pt>
                <c:pt idx="104">
                  <c:v>145.03953615481524</c:v>
                </c:pt>
                <c:pt idx="105">
                  <c:v>142.77564464592197</c:v>
                </c:pt>
                <c:pt idx="106">
                  <c:v>141.57922565273429</c:v>
                </c:pt>
                <c:pt idx="107">
                  <c:v>143.71356710595086</c:v>
                </c:pt>
                <c:pt idx="108">
                  <c:v>150.00772949999984</c:v>
                </c:pt>
                <c:pt idx="109">
                  <c:v>150.0077294999999</c:v>
                </c:pt>
                <c:pt idx="110">
                  <c:v>150.0077294999999</c:v>
                </c:pt>
                <c:pt idx="111">
                  <c:v>150.0077294999999</c:v>
                </c:pt>
                <c:pt idx="112">
                  <c:v>150.0077294999999</c:v>
                </c:pt>
                <c:pt idx="113">
                  <c:v>150.0077294999999</c:v>
                </c:pt>
                <c:pt idx="114">
                  <c:v>150.0077294999999</c:v>
                </c:pt>
                <c:pt idx="115">
                  <c:v>150.0077294999999</c:v>
                </c:pt>
                <c:pt idx="116">
                  <c:v>150.00772949999987</c:v>
                </c:pt>
                <c:pt idx="117">
                  <c:v>150.00772949999987</c:v>
                </c:pt>
                <c:pt idx="118">
                  <c:v>150.00772949999987</c:v>
                </c:pt>
                <c:pt idx="119">
                  <c:v>150.00772949999993</c:v>
                </c:pt>
                <c:pt idx="120">
                  <c:v>150.00772949999993</c:v>
                </c:pt>
                <c:pt idx="121">
                  <c:v>150.00772949999993</c:v>
                </c:pt>
                <c:pt idx="122">
                  <c:v>150.00772949999993</c:v>
                </c:pt>
                <c:pt idx="123">
                  <c:v>150.00772949999995</c:v>
                </c:pt>
                <c:pt idx="124">
                  <c:v>150.00772950000001</c:v>
                </c:pt>
                <c:pt idx="125">
                  <c:v>150.00772950000001</c:v>
                </c:pt>
                <c:pt idx="126">
                  <c:v>150.00772950000001</c:v>
                </c:pt>
                <c:pt idx="127">
                  <c:v>150.00772950000004</c:v>
                </c:pt>
                <c:pt idx="128">
                  <c:v>150.00772950000004</c:v>
                </c:pt>
                <c:pt idx="129">
                  <c:v>150.00772950000004</c:v>
                </c:pt>
                <c:pt idx="130">
                  <c:v>150.00772950000004</c:v>
                </c:pt>
                <c:pt idx="131">
                  <c:v>150.00772950000004</c:v>
                </c:pt>
                <c:pt idx="132">
                  <c:v>150.00772950000001</c:v>
                </c:pt>
                <c:pt idx="133">
                  <c:v>150.00772950000001</c:v>
                </c:pt>
                <c:pt idx="134">
                  <c:v>150.00772950000001</c:v>
                </c:pt>
                <c:pt idx="135">
                  <c:v>150.00772950000001</c:v>
                </c:pt>
                <c:pt idx="136">
                  <c:v>150.00772950000001</c:v>
                </c:pt>
                <c:pt idx="137">
                  <c:v>150.00772950000001</c:v>
                </c:pt>
                <c:pt idx="138">
                  <c:v>150.00772950000001</c:v>
                </c:pt>
                <c:pt idx="139">
                  <c:v>150.00772950000001</c:v>
                </c:pt>
                <c:pt idx="140">
                  <c:v>150.00772950000004</c:v>
                </c:pt>
                <c:pt idx="141">
                  <c:v>150.00772950000004</c:v>
                </c:pt>
                <c:pt idx="142">
                  <c:v>150.00772950000004</c:v>
                </c:pt>
                <c:pt idx="143">
                  <c:v>150.00772949999998</c:v>
                </c:pt>
                <c:pt idx="144">
                  <c:v>150.00772949999995</c:v>
                </c:pt>
                <c:pt idx="145">
                  <c:v>150.00772949999995</c:v>
                </c:pt>
                <c:pt idx="146">
                  <c:v>150.00772949999995</c:v>
                </c:pt>
                <c:pt idx="147">
                  <c:v>150.00772949999993</c:v>
                </c:pt>
                <c:pt idx="148">
                  <c:v>150.00772949999993</c:v>
                </c:pt>
                <c:pt idx="149">
                  <c:v>150.00772949999993</c:v>
                </c:pt>
                <c:pt idx="150">
                  <c:v>150.00772949999993</c:v>
                </c:pt>
                <c:pt idx="151">
                  <c:v>150.00772949999993</c:v>
                </c:pt>
                <c:pt idx="152">
                  <c:v>150.00772949999995</c:v>
                </c:pt>
                <c:pt idx="153">
                  <c:v>150.00772949999995</c:v>
                </c:pt>
                <c:pt idx="154">
                  <c:v>150.00772949999995</c:v>
                </c:pt>
                <c:pt idx="155">
                  <c:v>150.00772949999995</c:v>
                </c:pt>
                <c:pt idx="156">
                  <c:v>150.00772949999995</c:v>
                </c:pt>
                <c:pt idx="157">
                  <c:v>150.00772949999995</c:v>
                </c:pt>
                <c:pt idx="158">
                  <c:v>150.00772949999995</c:v>
                </c:pt>
                <c:pt idx="159">
                  <c:v>150.00772949999995</c:v>
                </c:pt>
                <c:pt idx="160">
                  <c:v>150.00772949999993</c:v>
                </c:pt>
                <c:pt idx="161">
                  <c:v>150.00772949999993</c:v>
                </c:pt>
                <c:pt idx="162">
                  <c:v>150.00772949999993</c:v>
                </c:pt>
                <c:pt idx="163">
                  <c:v>150.00772949999993</c:v>
                </c:pt>
                <c:pt idx="164">
                  <c:v>150.00772949999993</c:v>
                </c:pt>
                <c:pt idx="165">
                  <c:v>150.00772949999995</c:v>
                </c:pt>
                <c:pt idx="166">
                  <c:v>150.00772949999993</c:v>
                </c:pt>
                <c:pt idx="167">
                  <c:v>150.00772949999998</c:v>
                </c:pt>
                <c:pt idx="168">
                  <c:v>150.00772950000001</c:v>
                </c:pt>
                <c:pt idx="169">
                  <c:v>150.00772950000007</c:v>
                </c:pt>
                <c:pt idx="170">
                  <c:v>150.00772950000007</c:v>
                </c:pt>
                <c:pt idx="171">
                  <c:v>150.00772950000007</c:v>
                </c:pt>
                <c:pt idx="172">
                  <c:v>150.00772950000001</c:v>
                </c:pt>
                <c:pt idx="173">
                  <c:v>150.00772949999998</c:v>
                </c:pt>
                <c:pt idx="174">
                  <c:v>150.00772949999993</c:v>
                </c:pt>
                <c:pt idx="175">
                  <c:v>150.00772949999993</c:v>
                </c:pt>
                <c:pt idx="176">
                  <c:v>150.00772949999993</c:v>
                </c:pt>
                <c:pt idx="177">
                  <c:v>150.00772949999993</c:v>
                </c:pt>
                <c:pt idx="178">
                  <c:v>150.0077294999999</c:v>
                </c:pt>
                <c:pt idx="179">
                  <c:v>150.00772949999984</c:v>
                </c:pt>
                <c:pt idx="180">
                  <c:v>150.00772949999984</c:v>
                </c:pt>
                <c:pt idx="181">
                  <c:v>150.00772949999984</c:v>
                </c:pt>
                <c:pt idx="182">
                  <c:v>150.00772949999984</c:v>
                </c:pt>
                <c:pt idx="183">
                  <c:v>150.00772949999987</c:v>
                </c:pt>
                <c:pt idx="184">
                  <c:v>150.00772949999993</c:v>
                </c:pt>
                <c:pt idx="185">
                  <c:v>150.00772949999993</c:v>
                </c:pt>
                <c:pt idx="186">
                  <c:v>150.00772949999993</c:v>
                </c:pt>
                <c:pt idx="187">
                  <c:v>150.00772949999993</c:v>
                </c:pt>
                <c:pt idx="188">
                  <c:v>150.00772949999987</c:v>
                </c:pt>
                <c:pt idx="189">
                  <c:v>150.00772949999981</c:v>
                </c:pt>
                <c:pt idx="190">
                  <c:v>150.00772949999981</c:v>
                </c:pt>
                <c:pt idx="191">
                  <c:v>150.00772949999981</c:v>
                </c:pt>
                <c:pt idx="192">
                  <c:v>150.00772949999981</c:v>
                </c:pt>
                <c:pt idx="193">
                  <c:v>150.00772949999987</c:v>
                </c:pt>
                <c:pt idx="194">
                  <c:v>150.00772949999993</c:v>
                </c:pt>
                <c:pt idx="195">
                  <c:v>150.00772949999993</c:v>
                </c:pt>
                <c:pt idx="196">
                  <c:v>150.00772949999993</c:v>
                </c:pt>
                <c:pt idx="197">
                  <c:v>150.00772949999995</c:v>
                </c:pt>
                <c:pt idx="198">
                  <c:v>150.00772949999998</c:v>
                </c:pt>
                <c:pt idx="199">
                  <c:v>150.00772950000004</c:v>
                </c:pt>
                <c:pt idx="200">
                  <c:v>150.00772950000007</c:v>
                </c:pt>
                <c:pt idx="201">
                  <c:v>150.00772950000007</c:v>
                </c:pt>
                <c:pt idx="202">
                  <c:v>150.0077295000001</c:v>
                </c:pt>
                <c:pt idx="203">
                  <c:v>150.00772949999998</c:v>
                </c:pt>
                <c:pt idx="204">
                  <c:v>150.00772949999998</c:v>
                </c:pt>
                <c:pt idx="205">
                  <c:v>150.00772949999993</c:v>
                </c:pt>
                <c:pt idx="206">
                  <c:v>150.00772949999993</c:v>
                </c:pt>
                <c:pt idx="207">
                  <c:v>150.00772949999998</c:v>
                </c:pt>
                <c:pt idx="208">
                  <c:v>150.00772950000001</c:v>
                </c:pt>
                <c:pt idx="209">
                  <c:v>150.00772949999998</c:v>
                </c:pt>
                <c:pt idx="210">
                  <c:v>150.00772949999998</c:v>
                </c:pt>
                <c:pt idx="211">
                  <c:v>150.00772949999998</c:v>
                </c:pt>
                <c:pt idx="212">
                  <c:v>150.00772949999995</c:v>
                </c:pt>
                <c:pt idx="213">
                  <c:v>150.00772949999995</c:v>
                </c:pt>
                <c:pt idx="214">
                  <c:v>150.00772950000007</c:v>
                </c:pt>
                <c:pt idx="215">
                  <c:v>150.00772950000007</c:v>
                </c:pt>
                <c:pt idx="216">
                  <c:v>150.00772950000007</c:v>
                </c:pt>
                <c:pt idx="217">
                  <c:v>150.00772950000007</c:v>
                </c:pt>
                <c:pt idx="218">
                  <c:v>150.00772950000001</c:v>
                </c:pt>
                <c:pt idx="219">
                  <c:v>150.00772950000007</c:v>
                </c:pt>
                <c:pt idx="220">
                  <c:v>150.00772950000004</c:v>
                </c:pt>
                <c:pt idx="221">
                  <c:v>150.00772950000004</c:v>
                </c:pt>
                <c:pt idx="222">
                  <c:v>150.00772949999998</c:v>
                </c:pt>
                <c:pt idx="223">
                  <c:v>150.00772950000015</c:v>
                </c:pt>
                <c:pt idx="224">
                  <c:v>150.0077295000001</c:v>
                </c:pt>
                <c:pt idx="225">
                  <c:v>150.00772950000021</c:v>
                </c:pt>
                <c:pt idx="226">
                  <c:v>150.00772950000018</c:v>
                </c:pt>
                <c:pt idx="227">
                  <c:v>150.00772950000012</c:v>
                </c:pt>
                <c:pt idx="228">
                  <c:v>150.00772950000015</c:v>
                </c:pt>
                <c:pt idx="229">
                  <c:v>150.00772950000021</c:v>
                </c:pt>
                <c:pt idx="230">
                  <c:v>150.00772950000024</c:v>
                </c:pt>
                <c:pt idx="231">
                  <c:v>150.00772950000024</c:v>
                </c:pt>
                <c:pt idx="232">
                  <c:v>150.00772950000032</c:v>
                </c:pt>
                <c:pt idx="233">
                  <c:v>150.00772950000027</c:v>
                </c:pt>
                <c:pt idx="234">
                  <c:v>150.00772950000024</c:v>
                </c:pt>
                <c:pt idx="235">
                  <c:v>150.00772950000018</c:v>
                </c:pt>
                <c:pt idx="236">
                  <c:v>150.00772950000018</c:v>
                </c:pt>
                <c:pt idx="237">
                  <c:v>150.00772950000024</c:v>
                </c:pt>
                <c:pt idx="238">
                  <c:v>150.00772950000027</c:v>
                </c:pt>
                <c:pt idx="239">
                  <c:v>150.00772950000032</c:v>
                </c:pt>
                <c:pt idx="240">
                  <c:v>150.00772950000032</c:v>
                </c:pt>
                <c:pt idx="241">
                  <c:v>150.00772950000032</c:v>
                </c:pt>
                <c:pt idx="242">
                  <c:v>150.00772950000032</c:v>
                </c:pt>
                <c:pt idx="243">
                  <c:v>150.00772950000027</c:v>
                </c:pt>
                <c:pt idx="244">
                  <c:v>150.00772950000021</c:v>
                </c:pt>
                <c:pt idx="245">
                  <c:v>150.00772950000018</c:v>
                </c:pt>
                <c:pt idx="246">
                  <c:v>150.00772950000015</c:v>
                </c:pt>
                <c:pt idx="247">
                  <c:v>150.00772950000018</c:v>
                </c:pt>
                <c:pt idx="248">
                  <c:v>150.00772950000004</c:v>
                </c:pt>
                <c:pt idx="249">
                  <c:v>150.0077295000001</c:v>
                </c:pt>
                <c:pt idx="250">
                  <c:v>150.00772949999998</c:v>
                </c:pt>
                <c:pt idx="251">
                  <c:v>150.00772949999998</c:v>
                </c:pt>
                <c:pt idx="252">
                  <c:v>150.00772949999998</c:v>
                </c:pt>
                <c:pt idx="253">
                  <c:v>150.0077294999999</c:v>
                </c:pt>
                <c:pt idx="254">
                  <c:v>150.00772949999987</c:v>
                </c:pt>
                <c:pt idx="255">
                  <c:v>150.00772949999995</c:v>
                </c:pt>
                <c:pt idx="256">
                  <c:v>150.00772949999995</c:v>
                </c:pt>
                <c:pt idx="257">
                  <c:v>150.00772949999987</c:v>
                </c:pt>
                <c:pt idx="258">
                  <c:v>150.0077294999999</c:v>
                </c:pt>
                <c:pt idx="259">
                  <c:v>150.00772949999975</c:v>
                </c:pt>
                <c:pt idx="260">
                  <c:v>150.00772949999978</c:v>
                </c:pt>
                <c:pt idx="261">
                  <c:v>150.00772949999978</c:v>
                </c:pt>
                <c:pt idx="262">
                  <c:v>150.00772949999975</c:v>
                </c:pt>
                <c:pt idx="263">
                  <c:v>150.00772949999973</c:v>
                </c:pt>
                <c:pt idx="264">
                  <c:v>150.00772949999967</c:v>
                </c:pt>
                <c:pt idx="265">
                  <c:v>150.00772949999964</c:v>
                </c:pt>
                <c:pt idx="266">
                  <c:v>150.00772949999964</c:v>
                </c:pt>
                <c:pt idx="267">
                  <c:v>150.00772949999964</c:v>
                </c:pt>
                <c:pt idx="268">
                  <c:v>150.0077294999997</c:v>
                </c:pt>
                <c:pt idx="269">
                  <c:v>150.00772949999975</c:v>
                </c:pt>
                <c:pt idx="270">
                  <c:v>150.00772949999978</c:v>
                </c:pt>
                <c:pt idx="271">
                  <c:v>150.00772949999978</c:v>
                </c:pt>
                <c:pt idx="272">
                  <c:v>150.00772949999973</c:v>
                </c:pt>
                <c:pt idx="273">
                  <c:v>150.0077294999997</c:v>
                </c:pt>
                <c:pt idx="274">
                  <c:v>150.00772949999964</c:v>
                </c:pt>
                <c:pt idx="275">
                  <c:v>150.00772949999961</c:v>
                </c:pt>
                <c:pt idx="276">
                  <c:v>150.00772949999961</c:v>
                </c:pt>
                <c:pt idx="277">
                  <c:v>150.00772949999964</c:v>
                </c:pt>
                <c:pt idx="278">
                  <c:v>150.00772949999967</c:v>
                </c:pt>
                <c:pt idx="279">
                  <c:v>150.00772949999973</c:v>
                </c:pt>
                <c:pt idx="280">
                  <c:v>150.00772949999975</c:v>
                </c:pt>
                <c:pt idx="281">
                  <c:v>150.00772949999975</c:v>
                </c:pt>
                <c:pt idx="282">
                  <c:v>150.00772949999973</c:v>
                </c:pt>
                <c:pt idx="283">
                  <c:v>150.00772949999967</c:v>
                </c:pt>
                <c:pt idx="284">
                  <c:v>150.00772949999984</c:v>
                </c:pt>
                <c:pt idx="285">
                  <c:v>150.00772949999981</c:v>
                </c:pt>
                <c:pt idx="286">
                  <c:v>150.00772949999981</c:v>
                </c:pt>
                <c:pt idx="287">
                  <c:v>150.00772949999984</c:v>
                </c:pt>
                <c:pt idx="288">
                  <c:v>150.00772949999987</c:v>
                </c:pt>
                <c:pt idx="289">
                  <c:v>150.00772949999973</c:v>
                </c:pt>
                <c:pt idx="290">
                  <c:v>150.00772949999975</c:v>
                </c:pt>
                <c:pt idx="291">
                  <c:v>150.00772949999975</c:v>
                </c:pt>
                <c:pt idx="292">
                  <c:v>150.00772949999987</c:v>
                </c:pt>
                <c:pt idx="293">
                  <c:v>150.00772950000001</c:v>
                </c:pt>
                <c:pt idx="294">
                  <c:v>150.00772950000015</c:v>
                </c:pt>
                <c:pt idx="295">
                  <c:v>150.00772950000015</c:v>
                </c:pt>
                <c:pt idx="296">
                  <c:v>150.00772950000012</c:v>
                </c:pt>
                <c:pt idx="297">
                  <c:v>150.00772950000015</c:v>
                </c:pt>
                <c:pt idx="298">
                  <c:v>150.00772950000001</c:v>
                </c:pt>
                <c:pt idx="299">
                  <c:v>150.00772950000007</c:v>
                </c:pt>
                <c:pt idx="300">
                  <c:v>150.00772949999998</c:v>
                </c:pt>
                <c:pt idx="301">
                  <c:v>150.00772949999998</c:v>
                </c:pt>
                <c:pt idx="302">
                  <c:v>150.0077295000001</c:v>
                </c:pt>
                <c:pt idx="303">
                  <c:v>150.00772950000024</c:v>
                </c:pt>
                <c:pt idx="304">
                  <c:v>150.00772950000018</c:v>
                </c:pt>
                <c:pt idx="305">
                  <c:v>150.00772950000027</c:v>
                </c:pt>
                <c:pt idx="306">
                  <c:v>150.00772950000027</c:v>
                </c:pt>
                <c:pt idx="307">
                  <c:v>150.00772950000018</c:v>
                </c:pt>
                <c:pt idx="308">
                  <c:v>150.00772950000024</c:v>
                </c:pt>
                <c:pt idx="309">
                  <c:v>150.00772950000027</c:v>
                </c:pt>
                <c:pt idx="310">
                  <c:v>150.00772950000029</c:v>
                </c:pt>
                <c:pt idx="311">
                  <c:v>150.00772950000029</c:v>
                </c:pt>
                <c:pt idx="312">
                  <c:v>150.00772950000027</c:v>
                </c:pt>
                <c:pt idx="313">
                  <c:v>150.00772950000024</c:v>
                </c:pt>
                <c:pt idx="314">
                  <c:v>150.00772950000018</c:v>
                </c:pt>
                <c:pt idx="315">
                  <c:v>150.00772950000015</c:v>
                </c:pt>
                <c:pt idx="316">
                  <c:v>150.00772950000015</c:v>
                </c:pt>
                <c:pt idx="317">
                  <c:v>150.00772950000018</c:v>
                </c:pt>
                <c:pt idx="318">
                  <c:v>150.00772950000021</c:v>
                </c:pt>
                <c:pt idx="319">
                  <c:v>150.00772950000027</c:v>
                </c:pt>
                <c:pt idx="320">
                  <c:v>150.00772950000029</c:v>
                </c:pt>
                <c:pt idx="321">
                  <c:v>150.00772950000029</c:v>
                </c:pt>
                <c:pt idx="322">
                  <c:v>150.00772950000024</c:v>
                </c:pt>
                <c:pt idx="323">
                  <c:v>150.00772950000021</c:v>
                </c:pt>
                <c:pt idx="324">
                  <c:v>150.00772950000015</c:v>
                </c:pt>
                <c:pt idx="325">
                  <c:v>150.00772950000015</c:v>
                </c:pt>
                <c:pt idx="326">
                  <c:v>150.00772950000012</c:v>
                </c:pt>
                <c:pt idx="327">
                  <c:v>150.00772950000015</c:v>
                </c:pt>
                <c:pt idx="328">
                  <c:v>150.00772950000021</c:v>
                </c:pt>
                <c:pt idx="329">
                  <c:v>150.00772950000024</c:v>
                </c:pt>
                <c:pt idx="330">
                  <c:v>150.00772950000012</c:v>
                </c:pt>
                <c:pt idx="331">
                  <c:v>150.00772950000012</c:v>
                </c:pt>
                <c:pt idx="332">
                  <c:v>150.0077295000001</c:v>
                </c:pt>
                <c:pt idx="333">
                  <c:v>150.00772950000007</c:v>
                </c:pt>
                <c:pt idx="334">
                  <c:v>150.00772950000001</c:v>
                </c:pt>
                <c:pt idx="335">
                  <c:v>150.00772949999998</c:v>
                </c:pt>
                <c:pt idx="336">
                  <c:v>150.00772949999998</c:v>
                </c:pt>
                <c:pt idx="337">
                  <c:v>150.00772949999998</c:v>
                </c:pt>
                <c:pt idx="338">
                  <c:v>150.00772950000004</c:v>
                </c:pt>
                <c:pt idx="339">
                  <c:v>150.0077294999999</c:v>
                </c:pt>
                <c:pt idx="340">
                  <c:v>150.00772949999993</c:v>
                </c:pt>
                <c:pt idx="341">
                  <c:v>150.00772949999993</c:v>
                </c:pt>
                <c:pt idx="342">
                  <c:v>150.0077294999999</c:v>
                </c:pt>
                <c:pt idx="343">
                  <c:v>150.00772949999984</c:v>
                </c:pt>
                <c:pt idx="344">
                  <c:v>150.00772949999981</c:v>
                </c:pt>
                <c:pt idx="345">
                  <c:v>150.00772949999975</c:v>
                </c:pt>
                <c:pt idx="346">
                  <c:v>150.00772949999975</c:v>
                </c:pt>
                <c:pt idx="347">
                  <c:v>150.00772949999981</c:v>
                </c:pt>
                <c:pt idx="348">
                  <c:v>150.00772949999981</c:v>
                </c:pt>
                <c:pt idx="349">
                  <c:v>150.0077294999999</c:v>
                </c:pt>
                <c:pt idx="350">
                  <c:v>150.0077294999999</c:v>
                </c:pt>
                <c:pt idx="351">
                  <c:v>150.0077294999999</c:v>
                </c:pt>
                <c:pt idx="352">
                  <c:v>150.00772949999987</c:v>
                </c:pt>
                <c:pt idx="353">
                  <c:v>150.00772950000004</c:v>
                </c:pt>
                <c:pt idx="354">
                  <c:v>150.00772949999998</c:v>
                </c:pt>
                <c:pt idx="355">
                  <c:v>150.00772950000007</c:v>
                </c:pt>
                <c:pt idx="356">
                  <c:v>150.00772950000007</c:v>
                </c:pt>
                <c:pt idx="357">
                  <c:v>150.00772949999998</c:v>
                </c:pt>
                <c:pt idx="358">
                  <c:v>150.00772949999981</c:v>
                </c:pt>
                <c:pt idx="359">
                  <c:v>150.0077294999999</c:v>
                </c:pt>
                <c:pt idx="360">
                  <c:v>150.00772949999978</c:v>
                </c:pt>
                <c:pt idx="361">
                  <c:v>150.00772949999978</c:v>
                </c:pt>
                <c:pt idx="362">
                  <c:v>150.00772949999987</c:v>
                </c:pt>
                <c:pt idx="363">
                  <c:v>150.00772949999981</c:v>
                </c:pt>
                <c:pt idx="364">
                  <c:v>150.00772949999998</c:v>
                </c:pt>
                <c:pt idx="365">
                  <c:v>150.00772949999995</c:v>
                </c:pt>
                <c:pt idx="366">
                  <c:v>150.00772949999993</c:v>
                </c:pt>
                <c:pt idx="367">
                  <c:v>150.00772949999987</c:v>
                </c:pt>
                <c:pt idx="368">
                  <c:v>150.00772949999973</c:v>
                </c:pt>
                <c:pt idx="369">
                  <c:v>150.00772949999958</c:v>
                </c:pt>
                <c:pt idx="370">
                  <c:v>150.00772949999958</c:v>
                </c:pt>
                <c:pt idx="371">
                  <c:v>150.00772949999958</c:v>
                </c:pt>
                <c:pt idx="372">
                  <c:v>150.00772949999958</c:v>
                </c:pt>
                <c:pt idx="373">
                  <c:v>150.00772949999953</c:v>
                </c:pt>
                <c:pt idx="374">
                  <c:v>150.00772949999947</c:v>
                </c:pt>
                <c:pt idx="375">
                  <c:v>150.00772949999944</c:v>
                </c:pt>
                <c:pt idx="376">
                  <c:v>150.00772949999944</c:v>
                </c:pt>
                <c:pt idx="377">
                  <c:v>150.00772949999947</c:v>
                </c:pt>
                <c:pt idx="378">
                  <c:v>150.0077294999995</c:v>
                </c:pt>
                <c:pt idx="379">
                  <c:v>150.00772949999956</c:v>
                </c:pt>
                <c:pt idx="380">
                  <c:v>150.00772949999958</c:v>
                </c:pt>
                <c:pt idx="381">
                  <c:v>150.00772949999958</c:v>
                </c:pt>
                <c:pt idx="382">
                  <c:v>150.00772949999956</c:v>
                </c:pt>
                <c:pt idx="383">
                  <c:v>150.0077294999995</c:v>
                </c:pt>
                <c:pt idx="384">
                  <c:v>150.00772949999944</c:v>
                </c:pt>
                <c:pt idx="385">
                  <c:v>150.00772949999953</c:v>
                </c:pt>
                <c:pt idx="386">
                  <c:v>150.00772949999956</c:v>
                </c:pt>
                <c:pt idx="387">
                  <c:v>150.00772949999958</c:v>
                </c:pt>
                <c:pt idx="388">
                  <c:v>150.00772949999961</c:v>
                </c:pt>
                <c:pt idx="389">
                  <c:v>150.00772949999964</c:v>
                </c:pt>
                <c:pt idx="390">
                  <c:v>150.00772949999967</c:v>
                </c:pt>
                <c:pt idx="391">
                  <c:v>150.00772949999967</c:v>
                </c:pt>
                <c:pt idx="392">
                  <c:v>150.00772949999964</c:v>
                </c:pt>
                <c:pt idx="393">
                  <c:v>150.00772949999961</c:v>
                </c:pt>
                <c:pt idx="394">
                  <c:v>150.00772949999956</c:v>
                </c:pt>
                <c:pt idx="395">
                  <c:v>150.00772949999953</c:v>
                </c:pt>
                <c:pt idx="396">
                  <c:v>150.00772949999953</c:v>
                </c:pt>
                <c:pt idx="397">
                  <c:v>150.00772949999956</c:v>
                </c:pt>
                <c:pt idx="398">
                  <c:v>150.00772949999958</c:v>
                </c:pt>
                <c:pt idx="399">
                  <c:v>150.00772949999964</c:v>
                </c:pt>
                <c:pt idx="400">
                  <c:v>150.00772949999967</c:v>
                </c:pt>
                <c:pt idx="401">
                  <c:v>150.00772949999967</c:v>
                </c:pt>
                <c:pt idx="402">
                  <c:v>150.00772949999964</c:v>
                </c:pt>
                <c:pt idx="403">
                  <c:v>150.00772949999958</c:v>
                </c:pt>
                <c:pt idx="404">
                  <c:v>150.00772949999956</c:v>
                </c:pt>
                <c:pt idx="405">
                  <c:v>150.0077294999995</c:v>
                </c:pt>
                <c:pt idx="406">
                  <c:v>150.0077294999995</c:v>
                </c:pt>
                <c:pt idx="407">
                  <c:v>150.00772949999953</c:v>
                </c:pt>
                <c:pt idx="408">
                  <c:v>150.00772949999958</c:v>
                </c:pt>
                <c:pt idx="409">
                  <c:v>150.00772949999961</c:v>
                </c:pt>
                <c:pt idx="410">
                  <c:v>150.00772949999964</c:v>
                </c:pt>
                <c:pt idx="411">
                  <c:v>150.00772949999964</c:v>
                </c:pt>
                <c:pt idx="412">
                  <c:v>150.00772949999961</c:v>
                </c:pt>
                <c:pt idx="413">
                  <c:v>150.00772949999958</c:v>
                </c:pt>
                <c:pt idx="414">
                  <c:v>150.00772949999953</c:v>
                </c:pt>
                <c:pt idx="415">
                  <c:v>150.0077294999995</c:v>
                </c:pt>
                <c:pt idx="416">
                  <c:v>150.0077294999995</c:v>
                </c:pt>
                <c:pt idx="417">
                  <c:v>150.00772949999941</c:v>
                </c:pt>
                <c:pt idx="418">
                  <c:v>150.00772949999944</c:v>
                </c:pt>
                <c:pt idx="419">
                  <c:v>150.0077294999993</c:v>
                </c:pt>
                <c:pt idx="420">
                  <c:v>150.00772949999933</c:v>
                </c:pt>
                <c:pt idx="421">
                  <c:v>150.00772949999933</c:v>
                </c:pt>
                <c:pt idx="422">
                  <c:v>150.0077294999993</c:v>
                </c:pt>
                <c:pt idx="423">
                  <c:v>150.00772949999947</c:v>
                </c:pt>
                <c:pt idx="424">
                  <c:v>150.00772949999941</c:v>
                </c:pt>
                <c:pt idx="425">
                  <c:v>150.00772949999939</c:v>
                </c:pt>
                <c:pt idx="426">
                  <c:v>150.00772949999936</c:v>
                </c:pt>
                <c:pt idx="427">
                  <c:v>150.00772949999939</c:v>
                </c:pt>
                <c:pt idx="428">
                  <c:v>150.00772949999924</c:v>
                </c:pt>
                <c:pt idx="429">
                  <c:v>150.0077294999993</c:v>
                </c:pt>
                <c:pt idx="430">
                  <c:v>150.00772949999921</c:v>
                </c:pt>
                <c:pt idx="431">
                  <c:v>150.00772949999921</c:v>
                </c:pt>
                <c:pt idx="432">
                  <c:v>150.00772949999933</c:v>
                </c:pt>
                <c:pt idx="433">
                  <c:v>150.00772949999927</c:v>
                </c:pt>
                <c:pt idx="434">
                  <c:v>150.00772949999944</c:v>
                </c:pt>
                <c:pt idx="435">
                  <c:v>150.00772949999941</c:v>
                </c:pt>
                <c:pt idx="436">
                  <c:v>150.00772949999939</c:v>
                </c:pt>
                <c:pt idx="437">
                  <c:v>150.00772949999941</c:v>
                </c:pt>
                <c:pt idx="438">
                  <c:v>150.00772949999947</c:v>
                </c:pt>
                <c:pt idx="439">
                  <c:v>150.0077294999995</c:v>
                </c:pt>
                <c:pt idx="440">
                  <c:v>150.00772949999953</c:v>
                </c:pt>
                <c:pt idx="441">
                  <c:v>150.00772949999953</c:v>
                </c:pt>
                <c:pt idx="442">
                  <c:v>150.0077294999995</c:v>
                </c:pt>
                <c:pt idx="443">
                  <c:v>150.00772949999947</c:v>
                </c:pt>
                <c:pt idx="444">
                  <c:v>150.00772949999941</c:v>
                </c:pt>
                <c:pt idx="445">
                  <c:v>150.00772949999939</c:v>
                </c:pt>
                <c:pt idx="446">
                  <c:v>150.00772949999936</c:v>
                </c:pt>
                <c:pt idx="447">
                  <c:v>150.00772949999939</c:v>
                </c:pt>
                <c:pt idx="448">
                  <c:v>150.00772949999944</c:v>
                </c:pt>
                <c:pt idx="449">
                  <c:v>150.0077294999995</c:v>
                </c:pt>
                <c:pt idx="450">
                  <c:v>150.0077294999995</c:v>
                </c:pt>
                <c:pt idx="451">
                  <c:v>150.0077294999995</c:v>
                </c:pt>
                <c:pt idx="452">
                  <c:v>150.00772949999947</c:v>
                </c:pt>
                <c:pt idx="453">
                  <c:v>150.00772949999944</c:v>
                </c:pt>
                <c:pt idx="454">
                  <c:v>150.00772949999939</c:v>
                </c:pt>
                <c:pt idx="455">
                  <c:v>150.0077294999995</c:v>
                </c:pt>
                <c:pt idx="456">
                  <c:v>150.00772949999947</c:v>
                </c:pt>
                <c:pt idx="457">
                  <c:v>150.0077294999995</c:v>
                </c:pt>
                <c:pt idx="458">
                  <c:v>150.00772949999956</c:v>
                </c:pt>
                <c:pt idx="459">
                  <c:v>150.00772949999958</c:v>
                </c:pt>
                <c:pt idx="460">
                  <c:v>150.00772949999961</c:v>
                </c:pt>
                <c:pt idx="461">
                  <c:v>150.00772949999961</c:v>
                </c:pt>
                <c:pt idx="462">
                  <c:v>150.00772949999958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D83-4A5E-A630-B8CFE97B31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7638864"/>
        <c:axId val="1607639344"/>
      </c:scatterChart>
      <c:valAx>
        <c:axId val="1607638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07639344"/>
        <c:crosses val="autoZero"/>
        <c:crossBetween val="midCat"/>
      </c:valAx>
      <c:valAx>
        <c:axId val="1607639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076388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'DFT Recurs (2)'!$B$10</c:f>
              <c:strCache>
                <c:ptCount val="1"/>
                <c:pt idx="0">
                  <c:v>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'DFT Recurs (2)'!$A$11:$A$473</c:f>
              <c:numCache>
                <c:formatCode>General</c:formatCode>
                <c:ptCount val="463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9.0000000000000011E-3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1.3000000000000001E-2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1.8000000000000002E-2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2.6000000000000002E-2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3.6000000000000004E-2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4.3000000000000003E-2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5.1000000000000004E-2</c:v>
                </c:pt>
                <c:pt idx="52">
                  <c:v>5.2000000000000005E-2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5.9000000000000004E-2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7.1000000000000008E-2</c:v>
                </c:pt>
                <c:pt idx="72">
                  <c:v>7.2000000000000008E-2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8.6000000000000007E-2</c:v>
                </c:pt>
                <c:pt idx="87">
                  <c:v>8.7000000000000008E-2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0.10200000000000001</c:v>
                </c:pt>
                <c:pt idx="103">
                  <c:v>0.10300000000000001</c:v>
                </c:pt>
                <c:pt idx="104">
                  <c:v>0.10400000000000001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0.11800000000000001</c:v>
                </c:pt>
                <c:pt idx="119">
                  <c:v>0.11900000000000001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0.14100000000000001</c:v>
                </c:pt>
                <c:pt idx="142">
                  <c:v>0.14200000000000002</c:v>
                </c:pt>
                <c:pt idx="143">
                  <c:v>0.14300000000000002</c:v>
                </c:pt>
                <c:pt idx="144">
                  <c:v>0.14400000000000002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0.17200000000000001</c:v>
                </c:pt>
                <c:pt idx="173">
                  <c:v>0.17300000000000001</c:v>
                </c:pt>
                <c:pt idx="174">
                  <c:v>0.17400000000000002</c:v>
                </c:pt>
                <c:pt idx="175">
                  <c:v>0.17500000000000002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0.20400000000000001</c:v>
                </c:pt>
                <c:pt idx="205">
                  <c:v>0.20500000000000002</c:v>
                </c:pt>
                <c:pt idx="206">
                  <c:v>0.20600000000000002</c:v>
                </c:pt>
                <c:pt idx="207">
                  <c:v>0.20700000000000002</c:v>
                </c:pt>
                <c:pt idx="208">
                  <c:v>0.20800000000000002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0.23500000000000001</c:v>
                </c:pt>
                <c:pt idx="236">
                  <c:v>0.23600000000000002</c:v>
                </c:pt>
                <c:pt idx="237">
                  <c:v>0.23700000000000002</c:v>
                </c:pt>
                <c:pt idx="238">
                  <c:v>0.23800000000000002</c:v>
                </c:pt>
                <c:pt idx="239">
                  <c:v>0.23900000000000002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0.28200000000000003</c:v>
                </c:pt>
                <c:pt idx="283">
                  <c:v>0.28300000000000003</c:v>
                </c:pt>
                <c:pt idx="284">
                  <c:v>0.28400000000000003</c:v>
                </c:pt>
                <c:pt idx="285">
                  <c:v>0.28500000000000003</c:v>
                </c:pt>
                <c:pt idx="286">
                  <c:v>0.28600000000000003</c:v>
                </c:pt>
                <c:pt idx="287">
                  <c:v>0.28700000000000003</c:v>
                </c:pt>
                <c:pt idx="288">
                  <c:v>0.28800000000000003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0.34400000000000003</c:v>
                </c:pt>
                <c:pt idx="345">
                  <c:v>0.34500000000000003</c:v>
                </c:pt>
                <c:pt idx="346">
                  <c:v>0.34600000000000003</c:v>
                </c:pt>
                <c:pt idx="347">
                  <c:v>0.34700000000000003</c:v>
                </c:pt>
                <c:pt idx="348">
                  <c:v>0.34800000000000003</c:v>
                </c:pt>
                <c:pt idx="349">
                  <c:v>0.34900000000000003</c:v>
                </c:pt>
                <c:pt idx="350">
                  <c:v>0.35000000000000003</c:v>
                </c:pt>
                <c:pt idx="351">
                  <c:v>0.35100000000000003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0.40700000000000003</c:v>
                </c:pt>
                <c:pt idx="408">
                  <c:v>0.40800000000000003</c:v>
                </c:pt>
                <c:pt idx="409">
                  <c:v>0.40900000000000003</c:v>
                </c:pt>
                <c:pt idx="410">
                  <c:v>0.41000000000000003</c:v>
                </c:pt>
                <c:pt idx="411">
                  <c:v>0.41100000000000003</c:v>
                </c:pt>
                <c:pt idx="412">
                  <c:v>0.41200000000000003</c:v>
                </c:pt>
                <c:pt idx="413">
                  <c:v>0.41300000000000003</c:v>
                </c:pt>
                <c:pt idx="414">
                  <c:v>0.41400000000000003</c:v>
                </c:pt>
                <c:pt idx="415">
                  <c:v>0.41500000000000004</c:v>
                </c:pt>
                <c:pt idx="416">
                  <c:v>0.41600000000000004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</c:numCache>
            </c:numRef>
          </c:xVal>
          <c:yVal>
            <c:numRef>
              <c:f>'DFT Recurs (2)'!$B$11:$B$473</c:f>
              <c:numCache>
                <c:formatCode>General</c:formatCode>
                <c:ptCount val="463"/>
                <c:pt idx="0">
                  <c:v>53.552273952154593</c:v>
                </c:pt>
                <c:pt idx="1">
                  <c:v>91.38131444090439</c:v>
                </c:pt>
                <c:pt idx="2">
                  <c:v>120.26531518112246</c:v>
                </c:pt>
                <c:pt idx="3">
                  <c:v>137.37690893368958</c:v>
                </c:pt>
                <c:pt idx="4">
                  <c:v>141.04109367862026</c:v>
                </c:pt>
                <c:pt idx="5">
                  <c:v>130.89919348320441</c:v>
                </c:pt>
                <c:pt idx="6">
                  <c:v>107.94396820134305</c:v>
                </c:pt>
                <c:pt idx="7">
                  <c:v>74.422435222083948</c:v>
                </c:pt>
                <c:pt idx="8">
                  <c:v>33.6159157516907</c:v>
                </c:pt>
                <c:pt idx="9">
                  <c:v>-10.481163768335337</c:v>
                </c:pt>
                <c:pt idx="10">
                  <c:v>-53.552273952154565</c:v>
                </c:pt>
                <c:pt idx="11">
                  <c:v>-91.381314440904347</c:v>
                </c:pt>
                <c:pt idx="12">
                  <c:v>-120.2653151811225</c:v>
                </c:pt>
                <c:pt idx="13">
                  <c:v>-137.37690893368958</c:v>
                </c:pt>
                <c:pt idx="14">
                  <c:v>-141.04109367862026</c:v>
                </c:pt>
                <c:pt idx="15">
                  <c:v>-130.89919348320444</c:v>
                </c:pt>
                <c:pt idx="16">
                  <c:v>-107.9439682013431</c:v>
                </c:pt>
                <c:pt idx="17">
                  <c:v>-74.422435222083863</c:v>
                </c:pt>
                <c:pt idx="18">
                  <c:v>-33.615915751690594</c:v>
                </c:pt>
                <c:pt idx="19">
                  <c:v>10.481163768335255</c:v>
                </c:pt>
                <c:pt idx="20">
                  <c:v>53.552273952154543</c:v>
                </c:pt>
                <c:pt idx="21">
                  <c:v>91.381314440904433</c:v>
                </c:pt>
                <c:pt idx="22">
                  <c:v>120.26531518112243</c:v>
                </c:pt>
                <c:pt idx="23">
                  <c:v>137.37690893368955</c:v>
                </c:pt>
                <c:pt idx="24">
                  <c:v>141.04109367862026</c:v>
                </c:pt>
                <c:pt idx="25">
                  <c:v>130.89919348320436</c:v>
                </c:pt>
                <c:pt idx="26">
                  <c:v>107.94396820134294</c:v>
                </c:pt>
                <c:pt idx="27">
                  <c:v>74.422435222083976</c:v>
                </c:pt>
                <c:pt idx="28">
                  <c:v>33.615915751690736</c:v>
                </c:pt>
                <c:pt idx="29">
                  <c:v>-10.481163768335238</c:v>
                </c:pt>
                <c:pt idx="30">
                  <c:v>-53.552273952154529</c:v>
                </c:pt>
                <c:pt idx="31">
                  <c:v>-91.381314440904319</c:v>
                </c:pt>
                <c:pt idx="32">
                  <c:v>-120.26531518112243</c:v>
                </c:pt>
                <c:pt idx="33">
                  <c:v>-137.37690893368961</c:v>
                </c:pt>
                <c:pt idx="34">
                  <c:v>-141.04109367862026</c:v>
                </c:pt>
                <c:pt idx="35">
                  <c:v>-130.89919348320436</c:v>
                </c:pt>
                <c:pt idx="36">
                  <c:v>-107.94396820134295</c:v>
                </c:pt>
                <c:pt idx="37">
                  <c:v>-74.422435222084005</c:v>
                </c:pt>
                <c:pt idx="38">
                  <c:v>-33.61591575169075</c:v>
                </c:pt>
                <c:pt idx="39">
                  <c:v>10.48116376833522</c:v>
                </c:pt>
                <c:pt idx="40">
                  <c:v>53.552273952154515</c:v>
                </c:pt>
                <c:pt idx="41">
                  <c:v>91.38131444090449</c:v>
                </c:pt>
                <c:pt idx="42">
                  <c:v>120.26531518112253</c:v>
                </c:pt>
                <c:pt idx="43">
                  <c:v>137.37690893368961</c:v>
                </c:pt>
                <c:pt idx="44">
                  <c:v>141.04109367862026</c:v>
                </c:pt>
                <c:pt idx="45">
                  <c:v>130.89919348320444</c:v>
                </c:pt>
                <c:pt idx="46">
                  <c:v>107.94396820134313</c:v>
                </c:pt>
                <c:pt idx="47">
                  <c:v>74.422435222084019</c:v>
                </c:pt>
                <c:pt idx="48">
                  <c:v>33.615915751690522</c:v>
                </c:pt>
                <c:pt idx="49">
                  <c:v>-10.481163768335454</c:v>
                </c:pt>
                <c:pt idx="50">
                  <c:v>-53.552273952154728</c:v>
                </c:pt>
                <c:pt idx="51">
                  <c:v>-91.381314440904688</c:v>
                </c:pt>
                <c:pt idx="52">
                  <c:v>-120.2653151811228</c:v>
                </c:pt>
                <c:pt idx="53">
                  <c:v>-137.37690893368966</c:v>
                </c:pt>
                <c:pt idx="54">
                  <c:v>-141.04109367862026</c:v>
                </c:pt>
                <c:pt idx="55">
                  <c:v>-130.89919348320427</c:v>
                </c:pt>
                <c:pt idx="56">
                  <c:v>-107.94396820134297</c:v>
                </c:pt>
                <c:pt idx="57">
                  <c:v>-74.422435222083593</c:v>
                </c:pt>
                <c:pt idx="58">
                  <c:v>-33.615915751690544</c:v>
                </c:pt>
                <c:pt idx="59">
                  <c:v>10.481163768335687</c:v>
                </c:pt>
                <c:pt idx="60">
                  <c:v>53.552273952154714</c:v>
                </c:pt>
                <c:pt idx="61">
                  <c:v>91.38131444090466</c:v>
                </c:pt>
                <c:pt idx="62">
                  <c:v>120.26531518112252</c:v>
                </c:pt>
                <c:pt idx="63">
                  <c:v>137.37690893368966</c:v>
                </c:pt>
                <c:pt idx="64">
                  <c:v>141.04109367862026</c:v>
                </c:pt>
                <c:pt idx="65">
                  <c:v>130.89919348320427</c:v>
                </c:pt>
                <c:pt idx="66">
                  <c:v>107.94396820134266</c:v>
                </c:pt>
                <c:pt idx="67">
                  <c:v>74.422435222083607</c:v>
                </c:pt>
                <c:pt idx="68">
                  <c:v>33.615915751690068</c:v>
                </c:pt>
                <c:pt idx="69">
                  <c:v>-10.481163768335669</c:v>
                </c:pt>
                <c:pt idx="70">
                  <c:v>-53.552273952155161</c:v>
                </c:pt>
                <c:pt idx="71">
                  <c:v>-91.381314440904646</c:v>
                </c:pt>
                <c:pt idx="72">
                  <c:v>-120.26531518112279</c:v>
                </c:pt>
                <c:pt idx="73">
                  <c:v>-137.37690893368955</c:v>
                </c:pt>
                <c:pt idx="74">
                  <c:v>-141.04109367862026</c:v>
                </c:pt>
                <c:pt idx="75">
                  <c:v>-130.8991934832043</c:v>
                </c:pt>
                <c:pt idx="76">
                  <c:v>-107.94396820134301</c:v>
                </c:pt>
                <c:pt idx="77">
                  <c:v>-74.422435222083621</c:v>
                </c:pt>
                <c:pt idx="78">
                  <c:v>-33.615915751690579</c:v>
                </c:pt>
                <c:pt idx="79">
                  <c:v>10.481163768335652</c:v>
                </c:pt>
                <c:pt idx="80">
                  <c:v>53.552273952154678</c:v>
                </c:pt>
                <c:pt idx="81">
                  <c:v>91.381314440904632</c:v>
                </c:pt>
                <c:pt idx="82">
                  <c:v>120.26531518112277</c:v>
                </c:pt>
                <c:pt idx="83">
                  <c:v>137.37690893368966</c:v>
                </c:pt>
                <c:pt idx="84">
                  <c:v>141.04109367862023</c:v>
                </c:pt>
                <c:pt idx="85">
                  <c:v>130.8991934832043</c:v>
                </c:pt>
                <c:pt idx="86">
                  <c:v>107.94396820134268</c:v>
                </c:pt>
                <c:pt idx="87">
                  <c:v>74.422435222083209</c:v>
                </c:pt>
                <c:pt idx="88">
                  <c:v>33.615915751690594</c:v>
                </c:pt>
                <c:pt idx="89">
                  <c:v>-171.62891027167285</c:v>
                </c:pt>
                <c:pt idx="90">
                  <c:v>-201.76188464943527</c:v>
                </c:pt>
                <c:pt idx="91">
                  <c:v>-212.14500000000001</c:v>
                </c:pt>
                <c:pt idx="92">
                  <c:v>-201.76188464943544</c:v>
                </c:pt>
                <c:pt idx="93">
                  <c:v>-171.62891027167316</c:v>
                </c:pt>
                <c:pt idx="94">
                  <c:v>-124.69570234758693</c:v>
                </c:pt>
                <c:pt idx="95">
                  <c:v>-65.556410271673116</c:v>
                </c:pt>
                <c:pt idx="96">
                  <c:v>4.9378132442254311E-13</c:v>
                </c:pt>
                <c:pt idx="97">
                  <c:v>65.556410271673343</c:v>
                </c:pt>
                <c:pt idx="98">
                  <c:v>124.69570234758712</c:v>
                </c:pt>
                <c:pt idx="99">
                  <c:v>171.62891027167285</c:v>
                </c:pt>
                <c:pt idx="100">
                  <c:v>201.76188464943527</c:v>
                </c:pt>
                <c:pt idx="101">
                  <c:v>212.14500000000001</c:v>
                </c:pt>
                <c:pt idx="102">
                  <c:v>201.76188464943522</c:v>
                </c:pt>
                <c:pt idx="103">
                  <c:v>171.62891027167271</c:v>
                </c:pt>
                <c:pt idx="104">
                  <c:v>124.69570234758574</c:v>
                </c:pt>
                <c:pt idx="105">
                  <c:v>65.55641027167313</c:v>
                </c:pt>
                <c:pt idx="106">
                  <c:v>-4.6779041252588413E-13</c:v>
                </c:pt>
                <c:pt idx="107">
                  <c:v>-65.55641027167259</c:v>
                </c:pt>
                <c:pt idx="108">
                  <c:v>-124.69570234758649</c:v>
                </c:pt>
                <c:pt idx="109">
                  <c:v>-171.62891027167328</c:v>
                </c:pt>
                <c:pt idx="110">
                  <c:v>-201.7618846494355</c:v>
                </c:pt>
                <c:pt idx="111">
                  <c:v>-212.14500000000001</c:v>
                </c:pt>
                <c:pt idx="112">
                  <c:v>-201.76188464943544</c:v>
                </c:pt>
                <c:pt idx="113">
                  <c:v>-171.62891027167319</c:v>
                </c:pt>
                <c:pt idx="114">
                  <c:v>-124.69570234758636</c:v>
                </c:pt>
                <c:pt idx="115">
                  <c:v>-65.556410271672448</c:v>
                </c:pt>
                <c:pt idx="116">
                  <c:v>-3.1189094275990705E-13</c:v>
                </c:pt>
                <c:pt idx="117">
                  <c:v>65.556410271673286</c:v>
                </c:pt>
                <c:pt idx="118">
                  <c:v>124.69570234758707</c:v>
                </c:pt>
                <c:pt idx="119">
                  <c:v>171.6289102716737</c:v>
                </c:pt>
                <c:pt idx="120">
                  <c:v>201.76188464943527</c:v>
                </c:pt>
                <c:pt idx="121">
                  <c:v>212.14500000000001</c:v>
                </c:pt>
                <c:pt idx="122">
                  <c:v>201.76188464943525</c:v>
                </c:pt>
                <c:pt idx="123">
                  <c:v>171.62891027167365</c:v>
                </c:pt>
                <c:pt idx="124">
                  <c:v>124.69570234758697</c:v>
                </c:pt>
                <c:pt idx="125">
                  <c:v>65.556410271673187</c:v>
                </c:pt>
                <c:pt idx="126">
                  <c:v>-4.1580858873256633E-13</c:v>
                </c:pt>
                <c:pt idx="127">
                  <c:v>-65.556410271673968</c:v>
                </c:pt>
                <c:pt idx="128">
                  <c:v>-124.69570234758643</c:v>
                </c:pt>
                <c:pt idx="129">
                  <c:v>-171.62891027167325</c:v>
                </c:pt>
                <c:pt idx="130">
                  <c:v>-201.7618846494355</c:v>
                </c:pt>
                <c:pt idx="131">
                  <c:v>-212.14500000000001</c:v>
                </c:pt>
                <c:pt idx="132">
                  <c:v>-201.76188464943499</c:v>
                </c:pt>
                <c:pt idx="133">
                  <c:v>-171.62891027167322</c:v>
                </c:pt>
                <c:pt idx="134">
                  <c:v>-124.69570234758639</c:v>
                </c:pt>
                <c:pt idx="135">
                  <c:v>-65.55641027167249</c:v>
                </c:pt>
                <c:pt idx="136">
                  <c:v>1.1435081202250397E-12</c:v>
                </c:pt>
                <c:pt idx="137">
                  <c:v>65.556410271673229</c:v>
                </c:pt>
                <c:pt idx="138">
                  <c:v>124.69570234758703</c:v>
                </c:pt>
                <c:pt idx="139">
                  <c:v>171.62891027167367</c:v>
                </c:pt>
                <c:pt idx="140">
                  <c:v>201.7618846494357</c:v>
                </c:pt>
                <c:pt idx="141">
                  <c:v>212.14500000000001</c:v>
                </c:pt>
                <c:pt idx="142">
                  <c:v>201.76188464943525</c:v>
                </c:pt>
                <c:pt idx="143">
                  <c:v>171.62891027167279</c:v>
                </c:pt>
                <c:pt idx="144">
                  <c:v>124.69570234758581</c:v>
                </c:pt>
                <c:pt idx="145">
                  <c:v>65.556410271673229</c:v>
                </c:pt>
                <c:pt idx="146">
                  <c:v>1.1435541218390162E-12</c:v>
                </c:pt>
                <c:pt idx="147">
                  <c:v>-65.55641027167249</c:v>
                </c:pt>
                <c:pt idx="148">
                  <c:v>-124.69570234758639</c:v>
                </c:pt>
                <c:pt idx="149">
                  <c:v>-171.62891027167322</c:v>
                </c:pt>
                <c:pt idx="150">
                  <c:v>-201.76188464943547</c:v>
                </c:pt>
                <c:pt idx="151">
                  <c:v>-212.14500000000001</c:v>
                </c:pt>
                <c:pt idx="152">
                  <c:v>-201.7618846494355</c:v>
                </c:pt>
                <c:pt idx="153">
                  <c:v>-171.62891027167325</c:v>
                </c:pt>
                <c:pt idx="154">
                  <c:v>-124.69570234758643</c:v>
                </c:pt>
                <c:pt idx="155">
                  <c:v>-65.556410271672547</c:v>
                </c:pt>
                <c:pt idx="156">
                  <c:v>-4.1585459034654272E-13</c:v>
                </c:pt>
                <c:pt idx="157">
                  <c:v>65.556410271673187</c:v>
                </c:pt>
                <c:pt idx="158">
                  <c:v>124.69570234758697</c:v>
                </c:pt>
                <c:pt idx="159">
                  <c:v>171.62891027167365</c:v>
                </c:pt>
                <c:pt idx="160">
                  <c:v>201.76188464943525</c:v>
                </c:pt>
                <c:pt idx="161">
                  <c:v>212.14500000000001</c:v>
                </c:pt>
                <c:pt idx="162">
                  <c:v>201.76188464943527</c:v>
                </c:pt>
                <c:pt idx="163">
                  <c:v>171.62891027167282</c:v>
                </c:pt>
                <c:pt idx="164">
                  <c:v>124.69570234758585</c:v>
                </c:pt>
                <c:pt idx="165">
                  <c:v>65.556410271673286</c:v>
                </c:pt>
                <c:pt idx="166">
                  <c:v>-3.1184494114593066E-13</c:v>
                </c:pt>
                <c:pt idx="167">
                  <c:v>-65.556410271673883</c:v>
                </c:pt>
                <c:pt idx="168">
                  <c:v>-124.69570234758757</c:v>
                </c:pt>
                <c:pt idx="169">
                  <c:v>-171.62891027167407</c:v>
                </c:pt>
                <c:pt idx="170">
                  <c:v>-201.76188464943544</c:v>
                </c:pt>
                <c:pt idx="171">
                  <c:v>-212.14500000000001</c:v>
                </c:pt>
                <c:pt idx="172">
                  <c:v>-201.76188464943505</c:v>
                </c:pt>
                <c:pt idx="173">
                  <c:v>-171.6289102716724</c:v>
                </c:pt>
                <c:pt idx="174">
                  <c:v>-124.69570234758525</c:v>
                </c:pt>
                <c:pt idx="175">
                  <c:v>-65.55641027167259</c:v>
                </c:pt>
                <c:pt idx="176">
                  <c:v>-4.6783641413986053E-13</c:v>
                </c:pt>
                <c:pt idx="177">
                  <c:v>65.55641027167313</c:v>
                </c:pt>
                <c:pt idx="178">
                  <c:v>124.69570234758574</c:v>
                </c:pt>
                <c:pt idx="179">
                  <c:v>171.62891027167271</c:v>
                </c:pt>
                <c:pt idx="180">
                  <c:v>201.76188464943522</c:v>
                </c:pt>
                <c:pt idx="181">
                  <c:v>212.14500000000001</c:v>
                </c:pt>
                <c:pt idx="182">
                  <c:v>201.76188464943527</c:v>
                </c:pt>
                <c:pt idx="183">
                  <c:v>171.62891027167373</c:v>
                </c:pt>
                <c:pt idx="184">
                  <c:v>124.69570234758712</c:v>
                </c:pt>
                <c:pt idx="185">
                  <c:v>65.556410271673343</c:v>
                </c:pt>
                <c:pt idx="186">
                  <c:v>-2.598631173526128E-13</c:v>
                </c:pt>
                <c:pt idx="187">
                  <c:v>-65.556410271673826</c:v>
                </c:pt>
                <c:pt idx="188">
                  <c:v>-124.69570234758632</c:v>
                </c:pt>
                <c:pt idx="189">
                  <c:v>-171.62891027167316</c:v>
                </c:pt>
                <c:pt idx="190">
                  <c:v>-201.76188464943544</c:v>
                </c:pt>
                <c:pt idx="191">
                  <c:v>-212.14500000000001</c:v>
                </c:pt>
                <c:pt idx="192">
                  <c:v>-201.76188464943505</c:v>
                </c:pt>
                <c:pt idx="193">
                  <c:v>-171.62891027167331</c:v>
                </c:pt>
                <c:pt idx="194">
                  <c:v>-124.69570234758653</c:v>
                </c:pt>
                <c:pt idx="195">
                  <c:v>-65.556410271672647</c:v>
                </c:pt>
                <c:pt idx="196">
                  <c:v>9.8756264884508623E-13</c:v>
                </c:pt>
                <c:pt idx="197">
                  <c:v>65.556410271674508</c:v>
                </c:pt>
                <c:pt idx="198">
                  <c:v>124.6957023475869</c:v>
                </c:pt>
                <c:pt idx="199">
                  <c:v>171.62891027167359</c:v>
                </c:pt>
                <c:pt idx="200">
                  <c:v>201.76188464943567</c:v>
                </c:pt>
                <c:pt idx="201">
                  <c:v>212.14500000000001</c:v>
                </c:pt>
                <c:pt idx="202">
                  <c:v>201.76188464943576</c:v>
                </c:pt>
                <c:pt idx="203">
                  <c:v>171.628910271672</c:v>
                </c:pt>
                <c:pt idx="204">
                  <c:v>124.69570234758714</c:v>
                </c:pt>
                <c:pt idx="205">
                  <c:v>65.556410271670515</c:v>
                </c:pt>
                <c:pt idx="206">
                  <c:v>-2.0788129355929497E-13</c:v>
                </c:pt>
                <c:pt idx="207">
                  <c:v>-65.55641027167664</c:v>
                </c:pt>
                <c:pt idx="208">
                  <c:v>-124.6957023475875</c:v>
                </c:pt>
                <c:pt idx="209">
                  <c:v>-171.62891027167225</c:v>
                </c:pt>
                <c:pt idx="210">
                  <c:v>-201.7618846494359</c:v>
                </c:pt>
                <c:pt idx="211">
                  <c:v>-212.14500000000001</c:v>
                </c:pt>
                <c:pt idx="212">
                  <c:v>-201.76188464943459</c:v>
                </c:pt>
                <c:pt idx="213">
                  <c:v>-171.62891027167333</c:v>
                </c:pt>
                <c:pt idx="214">
                  <c:v>-124.69570234758901</c:v>
                </c:pt>
                <c:pt idx="215">
                  <c:v>-65.556410271672689</c:v>
                </c:pt>
                <c:pt idx="216">
                  <c:v>-2.079180948504761E-12</c:v>
                </c:pt>
                <c:pt idx="217">
                  <c:v>65.556410271674466</c:v>
                </c:pt>
                <c:pt idx="218">
                  <c:v>124.69570234758564</c:v>
                </c:pt>
                <c:pt idx="219">
                  <c:v>171.62891027167444</c:v>
                </c:pt>
                <c:pt idx="220">
                  <c:v>201.76188464943519</c:v>
                </c:pt>
                <c:pt idx="221">
                  <c:v>212.14500000000001</c:v>
                </c:pt>
                <c:pt idx="222">
                  <c:v>201.7618846494353</c:v>
                </c:pt>
                <c:pt idx="223">
                  <c:v>171.6289102716747</c:v>
                </c:pt>
                <c:pt idx="224">
                  <c:v>124.69570234758599</c:v>
                </c:pt>
                <c:pt idx="225">
                  <c:v>65.556410271674864</c:v>
                </c:pt>
                <c:pt idx="226">
                  <c:v>-1.6632803565442418E-12</c:v>
                </c:pt>
                <c:pt idx="227">
                  <c:v>-65.556410271672306</c:v>
                </c:pt>
                <c:pt idx="228">
                  <c:v>-124.69570234758868</c:v>
                </c:pt>
                <c:pt idx="229">
                  <c:v>-171.62891027167311</c:v>
                </c:pt>
                <c:pt idx="230">
                  <c:v>-201.76188464943635</c:v>
                </c:pt>
                <c:pt idx="231">
                  <c:v>-212.14500000000001</c:v>
                </c:pt>
                <c:pt idx="232">
                  <c:v>-201.76188464943601</c:v>
                </c:pt>
                <c:pt idx="233">
                  <c:v>-171.62891027167248</c:v>
                </c:pt>
                <c:pt idx="234">
                  <c:v>-124.69570234758783</c:v>
                </c:pt>
                <c:pt idx="235">
                  <c:v>-65.556410271671311</c:v>
                </c:pt>
                <c:pt idx="236">
                  <c:v>-6.237818855198141E-13</c:v>
                </c:pt>
                <c:pt idx="237">
                  <c:v>65.556410271675858</c:v>
                </c:pt>
                <c:pt idx="238">
                  <c:v>124.69570234758682</c:v>
                </c:pt>
                <c:pt idx="239">
                  <c:v>171.6289102716753</c:v>
                </c:pt>
                <c:pt idx="240">
                  <c:v>201.76188464943564</c:v>
                </c:pt>
                <c:pt idx="241">
                  <c:v>212.14500000000001</c:v>
                </c:pt>
                <c:pt idx="242">
                  <c:v>201.76188464943485</c:v>
                </c:pt>
                <c:pt idx="243">
                  <c:v>171.62891027167382</c:v>
                </c:pt>
                <c:pt idx="244">
                  <c:v>124.69570234758481</c:v>
                </c:pt>
                <c:pt idx="245">
                  <c:v>65.556410271673471</c:v>
                </c:pt>
                <c:pt idx="246">
                  <c:v>2.91084412758387E-12</c:v>
                </c:pt>
                <c:pt idx="247">
                  <c:v>-65.556410271673684</c:v>
                </c:pt>
                <c:pt idx="248">
                  <c:v>-124.69570234758498</c:v>
                </c:pt>
                <c:pt idx="249">
                  <c:v>-171.62891027167393</c:v>
                </c:pt>
                <c:pt idx="250">
                  <c:v>-201.76188464943493</c:v>
                </c:pt>
                <c:pt idx="251">
                  <c:v>-212.14500000000001</c:v>
                </c:pt>
                <c:pt idx="252">
                  <c:v>-201.76188464943556</c:v>
                </c:pt>
                <c:pt idx="253">
                  <c:v>-171.62891027167163</c:v>
                </c:pt>
                <c:pt idx="254">
                  <c:v>-124.69570234758665</c:v>
                </c:pt>
                <c:pt idx="255">
                  <c:v>-65.556410271675659</c:v>
                </c:pt>
                <c:pt idx="256">
                  <c:v>8.3161717746513265E-13</c:v>
                </c:pt>
                <c:pt idx="257">
                  <c:v>65.556410271671496</c:v>
                </c:pt>
                <c:pt idx="258">
                  <c:v>124.695702347588</c:v>
                </c:pt>
                <c:pt idx="259">
                  <c:v>171.62891027167259</c:v>
                </c:pt>
                <c:pt idx="260">
                  <c:v>201.7618846494361</c:v>
                </c:pt>
                <c:pt idx="261">
                  <c:v>212.14500000000001</c:v>
                </c:pt>
                <c:pt idx="262">
                  <c:v>201.76188464943442</c:v>
                </c:pt>
                <c:pt idx="263">
                  <c:v>171.62891027167296</c:v>
                </c:pt>
                <c:pt idx="264">
                  <c:v>124.69570234758363</c:v>
                </c:pt>
                <c:pt idx="265">
                  <c:v>65.556410271672107</c:v>
                </c:pt>
                <c:pt idx="266">
                  <c:v>1.4554450645989231E-12</c:v>
                </c:pt>
                <c:pt idx="267">
                  <c:v>-65.556410271675063</c:v>
                </c:pt>
                <c:pt idx="268">
                  <c:v>-124.69570234758615</c:v>
                </c:pt>
                <c:pt idx="269">
                  <c:v>-171.62891027167481</c:v>
                </c:pt>
                <c:pt idx="270">
                  <c:v>-201.76188464943539</c:v>
                </c:pt>
                <c:pt idx="271">
                  <c:v>-212.14500000000001</c:v>
                </c:pt>
                <c:pt idx="272">
                  <c:v>-201.76188464943513</c:v>
                </c:pt>
                <c:pt idx="273">
                  <c:v>-171.62891027167078</c:v>
                </c:pt>
                <c:pt idx="274">
                  <c:v>-124.69570234758547</c:v>
                </c:pt>
                <c:pt idx="275">
                  <c:v>-65.556410271674281</c:v>
                </c:pt>
                <c:pt idx="276">
                  <c:v>2.2870162404500794E-12</c:v>
                </c:pt>
                <c:pt idx="277">
                  <c:v>65.556410271672888</c:v>
                </c:pt>
                <c:pt idx="278">
                  <c:v>124.69570234758918</c:v>
                </c:pt>
                <c:pt idx="279">
                  <c:v>171.62891027167348</c:v>
                </c:pt>
                <c:pt idx="280">
                  <c:v>201.76188464943652</c:v>
                </c:pt>
                <c:pt idx="281">
                  <c:v>212.14500000000001</c:v>
                </c:pt>
                <c:pt idx="282">
                  <c:v>201.76188464943397</c:v>
                </c:pt>
                <c:pt idx="283">
                  <c:v>171.62891027167214</c:v>
                </c:pt>
                <c:pt idx="284">
                  <c:v>124.69570234758733</c:v>
                </c:pt>
                <c:pt idx="285">
                  <c:v>65.556410271670714</c:v>
                </c:pt>
                <c:pt idx="286">
                  <c:v>4.600161397638747E-17</c:v>
                </c:pt>
                <c:pt idx="287">
                  <c:v>-65.556410271676441</c:v>
                </c:pt>
                <c:pt idx="288">
                  <c:v>-124.69570234758733</c:v>
                </c:pt>
                <c:pt idx="289">
                  <c:v>-171.62891027167214</c:v>
                </c:pt>
                <c:pt idx="290">
                  <c:v>-201.76188464943581</c:v>
                </c:pt>
                <c:pt idx="291">
                  <c:v>-212.14500000000001</c:v>
                </c:pt>
                <c:pt idx="292">
                  <c:v>-201.76188464943652</c:v>
                </c:pt>
                <c:pt idx="293">
                  <c:v>-171.62891027167348</c:v>
                </c:pt>
                <c:pt idx="294">
                  <c:v>-124.69570234758918</c:v>
                </c:pt>
                <c:pt idx="295">
                  <c:v>-65.556410271672888</c:v>
                </c:pt>
                <c:pt idx="296">
                  <c:v>-2.2871082436780324E-12</c:v>
                </c:pt>
                <c:pt idx="297">
                  <c:v>65.556410271674267</c:v>
                </c:pt>
                <c:pt idx="298">
                  <c:v>124.69570234758547</c:v>
                </c:pt>
                <c:pt idx="299">
                  <c:v>171.62891027167433</c:v>
                </c:pt>
                <c:pt idx="300">
                  <c:v>201.76188464943513</c:v>
                </c:pt>
                <c:pt idx="301">
                  <c:v>212.14500000000001</c:v>
                </c:pt>
                <c:pt idx="302">
                  <c:v>201.76188464943539</c:v>
                </c:pt>
                <c:pt idx="303">
                  <c:v>171.62891027167481</c:v>
                </c:pt>
                <c:pt idx="304">
                  <c:v>124.69570234758615</c:v>
                </c:pt>
                <c:pt idx="305">
                  <c:v>65.556410271675063</c:v>
                </c:pt>
                <c:pt idx="306">
                  <c:v>-1.4553530613709704E-12</c:v>
                </c:pt>
                <c:pt idx="307">
                  <c:v>-65.556410271672107</c:v>
                </c:pt>
                <c:pt idx="308">
                  <c:v>-124.69570234758851</c:v>
                </c:pt>
                <c:pt idx="309">
                  <c:v>-171.62891027167296</c:v>
                </c:pt>
                <c:pt idx="310">
                  <c:v>-201.76188464943627</c:v>
                </c:pt>
                <c:pt idx="311">
                  <c:v>-212.14500000000001</c:v>
                </c:pt>
                <c:pt idx="312">
                  <c:v>-201.7618846494361</c:v>
                </c:pt>
                <c:pt idx="313">
                  <c:v>-171.62891027167259</c:v>
                </c:pt>
                <c:pt idx="314">
                  <c:v>-124.695702347588</c:v>
                </c:pt>
                <c:pt idx="315">
                  <c:v>-65.556410271671496</c:v>
                </c:pt>
                <c:pt idx="316">
                  <c:v>-8.3170918069308543E-13</c:v>
                </c:pt>
                <c:pt idx="317">
                  <c:v>65.556410271675659</c:v>
                </c:pt>
                <c:pt idx="318">
                  <c:v>124.69570234758665</c:v>
                </c:pt>
                <c:pt idx="319">
                  <c:v>171.62891027167515</c:v>
                </c:pt>
                <c:pt idx="320">
                  <c:v>201.76188464943556</c:v>
                </c:pt>
                <c:pt idx="321">
                  <c:v>212.14500000000001</c:v>
                </c:pt>
                <c:pt idx="322">
                  <c:v>201.76188464943493</c:v>
                </c:pt>
                <c:pt idx="323">
                  <c:v>171.62891027167393</c:v>
                </c:pt>
                <c:pt idx="324">
                  <c:v>124.69570234758498</c:v>
                </c:pt>
                <c:pt idx="325">
                  <c:v>65.556410271673684</c:v>
                </c:pt>
                <c:pt idx="326">
                  <c:v>-2.910752124355917E-12</c:v>
                </c:pt>
                <c:pt idx="327">
                  <c:v>-65.556410271673471</c:v>
                </c:pt>
                <c:pt idx="328">
                  <c:v>-124.69570234758969</c:v>
                </c:pt>
                <c:pt idx="329">
                  <c:v>-171.62891027167382</c:v>
                </c:pt>
                <c:pt idx="330">
                  <c:v>-201.76188464943485</c:v>
                </c:pt>
                <c:pt idx="331">
                  <c:v>-212.14500000000001</c:v>
                </c:pt>
                <c:pt idx="332">
                  <c:v>-201.76188464943564</c:v>
                </c:pt>
                <c:pt idx="333">
                  <c:v>-171.62891027167174</c:v>
                </c:pt>
                <c:pt idx="334">
                  <c:v>-124.69570234758682</c:v>
                </c:pt>
                <c:pt idx="335">
                  <c:v>-65.556410271670117</c:v>
                </c:pt>
                <c:pt idx="336">
                  <c:v>6.2368988229186132E-13</c:v>
                </c:pt>
                <c:pt idx="337">
                  <c:v>65.556410271677052</c:v>
                </c:pt>
                <c:pt idx="338">
                  <c:v>124.69570234758783</c:v>
                </c:pt>
                <c:pt idx="339">
                  <c:v>171.62891027167248</c:v>
                </c:pt>
                <c:pt idx="340">
                  <c:v>201.76188464943601</c:v>
                </c:pt>
                <c:pt idx="341">
                  <c:v>212.14500000000001</c:v>
                </c:pt>
                <c:pt idx="342">
                  <c:v>201.76188464943448</c:v>
                </c:pt>
                <c:pt idx="343">
                  <c:v>171.62891027167311</c:v>
                </c:pt>
                <c:pt idx="344">
                  <c:v>124.6957023475838</c:v>
                </c:pt>
                <c:pt idx="345">
                  <c:v>65.556410271672306</c:v>
                </c:pt>
                <c:pt idx="346">
                  <c:v>-4.3661511873408641E-12</c:v>
                </c:pt>
                <c:pt idx="347">
                  <c:v>-65.556410271674864</c:v>
                </c:pt>
                <c:pt idx="348">
                  <c:v>-124.69570234759087</c:v>
                </c:pt>
                <c:pt idx="349">
                  <c:v>-171.6289102716747</c:v>
                </c:pt>
                <c:pt idx="350">
                  <c:v>-201.7618846494353</c:v>
                </c:pt>
                <c:pt idx="351">
                  <c:v>-212.14500000000001</c:v>
                </c:pt>
                <c:pt idx="352">
                  <c:v>-201.76188464943519</c:v>
                </c:pt>
                <c:pt idx="353">
                  <c:v>-171.62891027167444</c:v>
                </c:pt>
                <c:pt idx="354">
                  <c:v>-124.69570234758564</c:v>
                </c:pt>
                <c:pt idx="355">
                  <c:v>-65.556410271674466</c:v>
                </c:pt>
                <c:pt idx="356">
                  <c:v>-3.9504346018362501E-12</c:v>
                </c:pt>
                <c:pt idx="357">
                  <c:v>65.556410271672689</c:v>
                </c:pt>
                <c:pt idx="358">
                  <c:v>124.69570234758413</c:v>
                </c:pt>
                <c:pt idx="359">
                  <c:v>171.62891027167333</c:v>
                </c:pt>
                <c:pt idx="360">
                  <c:v>201.76188464943459</c:v>
                </c:pt>
                <c:pt idx="361">
                  <c:v>212.14500000000001</c:v>
                </c:pt>
                <c:pt idx="362">
                  <c:v>201.7618846494359</c:v>
                </c:pt>
                <c:pt idx="363">
                  <c:v>171.62891027167225</c:v>
                </c:pt>
                <c:pt idx="364">
                  <c:v>124.6957023475875</c:v>
                </c:pt>
                <c:pt idx="365">
                  <c:v>65.556410271670913</c:v>
                </c:pt>
                <c:pt idx="366">
                  <c:v>2.0797329678724775E-13</c:v>
                </c:pt>
                <c:pt idx="367">
                  <c:v>-65.556410271670515</c:v>
                </c:pt>
                <c:pt idx="368">
                  <c:v>-124.69570234758714</c:v>
                </c:pt>
                <c:pt idx="369">
                  <c:v>-171.628910271672</c:v>
                </c:pt>
                <c:pt idx="370">
                  <c:v>-201.76188464943576</c:v>
                </c:pt>
                <c:pt idx="371">
                  <c:v>-212.14500000000001</c:v>
                </c:pt>
                <c:pt idx="372">
                  <c:v>-201.76188464943473</c:v>
                </c:pt>
                <c:pt idx="373">
                  <c:v>-171.62891027167359</c:v>
                </c:pt>
                <c:pt idx="374">
                  <c:v>-124.69570234758446</c:v>
                </c:pt>
                <c:pt idx="375">
                  <c:v>-65.556410271673087</c:v>
                </c:pt>
                <c:pt idx="376">
                  <c:v>-2.4950355388513034E-12</c:v>
                </c:pt>
                <c:pt idx="377">
                  <c:v>65.556410271674082</c:v>
                </c:pt>
                <c:pt idx="378">
                  <c:v>124.69570234758531</c:v>
                </c:pt>
                <c:pt idx="379">
                  <c:v>171.62891027167421</c:v>
                </c:pt>
                <c:pt idx="380">
                  <c:v>201.76188464943505</c:v>
                </c:pt>
                <c:pt idx="381">
                  <c:v>212.14500000000001</c:v>
                </c:pt>
                <c:pt idx="382">
                  <c:v>201.76188464943544</c:v>
                </c:pt>
                <c:pt idx="383">
                  <c:v>171.62891027167137</c:v>
                </c:pt>
                <c:pt idx="384">
                  <c:v>124.69570234758632</c:v>
                </c:pt>
                <c:pt idx="385">
                  <c:v>65.556410271675261</c:v>
                </c:pt>
                <c:pt idx="386">
                  <c:v>-1.2474257661976989E-12</c:v>
                </c:pt>
                <c:pt idx="387">
                  <c:v>-65.556410271671893</c:v>
                </c:pt>
                <c:pt idx="388">
                  <c:v>-124.69570234758832</c:v>
                </c:pt>
                <c:pt idx="389">
                  <c:v>-171.62891027167285</c:v>
                </c:pt>
                <c:pt idx="390">
                  <c:v>-201.76188464943621</c:v>
                </c:pt>
                <c:pt idx="391">
                  <c:v>-212.14500000000001</c:v>
                </c:pt>
                <c:pt idx="392">
                  <c:v>-201.76188464943431</c:v>
                </c:pt>
                <c:pt idx="393">
                  <c:v>-171.62891027167271</c:v>
                </c:pt>
                <c:pt idx="394">
                  <c:v>-124.69570234758328</c:v>
                </c:pt>
                <c:pt idx="395">
                  <c:v>-65.556410271671695</c:v>
                </c:pt>
                <c:pt idx="396">
                  <c:v>-1.0396364758663568E-12</c:v>
                </c:pt>
                <c:pt idx="397">
                  <c:v>65.55641027167546</c:v>
                </c:pt>
                <c:pt idx="398">
                  <c:v>124.69570234758649</c:v>
                </c:pt>
                <c:pt idx="399">
                  <c:v>171.62891027167504</c:v>
                </c:pt>
                <c:pt idx="400">
                  <c:v>201.7618846494355</c:v>
                </c:pt>
                <c:pt idx="401">
                  <c:v>212.14500000000001</c:v>
                </c:pt>
                <c:pt idx="402">
                  <c:v>201.76188464943499</c:v>
                </c:pt>
                <c:pt idx="403">
                  <c:v>171.62891027167052</c:v>
                </c:pt>
                <c:pt idx="404">
                  <c:v>124.69570234758514</c:v>
                </c:pt>
                <c:pt idx="405">
                  <c:v>65.556410271673883</c:v>
                </c:pt>
                <c:pt idx="406">
                  <c:v>-2.702824829182646E-12</c:v>
                </c:pt>
                <c:pt idx="407">
                  <c:v>-65.556410271673286</c:v>
                </c:pt>
                <c:pt idx="408">
                  <c:v>-124.6957023475895</c:v>
                </c:pt>
                <c:pt idx="409">
                  <c:v>-171.6289102716737</c:v>
                </c:pt>
                <c:pt idx="410">
                  <c:v>-201.76188464943664</c:v>
                </c:pt>
                <c:pt idx="411">
                  <c:v>-212.14500000000001</c:v>
                </c:pt>
                <c:pt idx="412">
                  <c:v>-201.76188464943382</c:v>
                </c:pt>
                <c:pt idx="413">
                  <c:v>-171.62891027167186</c:v>
                </c:pt>
                <c:pt idx="414">
                  <c:v>-124.6957023475821</c:v>
                </c:pt>
                <c:pt idx="415">
                  <c:v>-65.556410271670316</c:v>
                </c:pt>
                <c:pt idx="416">
                  <c:v>6.4452861342316487E-12</c:v>
                </c:pt>
                <c:pt idx="417">
                  <c:v>65.556410271671112</c:v>
                </c:pt>
                <c:pt idx="418">
                  <c:v>124.69570234758766</c:v>
                </c:pt>
                <c:pt idx="419">
                  <c:v>171.62891027167237</c:v>
                </c:pt>
                <c:pt idx="420">
                  <c:v>201.76188464943596</c:v>
                </c:pt>
                <c:pt idx="421">
                  <c:v>212.14500000000001</c:v>
                </c:pt>
                <c:pt idx="422">
                  <c:v>201.76188464943453</c:v>
                </c:pt>
                <c:pt idx="423">
                  <c:v>171.62891027167322</c:v>
                </c:pt>
                <c:pt idx="424">
                  <c:v>124.69570234758396</c:v>
                </c:pt>
                <c:pt idx="425">
                  <c:v>65.55641027167249</c:v>
                </c:pt>
                <c:pt idx="426">
                  <c:v>1.8712996549454658E-12</c:v>
                </c:pt>
                <c:pt idx="427">
                  <c:v>-65.556410271674665</c:v>
                </c:pt>
                <c:pt idx="428">
                  <c:v>-124.69570234758581</c:v>
                </c:pt>
                <c:pt idx="429">
                  <c:v>-171.62891027167456</c:v>
                </c:pt>
                <c:pt idx="430">
                  <c:v>-201.76188464943525</c:v>
                </c:pt>
                <c:pt idx="431">
                  <c:v>-212.14500000000001</c:v>
                </c:pt>
                <c:pt idx="432">
                  <c:v>-201.76188464943525</c:v>
                </c:pt>
                <c:pt idx="433">
                  <c:v>-171.62891027167103</c:v>
                </c:pt>
                <c:pt idx="434">
                  <c:v>-124.69570234758581</c:v>
                </c:pt>
                <c:pt idx="435">
                  <c:v>-65.556410271668938</c:v>
                </c:pt>
                <c:pt idx="436">
                  <c:v>1.8711616501035365E-12</c:v>
                </c:pt>
                <c:pt idx="437">
                  <c:v>65.55641027167249</c:v>
                </c:pt>
                <c:pt idx="438">
                  <c:v>124.69570234758883</c:v>
                </c:pt>
                <c:pt idx="439">
                  <c:v>171.62891027167322</c:v>
                </c:pt>
                <c:pt idx="440">
                  <c:v>201.76188464943641</c:v>
                </c:pt>
                <c:pt idx="441">
                  <c:v>212.14500000000001</c:v>
                </c:pt>
                <c:pt idx="442">
                  <c:v>201.76188464943408</c:v>
                </c:pt>
                <c:pt idx="443">
                  <c:v>171.62891027167237</c:v>
                </c:pt>
                <c:pt idx="444">
                  <c:v>124.69570234758278</c:v>
                </c:pt>
                <c:pt idx="445">
                  <c:v>65.556410271671112</c:v>
                </c:pt>
                <c:pt idx="446">
                  <c:v>4.1590059196051911E-13</c:v>
                </c:pt>
                <c:pt idx="447">
                  <c:v>-65.556410271676057</c:v>
                </c:pt>
                <c:pt idx="448">
                  <c:v>-124.69570234758697</c:v>
                </c:pt>
                <c:pt idx="449">
                  <c:v>-171.62891027167544</c:v>
                </c:pt>
                <c:pt idx="450">
                  <c:v>-201.7618846494357</c:v>
                </c:pt>
                <c:pt idx="451">
                  <c:v>-212.14500000000001</c:v>
                </c:pt>
                <c:pt idx="452">
                  <c:v>-201.76188464943479</c:v>
                </c:pt>
                <c:pt idx="453">
                  <c:v>-171.62891027167018</c:v>
                </c:pt>
                <c:pt idx="454">
                  <c:v>-124.69570234758463</c:v>
                </c:pt>
                <c:pt idx="455">
                  <c:v>-65.556410271673286</c:v>
                </c:pt>
                <c:pt idx="456">
                  <c:v>3.3265607130884836E-12</c:v>
                </c:pt>
                <c:pt idx="457">
                  <c:v>65.556410271673883</c:v>
                </c:pt>
                <c:pt idx="458">
                  <c:v>124.69570234759001</c:v>
                </c:pt>
                <c:pt idx="459">
                  <c:v>171.62891027167407</c:v>
                </c:pt>
                <c:pt idx="460">
                  <c:v>201.76188464943687</c:v>
                </c:pt>
                <c:pt idx="461">
                  <c:v>212.14500000000001</c:v>
                </c:pt>
                <c:pt idx="462">
                  <c:v>201.76188464943363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A4-4952-993D-49BBE293A1D4}"/>
            </c:ext>
          </c:extLst>
        </c:ser>
        <c:ser>
          <c:idx val="1"/>
          <c:order val="1"/>
          <c:tx>
            <c:strRef>
              <c:f>'DFT Recurs (2)'!$H$10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'DFT Recurs (2)'!$A$11:$A$473</c:f>
              <c:numCache>
                <c:formatCode>General</c:formatCode>
                <c:ptCount val="463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9.0000000000000011E-3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1.3000000000000001E-2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1.8000000000000002E-2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2.6000000000000002E-2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3.6000000000000004E-2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4.3000000000000003E-2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5.1000000000000004E-2</c:v>
                </c:pt>
                <c:pt idx="52">
                  <c:v>5.2000000000000005E-2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5.9000000000000004E-2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7.1000000000000008E-2</c:v>
                </c:pt>
                <c:pt idx="72">
                  <c:v>7.2000000000000008E-2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8.6000000000000007E-2</c:v>
                </c:pt>
                <c:pt idx="87">
                  <c:v>8.7000000000000008E-2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0.10200000000000001</c:v>
                </c:pt>
                <c:pt idx="103">
                  <c:v>0.10300000000000001</c:v>
                </c:pt>
                <c:pt idx="104">
                  <c:v>0.10400000000000001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0.11800000000000001</c:v>
                </c:pt>
                <c:pt idx="119">
                  <c:v>0.11900000000000001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0.14100000000000001</c:v>
                </c:pt>
                <c:pt idx="142">
                  <c:v>0.14200000000000002</c:v>
                </c:pt>
                <c:pt idx="143">
                  <c:v>0.14300000000000002</c:v>
                </c:pt>
                <c:pt idx="144">
                  <c:v>0.14400000000000002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0.17200000000000001</c:v>
                </c:pt>
                <c:pt idx="173">
                  <c:v>0.17300000000000001</c:v>
                </c:pt>
                <c:pt idx="174">
                  <c:v>0.17400000000000002</c:v>
                </c:pt>
                <c:pt idx="175">
                  <c:v>0.17500000000000002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0.20400000000000001</c:v>
                </c:pt>
                <c:pt idx="205">
                  <c:v>0.20500000000000002</c:v>
                </c:pt>
                <c:pt idx="206">
                  <c:v>0.20600000000000002</c:v>
                </c:pt>
                <c:pt idx="207">
                  <c:v>0.20700000000000002</c:v>
                </c:pt>
                <c:pt idx="208">
                  <c:v>0.20800000000000002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0.23500000000000001</c:v>
                </c:pt>
                <c:pt idx="236">
                  <c:v>0.23600000000000002</c:v>
                </c:pt>
                <c:pt idx="237">
                  <c:v>0.23700000000000002</c:v>
                </c:pt>
                <c:pt idx="238">
                  <c:v>0.23800000000000002</c:v>
                </c:pt>
                <c:pt idx="239">
                  <c:v>0.23900000000000002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0.28200000000000003</c:v>
                </c:pt>
                <c:pt idx="283">
                  <c:v>0.28300000000000003</c:v>
                </c:pt>
                <c:pt idx="284">
                  <c:v>0.28400000000000003</c:v>
                </c:pt>
                <c:pt idx="285">
                  <c:v>0.28500000000000003</c:v>
                </c:pt>
                <c:pt idx="286">
                  <c:v>0.28600000000000003</c:v>
                </c:pt>
                <c:pt idx="287">
                  <c:v>0.28700000000000003</c:v>
                </c:pt>
                <c:pt idx="288">
                  <c:v>0.28800000000000003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0.34400000000000003</c:v>
                </c:pt>
                <c:pt idx="345">
                  <c:v>0.34500000000000003</c:v>
                </c:pt>
                <c:pt idx="346">
                  <c:v>0.34600000000000003</c:v>
                </c:pt>
                <c:pt idx="347">
                  <c:v>0.34700000000000003</c:v>
                </c:pt>
                <c:pt idx="348">
                  <c:v>0.34800000000000003</c:v>
                </c:pt>
                <c:pt idx="349">
                  <c:v>0.34900000000000003</c:v>
                </c:pt>
                <c:pt idx="350">
                  <c:v>0.35000000000000003</c:v>
                </c:pt>
                <c:pt idx="351">
                  <c:v>0.35100000000000003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0.40700000000000003</c:v>
                </c:pt>
                <c:pt idx="408">
                  <c:v>0.40800000000000003</c:v>
                </c:pt>
                <c:pt idx="409">
                  <c:v>0.40900000000000003</c:v>
                </c:pt>
                <c:pt idx="410">
                  <c:v>0.41000000000000003</c:v>
                </c:pt>
                <c:pt idx="411">
                  <c:v>0.41100000000000003</c:v>
                </c:pt>
                <c:pt idx="412">
                  <c:v>0.41200000000000003</c:v>
                </c:pt>
                <c:pt idx="413">
                  <c:v>0.41300000000000003</c:v>
                </c:pt>
                <c:pt idx="414">
                  <c:v>0.41400000000000003</c:v>
                </c:pt>
                <c:pt idx="415">
                  <c:v>0.41500000000000004</c:v>
                </c:pt>
                <c:pt idx="416">
                  <c:v>0.41600000000000004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</c:numCache>
            </c:numRef>
          </c:xVal>
          <c:yVal>
            <c:numRef>
              <c:f>'DFT Recurs (2)'!$H$11:$H$473</c:f>
              <c:numCache>
                <c:formatCode>General</c:formatCode>
                <c:ptCount val="463"/>
                <c:pt idx="0">
                  <c:v>3.7866812911568508</c:v>
                </c:pt>
                <c:pt idx="1">
                  <c:v>10.13072655906635</c:v>
                </c:pt>
                <c:pt idx="2">
                  <c:v>18.209109863112641</c:v>
                </c:pt>
                <c:pt idx="3">
                  <c:v>26.978890352227936</c:v>
                </c:pt>
                <c:pt idx="4">
                  <c:v>35.325820762870428</c:v>
                </c:pt>
                <c:pt idx="5">
                  <c:v>42.239085327485277</c:v>
                </c:pt>
                <c:pt idx="6">
                  <c:v>47.003816934943949</c:v>
                </c:pt>
                <c:pt idx="7">
                  <c:v>49.407621780502971</c:v>
                </c:pt>
                <c:pt idx="8">
                  <c:v>49.95312088074963</c:v>
                </c:pt>
                <c:pt idx="9">
                  <c:v>50.002576500000004</c:v>
                </c:pt>
                <c:pt idx="10">
                  <c:v>51.555660832222124</c:v>
                </c:pt>
                <c:pt idx="11">
                  <c:v>56.247649306757431</c:v>
                </c:pt>
                <c:pt idx="12">
                  <c:v>64.155370351799789</c:v>
                </c:pt>
                <c:pt idx="13">
                  <c:v>73.863408020276836</c:v>
                </c:pt>
                <c:pt idx="14">
                  <c:v>83.489320039223955</c:v>
                </c:pt>
                <c:pt idx="15">
                  <c:v>91.451663669894302</c:v>
                </c:pt>
                <c:pt idx="16">
                  <c:v>96.805005575759751</c:v>
                </c:pt>
                <c:pt idx="17">
                  <c:v>99.397650976677696</c:v>
                </c:pt>
                <c:pt idx="18">
                  <c:v>99.952962043631572</c:v>
                </c:pt>
                <c:pt idx="19">
                  <c:v>100.00515300000001</c:v>
                </c:pt>
                <c:pt idx="20">
                  <c:v>100.00515300000001</c:v>
                </c:pt>
                <c:pt idx="21">
                  <c:v>100.00515300000001</c:v>
                </c:pt>
                <c:pt idx="22">
                  <c:v>100.00515300000001</c:v>
                </c:pt>
                <c:pt idx="23">
                  <c:v>100.00515300000001</c:v>
                </c:pt>
                <c:pt idx="24">
                  <c:v>100.00515300000001</c:v>
                </c:pt>
                <c:pt idx="25">
                  <c:v>100.00515300000001</c:v>
                </c:pt>
                <c:pt idx="26">
                  <c:v>100.00515299999998</c:v>
                </c:pt>
                <c:pt idx="27">
                  <c:v>100.00515299999998</c:v>
                </c:pt>
                <c:pt idx="28">
                  <c:v>100.00515299999998</c:v>
                </c:pt>
                <c:pt idx="29">
                  <c:v>100.00515299999998</c:v>
                </c:pt>
                <c:pt idx="30">
                  <c:v>100.00515299999998</c:v>
                </c:pt>
                <c:pt idx="31">
                  <c:v>100.00515299999998</c:v>
                </c:pt>
                <c:pt idx="32">
                  <c:v>100.00515299999998</c:v>
                </c:pt>
                <c:pt idx="33">
                  <c:v>100.00515299999998</c:v>
                </c:pt>
                <c:pt idx="34">
                  <c:v>100.00515299999998</c:v>
                </c:pt>
                <c:pt idx="35">
                  <c:v>100.00515299999998</c:v>
                </c:pt>
                <c:pt idx="36">
                  <c:v>100.00515299999996</c:v>
                </c:pt>
                <c:pt idx="37">
                  <c:v>100.00515299999998</c:v>
                </c:pt>
                <c:pt idx="38">
                  <c:v>100.00515299999996</c:v>
                </c:pt>
                <c:pt idx="39">
                  <c:v>100.00515299999996</c:v>
                </c:pt>
                <c:pt idx="40">
                  <c:v>100.00515299999996</c:v>
                </c:pt>
                <c:pt idx="41">
                  <c:v>100.00515299999998</c:v>
                </c:pt>
                <c:pt idx="42">
                  <c:v>100.00515299999998</c:v>
                </c:pt>
                <c:pt idx="43">
                  <c:v>100.00515299999998</c:v>
                </c:pt>
                <c:pt idx="44">
                  <c:v>100.00515299999998</c:v>
                </c:pt>
                <c:pt idx="45">
                  <c:v>100.00515299999998</c:v>
                </c:pt>
                <c:pt idx="46">
                  <c:v>100.00515299999999</c:v>
                </c:pt>
                <c:pt idx="47">
                  <c:v>100.00515299999999</c:v>
                </c:pt>
                <c:pt idx="48">
                  <c:v>100.00515299999998</c:v>
                </c:pt>
                <c:pt idx="49">
                  <c:v>100.00515299999998</c:v>
                </c:pt>
                <c:pt idx="50">
                  <c:v>100.00515299999998</c:v>
                </c:pt>
                <c:pt idx="51">
                  <c:v>100.00515300000001</c:v>
                </c:pt>
                <c:pt idx="52">
                  <c:v>100.00515300000002</c:v>
                </c:pt>
                <c:pt idx="53">
                  <c:v>100.00515300000002</c:v>
                </c:pt>
                <c:pt idx="54">
                  <c:v>100.00515300000002</c:v>
                </c:pt>
                <c:pt idx="55">
                  <c:v>100.00515300000002</c:v>
                </c:pt>
                <c:pt idx="56">
                  <c:v>100.00515300000002</c:v>
                </c:pt>
                <c:pt idx="57">
                  <c:v>100.00515300000001</c:v>
                </c:pt>
                <c:pt idx="58">
                  <c:v>100.00515300000001</c:v>
                </c:pt>
                <c:pt idx="59">
                  <c:v>100.00515300000001</c:v>
                </c:pt>
                <c:pt idx="60">
                  <c:v>100.00515300000001</c:v>
                </c:pt>
                <c:pt idx="61">
                  <c:v>100.00515300000002</c:v>
                </c:pt>
                <c:pt idx="62">
                  <c:v>100.00515300000002</c:v>
                </c:pt>
                <c:pt idx="63">
                  <c:v>100.00515300000002</c:v>
                </c:pt>
                <c:pt idx="64">
                  <c:v>100.00515300000002</c:v>
                </c:pt>
                <c:pt idx="65">
                  <c:v>100.00515300000001</c:v>
                </c:pt>
                <c:pt idx="66">
                  <c:v>100.00515299999998</c:v>
                </c:pt>
                <c:pt idx="67">
                  <c:v>100.00515299999995</c:v>
                </c:pt>
                <c:pt idx="68">
                  <c:v>100.00515299999995</c:v>
                </c:pt>
                <c:pt idx="69">
                  <c:v>100.00515299999996</c:v>
                </c:pt>
                <c:pt idx="70">
                  <c:v>100.00515299999998</c:v>
                </c:pt>
                <c:pt idx="71">
                  <c:v>100.00515299999998</c:v>
                </c:pt>
                <c:pt idx="72">
                  <c:v>100.00515299999998</c:v>
                </c:pt>
                <c:pt idx="73">
                  <c:v>100.00515299999996</c:v>
                </c:pt>
                <c:pt idx="74">
                  <c:v>100.00515299999996</c:v>
                </c:pt>
                <c:pt idx="75">
                  <c:v>100.00515299999996</c:v>
                </c:pt>
                <c:pt idx="76">
                  <c:v>100.00515299999996</c:v>
                </c:pt>
                <c:pt idx="77">
                  <c:v>100.00515299999996</c:v>
                </c:pt>
                <c:pt idx="78">
                  <c:v>100.00515299999996</c:v>
                </c:pt>
                <c:pt idx="79">
                  <c:v>100.00515299999996</c:v>
                </c:pt>
                <c:pt idx="80">
                  <c:v>100.00515299999996</c:v>
                </c:pt>
                <c:pt idx="81">
                  <c:v>100.00515299999996</c:v>
                </c:pt>
                <c:pt idx="82">
                  <c:v>100.00515299999998</c:v>
                </c:pt>
                <c:pt idx="83">
                  <c:v>100.00515299999998</c:v>
                </c:pt>
                <c:pt idx="84">
                  <c:v>100.00515299999998</c:v>
                </c:pt>
                <c:pt idx="85">
                  <c:v>100.00515299999998</c:v>
                </c:pt>
                <c:pt idx="86">
                  <c:v>100.00515299999998</c:v>
                </c:pt>
                <c:pt idx="87">
                  <c:v>100.00515299999996</c:v>
                </c:pt>
                <c:pt idx="88">
                  <c:v>100.00515299999998</c:v>
                </c:pt>
                <c:pt idx="89">
                  <c:v>101.48777990402576</c:v>
                </c:pt>
                <c:pt idx="90">
                  <c:v>106.91314865083866</c:v>
                </c:pt>
                <c:pt idx="91">
                  <c:v>113.73007842682232</c:v>
                </c:pt>
                <c:pt idx="92">
                  <c:v>119.23232988523952</c:v>
                </c:pt>
                <c:pt idx="93">
                  <c:v>121.65382951573012</c:v>
                </c:pt>
                <c:pt idx="94">
                  <c:v>120.56229912177476</c:v>
                </c:pt>
                <c:pt idx="95">
                  <c:v>116.919655123995</c:v>
                </c:pt>
                <c:pt idx="96">
                  <c:v>112.90444786323928</c:v>
                </c:pt>
                <c:pt idx="97">
                  <c:v>111.25035511234778</c:v>
                </c:pt>
                <c:pt idx="98">
                  <c:v>113.89585886148161</c:v>
                </c:pt>
                <c:pt idx="99">
                  <c:v>120.70381276231731</c:v>
                </c:pt>
                <c:pt idx="100">
                  <c:v>129.60843209306185</c:v>
                </c:pt>
                <c:pt idx="101">
                  <c:v>137.95519002820546</c:v>
                </c:pt>
                <c:pt idx="102">
                  <c:v>143.68552598986221</c:v>
                </c:pt>
                <c:pt idx="103">
                  <c:v>145.90234740965465</c:v>
                </c:pt>
                <c:pt idx="104">
                  <c:v>145.03953615481524</c:v>
                </c:pt>
                <c:pt idx="105">
                  <c:v>142.77564464592197</c:v>
                </c:pt>
                <c:pt idx="106">
                  <c:v>141.57922565273429</c:v>
                </c:pt>
                <c:pt idx="107">
                  <c:v>143.71356710595086</c:v>
                </c:pt>
                <c:pt idx="108">
                  <c:v>150.00772949999984</c:v>
                </c:pt>
                <c:pt idx="109">
                  <c:v>150.0077294999999</c:v>
                </c:pt>
                <c:pt idx="110">
                  <c:v>150.0077294999999</c:v>
                </c:pt>
                <c:pt idx="111">
                  <c:v>150.0077294999999</c:v>
                </c:pt>
                <c:pt idx="112">
                  <c:v>150.0077294999999</c:v>
                </c:pt>
                <c:pt idx="113">
                  <c:v>150.0077294999999</c:v>
                </c:pt>
                <c:pt idx="114">
                  <c:v>150.0077294999999</c:v>
                </c:pt>
                <c:pt idx="115">
                  <c:v>150.0077294999999</c:v>
                </c:pt>
                <c:pt idx="116">
                  <c:v>150.00772949999987</c:v>
                </c:pt>
                <c:pt idx="117">
                  <c:v>150.00772949999987</c:v>
                </c:pt>
                <c:pt idx="118">
                  <c:v>150.00772949999987</c:v>
                </c:pt>
                <c:pt idx="119">
                  <c:v>150.00772949999993</c:v>
                </c:pt>
                <c:pt idx="120">
                  <c:v>150.00772949999993</c:v>
                </c:pt>
                <c:pt idx="121">
                  <c:v>150.00772949999993</c:v>
                </c:pt>
                <c:pt idx="122">
                  <c:v>150.00772949999993</c:v>
                </c:pt>
                <c:pt idx="123">
                  <c:v>150.00772949999995</c:v>
                </c:pt>
                <c:pt idx="124">
                  <c:v>150.00772950000001</c:v>
                </c:pt>
                <c:pt idx="125">
                  <c:v>150.00772950000001</c:v>
                </c:pt>
                <c:pt idx="126">
                  <c:v>150.00772950000001</c:v>
                </c:pt>
                <c:pt idx="127">
                  <c:v>150.00772950000004</c:v>
                </c:pt>
                <c:pt idx="128">
                  <c:v>150.00772950000004</c:v>
                </c:pt>
                <c:pt idx="129">
                  <c:v>150.00772950000004</c:v>
                </c:pt>
                <c:pt idx="130">
                  <c:v>150.00772950000004</c:v>
                </c:pt>
                <c:pt idx="131">
                  <c:v>150.00772950000004</c:v>
                </c:pt>
                <c:pt idx="132">
                  <c:v>150.00772950000001</c:v>
                </c:pt>
                <c:pt idx="133">
                  <c:v>150.00772950000001</c:v>
                </c:pt>
                <c:pt idx="134">
                  <c:v>150.00772950000001</c:v>
                </c:pt>
                <c:pt idx="135">
                  <c:v>150.00772950000001</c:v>
                </c:pt>
                <c:pt idx="136">
                  <c:v>150.00772950000001</c:v>
                </c:pt>
                <c:pt idx="137">
                  <c:v>150.00772950000001</c:v>
                </c:pt>
                <c:pt idx="138">
                  <c:v>150.00772950000001</c:v>
                </c:pt>
                <c:pt idx="139">
                  <c:v>150.00772950000001</c:v>
                </c:pt>
                <c:pt idx="140">
                  <c:v>150.00772950000004</c:v>
                </c:pt>
                <c:pt idx="141">
                  <c:v>150.00772950000004</c:v>
                </c:pt>
                <c:pt idx="142">
                  <c:v>150.00772950000004</c:v>
                </c:pt>
                <c:pt idx="143">
                  <c:v>150.00772949999998</c:v>
                </c:pt>
                <c:pt idx="144">
                  <c:v>150.00772949999995</c:v>
                </c:pt>
                <c:pt idx="145">
                  <c:v>150.00772949999995</c:v>
                </c:pt>
                <c:pt idx="146">
                  <c:v>150.00772949999995</c:v>
                </c:pt>
                <c:pt idx="147">
                  <c:v>150.00772949999993</c:v>
                </c:pt>
                <c:pt idx="148">
                  <c:v>150.00772949999993</c:v>
                </c:pt>
                <c:pt idx="149">
                  <c:v>150.00772949999993</c:v>
                </c:pt>
                <c:pt idx="150">
                  <c:v>150.00772949999993</c:v>
                </c:pt>
                <c:pt idx="151">
                  <c:v>150.00772949999993</c:v>
                </c:pt>
                <c:pt idx="152">
                  <c:v>150.00772949999995</c:v>
                </c:pt>
                <c:pt idx="153">
                  <c:v>150.00772949999995</c:v>
                </c:pt>
                <c:pt idx="154">
                  <c:v>150.00772949999995</c:v>
                </c:pt>
                <c:pt idx="155">
                  <c:v>150.00772949999995</c:v>
                </c:pt>
                <c:pt idx="156">
                  <c:v>150.00772949999995</c:v>
                </c:pt>
                <c:pt idx="157">
                  <c:v>150.00772949999995</c:v>
                </c:pt>
                <c:pt idx="158">
                  <c:v>150.00772949999995</c:v>
                </c:pt>
                <c:pt idx="159">
                  <c:v>150.00772949999995</c:v>
                </c:pt>
                <c:pt idx="160">
                  <c:v>150.00772949999993</c:v>
                </c:pt>
                <c:pt idx="161">
                  <c:v>150.00772949999993</c:v>
                </c:pt>
                <c:pt idx="162">
                  <c:v>150.00772949999993</c:v>
                </c:pt>
                <c:pt idx="163">
                  <c:v>150.00772949999993</c:v>
                </c:pt>
                <c:pt idx="164">
                  <c:v>150.00772949999993</c:v>
                </c:pt>
                <c:pt idx="165">
                  <c:v>150.00772949999995</c:v>
                </c:pt>
                <c:pt idx="166">
                  <c:v>150.00772949999993</c:v>
                </c:pt>
                <c:pt idx="167">
                  <c:v>150.00772949999998</c:v>
                </c:pt>
                <c:pt idx="168">
                  <c:v>150.00772950000001</c:v>
                </c:pt>
                <c:pt idx="169">
                  <c:v>150.00772950000007</c:v>
                </c:pt>
                <c:pt idx="170">
                  <c:v>150.00772950000007</c:v>
                </c:pt>
                <c:pt idx="171">
                  <c:v>150.00772950000007</c:v>
                </c:pt>
                <c:pt idx="172">
                  <c:v>150.00772950000001</c:v>
                </c:pt>
                <c:pt idx="173">
                  <c:v>150.00772949999998</c:v>
                </c:pt>
                <c:pt idx="174">
                  <c:v>150.00772949999993</c:v>
                </c:pt>
                <c:pt idx="175">
                  <c:v>150.00772949999993</c:v>
                </c:pt>
                <c:pt idx="176">
                  <c:v>150.00772949999993</c:v>
                </c:pt>
                <c:pt idx="177">
                  <c:v>150.00772949999993</c:v>
                </c:pt>
                <c:pt idx="178">
                  <c:v>150.0077294999999</c:v>
                </c:pt>
                <c:pt idx="179">
                  <c:v>150.00772949999984</c:v>
                </c:pt>
                <c:pt idx="180">
                  <c:v>150.00772949999984</c:v>
                </c:pt>
                <c:pt idx="181">
                  <c:v>150.00772949999984</c:v>
                </c:pt>
                <c:pt idx="182">
                  <c:v>150.00772949999984</c:v>
                </c:pt>
                <c:pt idx="183">
                  <c:v>150.00772949999987</c:v>
                </c:pt>
                <c:pt idx="184">
                  <c:v>150.00772949999993</c:v>
                </c:pt>
                <c:pt idx="185">
                  <c:v>150.00772949999993</c:v>
                </c:pt>
                <c:pt idx="186">
                  <c:v>150.00772949999993</c:v>
                </c:pt>
                <c:pt idx="187">
                  <c:v>150.00772949999993</c:v>
                </c:pt>
                <c:pt idx="188">
                  <c:v>150.00772949999987</c:v>
                </c:pt>
                <c:pt idx="189">
                  <c:v>150.00772949999981</c:v>
                </c:pt>
                <c:pt idx="190">
                  <c:v>150.00772949999981</c:v>
                </c:pt>
                <c:pt idx="191">
                  <c:v>150.00772949999981</c:v>
                </c:pt>
                <c:pt idx="192">
                  <c:v>150.00772949999981</c:v>
                </c:pt>
                <c:pt idx="193">
                  <c:v>150.00772949999987</c:v>
                </c:pt>
                <c:pt idx="194">
                  <c:v>150.00772949999993</c:v>
                </c:pt>
                <c:pt idx="195">
                  <c:v>150.00772949999993</c:v>
                </c:pt>
                <c:pt idx="196">
                  <c:v>150.00772949999993</c:v>
                </c:pt>
                <c:pt idx="197">
                  <c:v>150.00772949999995</c:v>
                </c:pt>
                <c:pt idx="198">
                  <c:v>150.00772949999998</c:v>
                </c:pt>
                <c:pt idx="199">
                  <c:v>150.00772950000004</c:v>
                </c:pt>
                <c:pt idx="200">
                  <c:v>150.00772950000007</c:v>
                </c:pt>
                <c:pt idx="201">
                  <c:v>150.00772950000007</c:v>
                </c:pt>
                <c:pt idx="202">
                  <c:v>150.0077295000001</c:v>
                </c:pt>
                <c:pt idx="203">
                  <c:v>150.00772949999998</c:v>
                </c:pt>
                <c:pt idx="204">
                  <c:v>150.00772949999998</c:v>
                </c:pt>
                <c:pt idx="205">
                  <c:v>150.00772949999993</c:v>
                </c:pt>
                <c:pt idx="206">
                  <c:v>150.00772949999993</c:v>
                </c:pt>
                <c:pt idx="207">
                  <c:v>150.00772949999998</c:v>
                </c:pt>
                <c:pt idx="208">
                  <c:v>150.00772950000001</c:v>
                </c:pt>
                <c:pt idx="209">
                  <c:v>150.00772949999998</c:v>
                </c:pt>
                <c:pt idx="210">
                  <c:v>150.00772949999998</c:v>
                </c:pt>
                <c:pt idx="211">
                  <c:v>150.00772949999998</c:v>
                </c:pt>
                <c:pt idx="212">
                  <c:v>150.00772949999995</c:v>
                </c:pt>
                <c:pt idx="213">
                  <c:v>150.00772949999995</c:v>
                </c:pt>
                <c:pt idx="214">
                  <c:v>150.00772950000007</c:v>
                </c:pt>
                <c:pt idx="215">
                  <c:v>150.00772950000007</c:v>
                </c:pt>
                <c:pt idx="216">
                  <c:v>150.00772950000007</c:v>
                </c:pt>
                <c:pt idx="217">
                  <c:v>150.00772950000007</c:v>
                </c:pt>
                <c:pt idx="218">
                  <c:v>150.00772950000001</c:v>
                </c:pt>
                <c:pt idx="219">
                  <c:v>150.00772950000007</c:v>
                </c:pt>
                <c:pt idx="220">
                  <c:v>150.00772950000004</c:v>
                </c:pt>
                <c:pt idx="221">
                  <c:v>150.00772950000004</c:v>
                </c:pt>
                <c:pt idx="222">
                  <c:v>150.00772949999998</c:v>
                </c:pt>
                <c:pt idx="223">
                  <c:v>150.00772950000015</c:v>
                </c:pt>
                <c:pt idx="224">
                  <c:v>150.0077295000001</c:v>
                </c:pt>
                <c:pt idx="225">
                  <c:v>150.00772950000021</c:v>
                </c:pt>
                <c:pt idx="226">
                  <c:v>150.00772950000018</c:v>
                </c:pt>
                <c:pt idx="227">
                  <c:v>150.00772950000012</c:v>
                </c:pt>
                <c:pt idx="228">
                  <c:v>150.00772950000015</c:v>
                </c:pt>
                <c:pt idx="229">
                  <c:v>150.00772950000021</c:v>
                </c:pt>
                <c:pt idx="230">
                  <c:v>150.00772950000024</c:v>
                </c:pt>
                <c:pt idx="231">
                  <c:v>150.00772950000024</c:v>
                </c:pt>
                <c:pt idx="232">
                  <c:v>150.00772950000032</c:v>
                </c:pt>
                <c:pt idx="233">
                  <c:v>150.00772950000027</c:v>
                </c:pt>
                <c:pt idx="234">
                  <c:v>150.00772950000024</c:v>
                </c:pt>
                <c:pt idx="235">
                  <c:v>150.00772950000018</c:v>
                </c:pt>
                <c:pt idx="236">
                  <c:v>150.00772950000018</c:v>
                </c:pt>
                <c:pt idx="237">
                  <c:v>150.00772950000024</c:v>
                </c:pt>
                <c:pt idx="238">
                  <c:v>150.00772950000027</c:v>
                </c:pt>
                <c:pt idx="239">
                  <c:v>150.00772950000032</c:v>
                </c:pt>
                <c:pt idx="240">
                  <c:v>150.00772950000032</c:v>
                </c:pt>
                <c:pt idx="241">
                  <c:v>150.00772950000032</c:v>
                </c:pt>
                <c:pt idx="242">
                  <c:v>150.00772950000032</c:v>
                </c:pt>
                <c:pt idx="243">
                  <c:v>150.00772950000027</c:v>
                </c:pt>
                <c:pt idx="244">
                  <c:v>150.00772950000021</c:v>
                </c:pt>
                <c:pt idx="245">
                  <c:v>150.00772950000018</c:v>
                </c:pt>
                <c:pt idx="246">
                  <c:v>150.00772950000015</c:v>
                </c:pt>
                <c:pt idx="247">
                  <c:v>150.00772950000018</c:v>
                </c:pt>
                <c:pt idx="248">
                  <c:v>150.00772950000004</c:v>
                </c:pt>
                <c:pt idx="249">
                  <c:v>150.0077295000001</c:v>
                </c:pt>
                <c:pt idx="250">
                  <c:v>150.00772949999998</c:v>
                </c:pt>
                <c:pt idx="251">
                  <c:v>150.00772949999998</c:v>
                </c:pt>
                <c:pt idx="252">
                  <c:v>150.00772949999998</c:v>
                </c:pt>
                <c:pt idx="253">
                  <c:v>150.0077294999999</c:v>
                </c:pt>
                <c:pt idx="254">
                  <c:v>150.00772949999987</c:v>
                </c:pt>
                <c:pt idx="255">
                  <c:v>150.00772949999995</c:v>
                </c:pt>
                <c:pt idx="256">
                  <c:v>150.00772949999995</c:v>
                </c:pt>
                <c:pt idx="257">
                  <c:v>150.00772949999987</c:v>
                </c:pt>
                <c:pt idx="258">
                  <c:v>150.0077294999999</c:v>
                </c:pt>
                <c:pt idx="259">
                  <c:v>150.00772949999975</c:v>
                </c:pt>
                <c:pt idx="260">
                  <c:v>150.00772949999978</c:v>
                </c:pt>
                <c:pt idx="261">
                  <c:v>150.00772949999978</c:v>
                </c:pt>
                <c:pt idx="262">
                  <c:v>150.00772949999975</c:v>
                </c:pt>
                <c:pt idx="263">
                  <c:v>150.00772949999973</c:v>
                </c:pt>
                <c:pt idx="264">
                  <c:v>150.00772949999967</c:v>
                </c:pt>
                <c:pt idx="265">
                  <c:v>150.00772949999964</c:v>
                </c:pt>
                <c:pt idx="266">
                  <c:v>150.00772949999964</c:v>
                </c:pt>
                <c:pt idx="267">
                  <c:v>150.00772949999964</c:v>
                </c:pt>
                <c:pt idx="268">
                  <c:v>150.0077294999997</c:v>
                </c:pt>
                <c:pt idx="269">
                  <c:v>150.00772949999975</c:v>
                </c:pt>
                <c:pt idx="270">
                  <c:v>150.00772949999978</c:v>
                </c:pt>
                <c:pt idx="271">
                  <c:v>150.00772949999978</c:v>
                </c:pt>
                <c:pt idx="272">
                  <c:v>150.00772949999973</c:v>
                </c:pt>
                <c:pt idx="273">
                  <c:v>150.0077294999997</c:v>
                </c:pt>
                <c:pt idx="274">
                  <c:v>150.00772949999964</c:v>
                </c:pt>
                <c:pt idx="275">
                  <c:v>150.00772949999961</c:v>
                </c:pt>
                <c:pt idx="276">
                  <c:v>150.00772949999961</c:v>
                </c:pt>
                <c:pt idx="277">
                  <c:v>150.00772949999964</c:v>
                </c:pt>
                <c:pt idx="278">
                  <c:v>150.00772949999967</c:v>
                </c:pt>
                <c:pt idx="279">
                  <c:v>150.00772949999973</c:v>
                </c:pt>
                <c:pt idx="280">
                  <c:v>150.00772949999975</c:v>
                </c:pt>
                <c:pt idx="281">
                  <c:v>150.00772949999975</c:v>
                </c:pt>
                <c:pt idx="282">
                  <c:v>150.00772949999973</c:v>
                </c:pt>
                <c:pt idx="283">
                  <c:v>150.00772949999967</c:v>
                </c:pt>
                <c:pt idx="284">
                  <c:v>150.00772949999984</c:v>
                </c:pt>
                <c:pt idx="285">
                  <c:v>150.00772949999981</c:v>
                </c:pt>
                <c:pt idx="286">
                  <c:v>150.00772949999981</c:v>
                </c:pt>
                <c:pt idx="287">
                  <c:v>150.00772949999984</c:v>
                </c:pt>
                <c:pt idx="288">
                  <c:v>150.00772949999987</c:v>
                </c:pt>
                <c:pt idx="289">
                  <c:v>150.00772949999973</c:v>
                </c:pt>
                <c:pt idx="290">
                  <c:v>150.00772949999975</c:v>
                </c:pt>
                <c:pt idx="291">
                  <c:v>150.00772949999975</c:v>
                </c:pt>
                <c:pt idx="292">
                  <c:v>150.00772949999987</c:v>
                </c:pt>
                <c:pt idx="293">
                  <c:v>150.00772950000001</c:v>
                </c:pt>
                <c:pt idx="294">
                  <c:v>150.00772950000015</c:v>
                </c:pt>
                <c:pt idx="295">
                  <c:v>150.00772950000015</c:v>
                </c:pt>
                <c:pt idx="296">
                  <c:v>150.00772950000012</c:v>
                </c:pt>
                <c:pt idx="297">
                  <c:v>150.00772950000015</c:v>
                </c:pt>
                <c:pt idx="298">
                  <c:v>150.00772950000001</c:v>
                </c:pt>
                <c:pt idx="299">
                  <c:v>150.00772950000007</c:v>
                </c:pt>
                <c:pt idx="300">
                  <c:v>150.00772949999998</c:v>
                </c:pt>
                <c:pt idx="301">
                  <c:v>150.00772949999998</c:v>
                </c:pt>
                <c:pt idx="302">
                  <c:v>150.0077295000001</c:v>
                </c:pt>
                <c:pt idx="303">
                  <c:v>150.00772950000024</c:v>
                </c:pt>
                <c:pt idx="304">
                  <c:v>150.00772950000018</c:v>
                </c:pt>
                <c:pt idx="305">
                  <c:v>150.00772950000027</c:v>
                </c:pt>
                <c:pt idx="306">
                  <c:v>150.00772950000027</c:v>
                </c:pt>
                <c:pt idx="307">
                  <c:v>150.00772950000018</c:v>
                </c:pt>
                <c:pt idx="308">
                  <c:v>150.00772950000024</c:v>
                </c:pt>
                <c:pt idx="309">
                  <c:v>150.00772950000027</c:v>
                </c:pt>
                <c:pt idx="310">
                  <c:v>150.00772950000029</c:v>
                </c:pt>
                <c:pt idx="311">
                  <c:v>150.00772950000029</c:v>
                </c:pt>
                <c:pt idx="312">
                  <c:v>150.00772950000027</c:v>
                </c:pt>
                <c:pt idx="313">
                  <c:v>150.00772950000024</c:v>
                </c:pt>
                <c:pt idx="314">
                  <c:v>150.00772950000018</c:v>
                </c:pt>
                <c:pt idx="315">
                  <c:v>150.00772950000015</c:v>
                </c:pt>
                <c:pt idx="316">
                  <c:v>150.00772950000015</c:v>
                </c:pt>
                <c:pt idx="317">
                  <c:v>150.00772950000018</c:v>
                </c:pt>
                <c:pt idx="318">
                  <c:v>150.00772950000021</c:v>
                </c:pt>
                <c:pt idx="319">
                  <c:v>150.00772950000027</c:v>
                </c:pt>
                <c:pt idx="320">
                  <c:v>150.00772950000029</c:v>
                </c:pt>
                <c:pt idx="321">
                  <c:v>150.00772950000029</c:v>
                </c:pt>
                <c:pt idx="322">
                  <c:v>150.00772950000024</c:v>
                </c:pt>
                <c:pt idx="323">
                  <c:v>150.00772950000021</c:v>
                </c:pt>
                <c:pt idx="324">
                  <c:v>150.00772950000015</c:v>
                </c:pt>
                <c:pt idx="325">
                  <c:v>150.00772950000015</c:v>
                </c:pt>
                <c:pt idx="326">
                  <c:v>150.00772950000012</c:v>
                </c:pt>
                <c:pt idx="327">
                  <c:v>150.00772950000015</c:v>
                </c:pt>
                <c:pt idx="328">
                  <c:v>150.00772950000021</c:v>
                </c:pt>
                <c:pt idx="329">
                  <c:v>150.00772950000024</c:v>
                </c:pt>
                <c:pt idx="330">
                  <c:v>150.00772950000012</c:v>
                </c:pt>
                <c:pt idx="331">
                  <c:v>150.00772950000012</c:v>
                </c:pt>
                <c:pt idx="332">
                  <c:v>150.0077295000001</c:v>
                </c:pt>
                <c:pt idx="333">
                  <c:v>150.00772950000007</c:v>
                </c:pt>
                <c:pt idx="334">
                  <c:v>150.00772950000001</c:v>
                </c:pt>
                <c:pt idx="335">
                  <c:v>150.00772949999998</c:v>
                </c:pt>
                <c:pt idx="336">
                  <c:v>150.00772949999998</c:v>
                </c:pt>
                <c:pt idx="337">
                  <c:v>150.00772949999998</c:v>
                </c:pt>
                <c:pt idx="338">
                  <c:v>150.00772950000004</c:v>
                </c:pt>
                <c:pt idx="339">
                  <c:v>150.0077294999999</c:v>
                </c:pt>
                <c:pt idx="340">
                  <c:v>150.00772949999993</c:v>
                </c:pt>
                <c:pt idx="341">
                  <c:v>150.00772949999993</c:v>
                </c:pt>
                <c:pt idx="342">
                  <c:v>150.0077294999999</c:v>
                </c:pt>
                <c:pt idx="343">
                  <c:v>150.00772949999984</c:v>
                </c:pt>
                <c:pt idx="344">
                  <c:v>150.00772949999981</c:v>
                </c:pt>
                <c:pt idx="345">
                  <c:v>150.00772949999975</c:v>
                </c:pt>
                <c:pt idx="346">
                  <c:v>150.00772949999975</c:v>
                </c:pt>
                <c:pt idx="347">
                  <c:v>150.00772949999981</c:v>
                </c:pt>
                <c:pt idx="348">
                  <c:v>150.00772949999981</c:v>
                </c:pt>
                <c:pt idx="349">
                  <c:v>150.0077294999999</c:v>
                </c:pt>
                <c:pt idx="350">
                  <c:v>150.0077294999999</c:v>
                </c:pt>
                <c:pt idx="351">
                  <c:v>150.0077294999999</c:v>
                </c:pt>
                <c:pt idx="352">
                  <c:v>150.00772949999987</c:v>
                </c:pt>
                <c:pt idx="353">
                  <c:v>150.00772950000004</c:v>
                </c:pt>
                <c:pt idx="354">
                  <c:v>150.00772949999998</c:v>
                </c:pt>
                <c:pt idx="355">
                  <c:v>150.00772950000007</c:v>
                </c:pt>
                <c:pt idx="356">
                  <c:v>150.00772950000007</c:v>
                </c:pt>
                <c:pt idx="357">
                  <c:v>150.00772949999998</c:v>
                </c:pt>
                <c:pt idx="358">
                  <c:v>150.00772949999981</c:v>
                </c:pt>
                <c:pt idx="359">
                  <c:v>150.0077294999999</c:v>
                </c:pt>
                <c:pt idx="360">
                  <c:v>150.00772949999978</c:v>
                </c:pt>
                <c:pt idx="361">
                  <c:v>150.00772949999978</c:v>
                </c:pt>
                <c:pt idx="362">
                  <c:v>150.00772949999987</c:v>
                </c:pt>
                <c:pt idx="363">
                  <c:v>150.00772949999981</c:v>
                </c:pt>
                <c:pt idx="364">
                  <c:v>150.00772949999998</c:v>
                </c:pt>
                <c:pt idx="365">
                  <c:v>150.00772949999995</c:v>
                </c:pt>
                <c:pt idx="366">
                  <c:v>150.00772949999993</c:v>
                </c:pt>
                <c:pt idx="367">
                  <c:v>150.00772949999987</c:v>
                </c:pt>
                <c:pt idx="368">
                  <c:v>150.00772949999973</c:v>
                </c:pt>
                <c:pt idx="369">
                  <c:v>150.00772949999958</c:v>
                </c:pt>
                <c:pt idx="370">
                  <c:v>150.00772949999958</c:v>
                </c:pt>
                <c:pt idx="371">
                  <c:v>150.00772949999958</c:v>
                </c:pt>
                <c:pt idx="372">
                  <c:v>150.00772949999958</c:v>
                </c:pt>
                <c:pt idx="373">
                  <c:v>150.00772949999953</c:v>
                </c:pt>
                <c:pt idx="374">
                  <c:v>150.00772949999947</c:v>
                </c:pt>
                <c:pt idx="375">
                  <c:v>150.00772949999944</c:v>
                </c:pt>
                <c:pt idx="376">
                  <c:v>150.00772949999944</c:v>
                </c:pt>
                <c:pt idx="377">
                  <c:v>150.00772949999947</c:v>
                </c:pt>
                <c:pt idx="378">
                  <c:v>150.0077294999995</c:v>
                </c:pt>
                <c:pt idx="379">
                  <c:v>150.00772949999956</c:v>
                </c:pt>
                <c:pt idx="380">
                  <c:v>150.00772949999958</c:v>
                </c:pt>
                <c:pt idx="381">
                  <c:v>150.00772949999958</c:v>
                </c:pt>
                <c:pt idx="382">
                  <c:v>150.00772949999956</c:v>
                </c:pt>
                <c:pt idx="383">
                  <c:v>150.0077294999995</c:v>
                </c:pt>
                <c:pt idx="384">
                  <c:v>150.00772949999944</c:v>
                </c:pt>
                <c:pt idx="385">
                  <c:v>150.00772949999953</c:v>
                </c:pt>
                <c:pt idx="386">
                  <c:v>150.00772949999956</c:v>
                </c:pt>
                <c:pt idx="387">
                  <c:v>150.00772949999958</c:v>
                </c:pt>
                <c:pt idx="388">
                  <c:v>150.00772949999961</c:v>
                </c:pt>
                <c:pt idx="389">
                  <c:v>150.00772949999964</c:v>
                </c:pt>
                <c:pt idx="390">
                  <c:v>150.00772949999967</c:v>
                </c:pt>
                <c:pt idx="391">
                  <c:v>150.00772949999967</c:v>
                </c:pt>
                <c:pt idx="392">
                  <c:v>150.00772949999964</c:v>
                </c:pt>
                <c:pt idx="393">
                  <c:v>150.00772949999961</c:v>
                </c:pt>
                <c:pt idx="394">
                  <c:v>150.00772949999956</c:v>
                </c:pt>
                <c:pt idx="395">
                  <c:v>150.00772949999953</c:v>
                </c:pt>
                <c:pt idx="396">
                  <c:v>150.00772949999953</c:v>
                </c:pt>
                <c:pt idx="397">
                  <c:v>150.00772949999956</c:v>
                </c:pt>
                <c:pt idx="398">
                  <c:v>150.00772949999958</c:v>
                </c:pt>
                <c:pt idx="399">
                  <c:v>150.00772949999964</c:v>
                </c:pt>
                <c:pt idx="400">
                  <c:v>150.00772949999967</c:v>
                </c:pt>
                <c:pt idx="401">
                  <c:v>150.00772949999967</c:v>
                </c:pt>
                <c:pt idx="402">
                  <c:v>150.00772949999964</c:v>
                </c:pt>
                <c:pt idx="403">
                  <c:v>150.00772949999958</c:v>
                </c:pt>
                <c:pt idx="404">
                  <c:v>150.00772949999956</c:v>
                </c:pt>
                <c:pt idx="405">
                  <c:v>150.0077294999995</c:v>
                </c:pt>
                <c:pt idx="406">
                  <c:v>150.0077294999995</c:v>
                </c:pt>
                <c:pt idx="407">
                  <c:v>150.00772949999953</c:v>
                </c:pt>
                <c:pt idx="408">
                  <c:v>150.00772949999958</c:v>
                </c:pt>
                <c:pt idx="409">
                  <c:v>150.00772949999961</c:v>
                </c:pt>
                <c:pt idx="410">
                  <c:v>150.00772949999964</c:v>
                </c:pt>
                <c:pt idx="411">
                  <c:v>150.00772949999964</c:v>
                </c:pt>
                <c:pt idx="412">
                  <c:v>150.00772949999961</c:v>
                </c:pt>
                <c:pt idx="413">
                  <c:v>150.00772949999958</c:v>
                </c:pt>
                <c:pt idx="414">
                  <c:v>150.00772949999953</c:v>
                </c:pt>
                <c:pt idx="415">
                  <c:v>150.0077294999995</c:v>
                </c:pt>
                <c:pt idx="416">
                  <c:v>150.0077294999995</c:v>
                </c:pt>
                <c:pt idx="417">
                  <c:v>150.00772949999941</c:v>
                </c:pt>
                <c:pt idx="418">
                  <c:v>150.00772949999944</c:v>
                </c:pt>
                <c:pt idx="419">
                  <c:v>150.0077294999993</c:v>
                </c:pt>
                <c:pt idx="420">
                  <c:v>150.00772949999933</c:v>
                </c:pt>
                <c:pt idx="421">
                  <c:v>150.00772949999933</c:v>
                </c:pt>
                <c:pt idx="422">
                  <c:v>150.0077294999993</c:v>
                </c:pt>
                <c:pt idx="423">
                  <c:v>150.00772949999947</c:v>
                </c:pt>
                <c:pt idx="424">
                  <c:v>150.00772949999941</c:v>
                </c:pt>
                <c:pt idx="425">
                  <c:v>150.00772949999939</c:v>
                </c:pt>
                <c:pt idx="426">
                  <c:v>150.00772949999936</c:v>
                </c:pt>
                <c:pt idx="427">
                  <c:v>150.00772949999939</c:v>
                </c:pt>
                <c:pt idx="428">
                  <c:v>150.00772949999924</c:v>
                </c:pt>
                <c:pt idx="429">
                  <c:v>150.0077294999993</c:v>
                </c:pt>
                <c:pt idx="430">
                  <c:v>150.00772949999921</c:v>
                </c:pt>
                <c:pt idx="431">
                  <c:v>150.00772949999921</c:v>
                </c:pt>
                <c:pt idx="432">
                  <c:v>150.00772949999933</c:v>
                </c:pt>
                <c:pt idx="433">
                  <c:v>150.00772949999927</c:v>
                </c:pt>
                <c:pt idx="434">
                  <c:v>150.00772949999944</c:v>
                </c:pt>
                <c:pt idx="435">
                  <c:v>150.00772949999941</c:v>
                </c:pt>
                <c:pt idx="436">
                  <c:v>150.00772949999939</c:v>
                </c:pt>
                <c:pt idx="437">
                  <c:v>150.00772949999941</c:v>
                </c:pt>
                <c:pt idx="438">
                  <c:v>150.00772949999947</c:v>
                </c:pt>
                <c:pt idx="439">
                  <c:v>150.0077294999995</c:v>
                </c:pt>
                <c:pt idx="440">
                  <c:v>150.00772949999953</c:v>
                </c:pt>
                <c:pt idx="441">
                  <c:v>150.00772949999953</c:v>
                </c:pt>
                <c:pt idx="442">
                  <c:v>150.0077294999995</c:v>
                </c:pt>
                <c:pt idx="443">
                  <c:v>150.00772949999947</c:v>
                </c:pt>
                <c:pt idx="444">
                  <c:v>150.00772949999941</c:v>
                </c:pt>
                <c:pt idx="445">
                  <c:v>150.00772949999939</c:v>
                </c:pt>
                <c:pt idx="446">
                  <c:v>150.00772949999936</c:v>
                </c:pt>
                <c:pt idx="447">
                  <c:v>150.00772949999939</c:v>
                </c:pt>
                <c:pt idx="448">
                  <c:v>150.00772949999944</c:v>
                </c:pt>
                <c:pt idx="449">
                  <c:v>150.0077294999995</c:v>
                </c:pt>
                <c:pt idx="450">
                  <c:v>150.0077294999995</c:v>
                </c:pt>
                <c:pt idx="451">
                  <c:v>150.0077294999995</c:v>
                </c:pt>
                <c:pt idx="452">
                  <c:v>150.00772949999947</c:v>
                </c:pt>
                <c:pt idx="453">
                  <c:v>150.00772949999944</c:v>
                </c:pt>
                <c:pt idx="454">
                  <c:v>150.00772949999939</c:v>
                </c:pt>
                <c:pt idx="455">
                  <c:v>150.0077294999995</c:v>
                </c:pt>
                <c:pt idx="456">
                  <c:v>150.00772949999947</c:v>
                </c:pt>
                <c:pt idx="457">
                  <c:v>150.0077294999995</c:v>
                </c:pt>
                <c:pt idx="458">
                  <c:v>150.00772949999956</c:v>
                </c:pt>
                <c:pt idx="459">
                  <c:v>150.00772949999958</c:v>
                </c:pt>
                <c:pt idx="460">
                  <c:v>150.00772949999961</c:v>
                </c:pt>
                <c:pt idx="461">
                  <c:v>150.00772949999961</c:v>
                </c:pt>
                <c:pt idx="462">
                  <c:v>150.00772949999958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5A4-4952-993D-49BBE293A1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7638864"/>
        <c:axId val="1607639344"/>
      </c:scatterChart>
      <c:valAx>
        <c:axId val="1607638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07639344"/>
        <c:crosses val="autoZero"/>
        <c:crossBetween val="midCat"/>
      </c:valAx>
      <c:valAx>
        <c:axId val="1607639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076388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'DFT Recurs (2)'!$B$10:$B$473</c:f>
              <c:numCache>
                <c:formatCode>General</c:formatCode>
                <c:ptCount val="464"/>
                <c:pt idx="0">
                  <c:v>0</c:v>
                </c:pt>
                <c:pt idx="1">
                  <c:v>53.552273952154593</c:v>
                </c:pt>
                <c:pt idx="2">
                  <c:v>91.38131444090439</c:v>
                </c:pt>
                <c:pt idx="3">
                  <c:v>120.26531518112246</c:v>
                </c:pt>
                <c:pt idx="4">
                  <c:v>137.37690893368958</c:v>
                </c:pt>
                <c:pt idx="5">
                  <c:v>141.04109367862026</c:v>
                </c:pt>
                <c:pt idx="6">
                  <c:v>130.89919348320441</c:v>
                </c:pt>
                <c:pt idx="7">
                  <c:v>107.94396820134305</c:v>
                </c:pt>
                <c:pt idx="8">
                  <c:v>74.422435222083948</c:v>
                </c:pt>
                <c:pt idx="9">
                  <c:v>33.6159157516907</c:v>
                </c:pt>
                <c:pt idx="10">
                  <c:v>-10.481163768335337</c:v>
                </c:pt>
                <c:pt idx="11">
                  <c:v>-53.552273952154565</c:v>
                </c:pt>
                <c:pt idx="12">
                  <c:v>-91.381314440904347</c:v>
                </c:pt>
                <c:pt idx="13">
                  <c:v>-120.2653151811225</c:v>
                </c:pt>
                <c:pt idx="14">
                  <c:v>-137.37690893368958</c:v>
                </c:pt>
                <c:pt idx="15">
                  <c:v>-141.04109367862026</c:v>
                </c:pt>
                <c:pt idx="16">
                  <c:v>-130.89919348320444</c:v>
                </c:pt>
                <c:pt idx="17">
                  <c:v>-107.9439682013431</c:v>
                </c:pt>
                <c:pt idx="18">
                  <c:v>-74.422435222083863</c:v>
                </c:pt>
                <c:pt idx="19">
                  <c:v>-33.615915751690594</c:v>
                </c:pt>
                <c:pt idx="20">
                  <c:v>10.481163768335255</c:v>
                </c:pt>
                <c:pt idx="21">
                  <c:v>53.552273952154543</c:v>
                </c:pt>
                <c:pt idx="22">
                  <c:v>91.381314440904433</c:v>
                </c:pt>
                <c:pt idx="23">
                  <c:v>120.26531518112243</c:v>
                </c:pt>
                <c:pt idx="24">
                  <c:v>137.37690893368955</c:v>
                </c:pt>
                <c:pt idx="25">
                  <c:v>141.04109367862026</c:v>
                </c:pt>
                <c:pt idx="26">
                  <c:v>130.89919348320436</c:v>
                </c:pt>
                <c:pt idx="27">
                  <c:v>107.94396820134294</c:v>
                </c:pt>
                <c:pt idx="28">
                  <c:v>74.422435222083976</c:v>
                </c:pt>
                <c:pt idx="29">
                  <c:v>33.615915751690736</c:v>
                </c:pt>
                <c:pt idx="30">
                  <c:v>-10.481163768335238</c:v>
                </c:pt>
                <c:pt idx="31">
                  <c:v>-53.552273952154529</c:v>
                </c:pt>
                <c:pt idx="32">
                  <c:v>-91.381314440904319</c:v>
                </c:pt>
                <c:pt idx="33">
                  <c:v>-120.26531518112243</c:v>
                </c:pt>
                <c:pt idx="34">
                  <c:v>-137.37690893368961</c:v>
                </c:pt>
                <c:pt idx="35">
                  <c:v>-141.04109367862026</c:v>
                </c:pt>
                <c:pt idx="36">
                  <c:v>-130.89919348320436</c:v>
                </c:pt>
                <c:pt idx="37">
                  <c:v>-107.94396820134295</c:v>
                </c:pt>
                <c:pt idx="38">
                  <c:v>-74.422435222084005</c:v>
                </c:pt>
                <c:pt idx="39">
                  <c:v>-33.61591575169075</c:v>
                </c:pt>
                <c:pt idx="40">
                  <c:v>10.48116376833522</c:v>
                </c:pt>
                <c:pt idx="41">
                  <c:v>53.552273952154515</c:v>
                </c:pt>
                <c:pt idx="42">
                  <c:v>91.38131444090449</c:v>
                </c:pt>
                <c:pt idx="43">
                  <c:v>120.26531518112253</c:v>
                </c:pt>
                <c:pt idx="44">
                  <c:v>137.37690893368961</c:v>
                </c:pt>
                <c:pt idx="45">
                  <c:v>141.04109367862026</c:v>
                </c:pt>
                <c:pt idx="46">
                  <c:v>130.89919348320444</c:v>
                </c:pt>
                <c:pt idx="47">
                  <c:v>107.94396820134313</c:v>
                </c:pt>
                <c:pt idx="48">
                  <c:v>74.422435222084019</c:v>
                </c:pt>
                <c:pt idx="49">
                  <c:v>33.615915751690522</c:v>
                </c:pt>
                <c:pt idx="50">
                  <c:v>-10.481163768335454</c:v>
                </c:pt>
                <c:pt idx="51">
                  <c:v>-53.552273952154728</c:v>
                </c:pt>
                <c:pt idx="52">
                  <c:v>-91.381314440904688</c:v>
                </c:pt>
                <c:pt idx="53">
                  <c:v>-120.2653151811228</c:v>
                </c:pt>
                <c:pt idx="54">
                  <c:v>-137.37690893368966</c:v>
                </c:pt>
                <c:pt idx="55">
                  <c:v>-141.04109367862026</c:v>
                </c:pt>
                <c:pt idx="56">
                  <c:v>-130.89919348320427</c:v>
                </c:pt>
                <c:pt idx="57">
                  <c:v>-107.94396820134297</c:v>
                </c:pt>
                <c:pt idx="58">
                  <c:v>-74.422435222083593</c:v>
                </c:pt>
                <c:pt idx="59">
                  <c:v>-33.615915751690544</c:v>
                </c:pt>
                <c:pt idx="60">
                  <c:v>10.481163768335687</c:v>
                </c:pt>
                <c:pt idx="61">
                  <c:v>53.552273952154714</c:v>
                </c:pt>
                <c:pt idx="62">
                  <c:v>91.38131444090466</c:v>
                </c:pt>
                <c:pt idx="63">
                  <c:v>120.26531518112252</c:v>
                </c:pt>
                <c:pt idx="64">
                  <c:v>137.37690893368966</c:v>
                </c:pt>
                <c:pt idx="65">
                  <c:v>141.04109367862026</c:v>
                </c:pt>
                <c:pt idx="66">
                  <c:v>130.89919348320427</c:v>
                </c:pt>
                <c:pt idx="67">
                  <c:v>107.94396820134266</c:v>
                </c:pt>
                <c:pt idx="68">
                  <c:v>74.422435222083607</c:v>
                </c:pt>
                <c:pt idx="69">
                  <c:v>33.615915751690068</c:v>
                </c:pt>
                <c:pt idx="70">
                  <c:v>-10.481163768335669</c:v>
                </c:pt>
                <c:pt idx="71">
                  <c:v>-53.552273952155161</c:v>
                </c:pt>
                <c:pt idx="72">
                  <c:v>-91.381314440904646</c:v>
                </c:pt>
                <c:pt idx="73">
                  <c:v>-120.26531518112279</c:v>
                </c:pt>
                <c:pt idx="74">
                  <c:v>-137.37690893368955</c:v>
                </c:pt>
                <c:pt idx="75">
                  <c:v>-141.04109367862026</c:v>
                </c:pt>
                <c:pt idx="76">
                  <c:v>-130.8991934832043</c:v>
                </c:pt>
                <c:pt idx="77">
                  <c:v>-107.94396820134301</c:v>
                </c:pt>
                <c:pt idx="78">
                  <c:v>-74.422435222083621</c:v>
                </c:pt>
                <c:pt idx="79">
                  <c:v>-33.615915751690579</c:v>
                </c:pt>
                <c:pt idx="80">
                  <c:v>10.481163768335652</c:v>
                </c:pt>
                <c:pt idx="81">
                  <c:v>53.552273952154678</c:v>
                </c:pt>
                <c:pt idx="82">
                  <c:v>91.381314440904632</c:v>
                </c:pt>
                <c:pt idx="83">
                  <c:v>120.26531518112277</c:v>
                </c:pt>
                <c:pt idx="84">
                  <c:v>137.37690893368966</c:v>
                </c:pt>
                <c:pt idx="85">
                  <c:v>141.04109367862023</c:v>
                </c:pt>
                <c:pt idx="86">
                  <c:v>130.8991934832043</c:v>
                </c:pt>
                <c:pt idx="87">
                  <c:v>107.94396820134268</c:v>
                </c:pt>
                <c:pt idx="88">
                  <c:v>74.422435222083209</c:v>
                </c:pt>
                <c:pt idx="89">
                  <c:v>33.615915751690594</c:v>
                </c:pt>
                <c:pt idx="90">
                  <c:v>-171.62891027167285</c:v>
                </c:pt>
                <c:pt idx="91">
                  <c:v>-201.76188464943527</c:v>
                </c:pt>
                <c:pt idx="92">
                  <c:v>-212.14500000000001</c:v>
                </c:pt>
                <c:pt idx="93">
                  <c:v>-201.76188464943544</c:v>
                </c:pt>
                <c:pt idx="94">
                  <c:v>-171.62891027167316</c:v>
                </c:pt>
                <c:pt idx="95">
                  <c:v>-124.69570234758693</c:v>
                </c:pt>
                <c:pt idx="96">
                  <c:v>-65.556410271673116</c:v>
                </c:pt>
                <c:pt idx="97">
                  <c:v>4.9378132442254311E-13</c:v>
                </c:pt>
                <c:pt idx="98">
                  <c:v>65.556410271673343</c:v>
                </c:pt>
                <c:pt idx="99">
                  <c:v>124.69570234758712</c:v>
                </c:pt>
                <c:pt idx="100">
                  <c:v>171.62891027167285</c:v>
                </c:pt>
                <c:pt idx="101">
                  <c:v>201.76188464943527</c:v>
                </c:pt>
                <c:pt idx="102">
                  <c:v>212.14500000000001</c:v>
                </c:pt>
                <c:pt idx="103">
                  <c:v>201.76188464943522</c:v>
                </c:pt>
                <c:pt idx="104">
                  <c:v>171.62891027167271</c:v>
                </c:pt>
                <c:pt idx="105">
                  <c:v>124.69570234758574</c:v>
                </c:pt>
                <c:pt idx="106">
                  <c:v>65.55641027167313</c:v>
                </c:pt>
                <c:pt idx="107">
                  <c:v>-4.6779041252588413E-13</c:v>
                </c:pt>
                <c:pt idx="108">
                  <c:v>-65.55641027167259</c:v>
                </c:pt>
                <c:pt idx="109">
                  <c:v>-124.69570234758649</c:v>
                </c:pt>
                <c:pt idx="110">
                  <c:v>-171.62891027167328</c:v>
                </c:pt>
                <c:pt idx="111">
                  <c:v>-201.7618846494355</c:v>
                </c:pt>
                <c:pt idx="112">
                  <c:v>-212.14500000000001</c:v>
                </c:pt>
                <c:pt idx="113">
                  <c:v>-201.76188464943544</c:v>
                </c:pt>
                <c:pt idx="114">
                  <c:v>-171.62891027167319</c:v>
                </c:pt>
                <c:pt idx="115">
                  <c:v>-124.69570234758636</c:v>
                </c:pt>
                <c:pt idx="116">
                  <c:v>-65.556410271672448</c:v>
                </c:pt>
                <c:pt idx="117">
                  <c:v>-3.1189094275990705E-13</c:v>
                </c:pt>
                <c:pt idx="118">
                  <c:v>65.556410271673286</c:v>
                </c:pt>
                <c:pt idx="119">
                  <c:v>124.69570234758707</c:v>
                </c:pt>
                <c:pt idx="120">
                  <c:v>171.6289102716737</c:v>
                </c:pt>
                <c:pt idx="121">
                  <c:v>201.76188464943527</c:v>
                </c:pt>
                <c:pt idx="122">
                  <c:v>212.14500000000001</c:v>
                </c:pt>
                <c:pt idx="123">
                  <c:v>201.76188464943525</c:v>
                </c:pt>
                <c:pt idx="124">
                  <c:v>171.62891027167365</c:v>
                </c:pt>
                <c:pt idx="125">
                  <c:v>124.69570234758697</c:v>
                </c:pt>
                <c:pt idx="126">
                  <c:v>65.556410271673187</c:v>
                </c:pt>
                <c:pt idx="127">
                  <c:v>-4.1580858873256633E-13</c:v>
                </c:pt>
                <c:pt idx="128">
                  <c:v>-65.556410271673968</c:v>
                </c:pt>
                <c:pt idx="129">
                  <c:v>-124.69570234758643</c:v>
                </c:pt>
                <c:pt idx="130">
                  <c:v>-171.62891027167325</c:v>
                </c:pt>
                <c:pt idx="131">
                  <c:v>-201.7618846494355</c:v>
                </c:pt>
                <c:pt idx="132">
                  <c:v>-212.14500000000001</c:v>
                </c:pt>
                <c:pt idx="133">
                  <c:v>-201.76188464943499</c:v>
                </c:pt>
                <c:pt idx="134">
                  <c:v>-171.62891027167322</c:v>
                </c:pt>
                <c:pt idx="135">
                  <c:v>-124.69570234758639</c:v>
                </c:pt>
                <c:pt idx="136">
                  <c:v>-65.55641027167249</c:v>
                </c:pt>
                <c:pt idx="137">
                  <c:v>1.1435081202250397E-12</c:v>
                </c:pt>
                <c:pt idx="138">
                  <c:v>65.556410271673229</c:v>
                </c:pt>
                <c:pt idx="139">
                  <c:v>124.69570234758703</c:v>
                </c:pt>
                <c:pt idx="140">
                  <c:v>171.62891027167367</c:v>
                </c:pt>
                <c:pt idx="141">
                  <c:v>201.7618846494357</c:v>
                </c:pt>
                <c:pt idx="142">
                  <c:v>212.14500000000001</c:v>
                </c:pt>
                <c:pt idx="143">
                  <c:v>201.76188464943525</c:v>
                </c:pt>
                <c:pt idx="144">
                  <c:v>171.62891027167279</c:v>
                </c:pt>
                <c:pt idx="145">
                  <c:v>124.69570234758581</c:v>
                </c:pt>
                <c:pt idx="146">
                  <c:v>65.556410271673229</c:v>
                </c:pt>
                <c:pt idx="147">
                  <c:v>1.1435541218390162E-12</c:v>
                </c:pt>
                <c:pt idx="148">
                  <c:v>-65.55641027167249</c:v>
                </c:pt>
                <c:pt idx="149">
                  <c:v>-124.69570234758639</c:v>
                </c:pt>
                <c:pt idx="150">
                  <c:v>-171.62891027167322</c:v>
                </c:pt>
                <c:pt idx="151">
                  <c:v>-201.76188464943547</c:v>
                </c:pt>
                <c:pt idx="152">
                  <c:v>-212.14500000000001</c:v>
                </c:pt>
                <c:pt idx="153">
                  <c:v>-201.7618846494355</c:v>
                </c:pt>
                <c:pt idx="154">
                  <c:v>-171.62891027167325</c:v>
                </c:pt>
                <c:pt idx="155">
                  <c:v>-124.69570234758643</c:v>
                </c:pt>
                <c:pt idx="156">
                  <c:v>-65.556410271672547</c:v>
                </c:pt>
                <c:pt idx="157">
                  <c:v>-4.1585459034654272E-13</c:v>
                </c:pt>
                <c:pt idx="158">
                  <c:v>65.556410271673187</c:v>
                </c:pt>
                <c:pt idx="159">
                  <c:v>124.69570234758697</c:v>
                </c:pt>
                <c:pt idx="160">
                  <c:v>171.62891027167365</c:v>
                </c:pt>
                <c:pt idx="161">
                  <c:v>201.76188464943525</c:v>
                </c:pt>
                <c:pt idx="162">
                  <c:v>212.14500000000001</c:v>
                </c:pt>
                <c:pt idx="163">
                  <c:v>201.76188464943527</c:v>
                </c:pt>
                <c:pt idx="164">
                  <c:v>171.62891027167282</c:v>
                </c:pt>
                <c:pt idx="165">
                  <c:v>124.69570234758585</c:v>
                </c:pt>
                <c:pt idx="166">
                  <c:v>65.556410271673286</c:v>
                </c:pt>
                <c:pt idx="167">
                  <c:v>-3.1184494114593066E-13</c:v>
                </c:pt>
                <c:pt idx="168">
                  <c:v>-65.556410271673883</c:v>
                </c:pt>
                <c:pt idx="169">
                  <c:v>-124.69570234758757</c:v>
                </c:pt>
                <c:pt idx="170">
                  <c:v>-171.62891027167407</c:v>
                </c:pt>
                <c:pt idx="171">
                  <c:v>-201.76188464943544</c:v>
                </c:pt>
                <c:pt idx="172">
                  <c:v>-212.14500000000001</c:v>
                </c:pt>
                <c:pt idx="173">
                  <c:v>-201.76188464943505</c:v>
                </c:pt>
                <c:pt idx="174">
                  <c:v>-171.6289102716724</c:v>
                </c:pt>
                <c:pt idx="175">
                  <c:v>-124.69570234758525</c:v>
                </c:pt>
                <c:pt idx="176">
                  <c:v>-65.55641027167259</c:v>
                </c:pt>
                <c:pt idx="177">
                  <c:v>-4.6783641413986053E-13</c:v>
                </c:pt>
                <c:pt idx="178">
                  <c:v>65.55641027167313</c:v>
                </c:pt>
                <c:pt idx="179">
                  <c:v>124.69570234758574</c:v>
                </c:pt>
                <c:pt idx="180">
                  <c:v>171.62891027167271</c:v>
                </c:pt>
                <c:pt idx="181">
                  <c:v>201.76188464943522</c:v>
                </c:pt>
                <c:pt idx="182">
                  <c:v>212.14500000000001</c:v>
                </c:pt>
                <c:pt idx="183">
                  <c:v>201.76188464943527</c:v>
                </c:pt>
                <c:pt idx="184">
                  <c:v>171.62891027167373</c:v>
                </c:pt>
                <c:pt idx="185">
                  <c:v>124.69570234758712</c:v>
                </c:pt>
                <c:pt idx="186">
                  <c:v>65.556410271673343</c:v>
                </c:pt>
                <c:pt idx="187">
                  <c:v>-2.598631173526128E-13</c:v>
                </c:pt>
                <c:pt idx="188">
                  <c:v>-65.556410271673826</c:v>
                </c:pt>
                <c:pt idx="189">
                  <c:v>-124.69570234758632</c:v>
                </c:pt>
                <c:pt idx="190">
                  <c:v>-171.62891027167316</c:v>
                </c:pt>
                <c:pt idx="191">
                  <c:v>-201.76188464943544</c:v>
                </c:pt>
                <c:pt idx="192">
                  <c:v>-212.14500000000001</c:v>
                </c:pt>
                <c:pt idx="193">
                  <c:v>-201.76188464943505</c:v>
                </c:pt>
                <c:pt idx="194">
                  <c:v>-171.62891027167331</c:v>
                </c:pt>
                <c:pt idx="195">
                  <c:v>-124.69570234758653</c:v>
                </c:pt>
                <c:pt idx="196">
                  <c:v>-65.556410271672647</c:v>
                </c:pt>
                <c:pt idx="197">
                  <c:v>9.8756264884508623E-13</c:v>
                </c:pt>
                <c:pt idx="198">
                  <c:v>65.556410271674508</c:v>
                </c:pt>
                <c:pt idx="199">
                  <c:v>124.6957023475869</c:v>
                </c:pt>
                <c:pt idx="200">
                  <c:v>171.62891027167359</c:v>
                </c:pt>
                <c:pt idx="201">
                  <c:v>201.76188464943567</c:v>
                </c:pt>
                <c:pt idx="202">
                  <c:v>212.14500000000001</c:v>
                </c:pt>
                <c:pt idx="203">
                  <c:v>201.76188464943576</c:v>
                </c:pt>
                <c:pt idx="204">
                  <c:v>171.628910271672</c:v>
                </c:pt>
                <c:pt idx="205">
                  <c:v>124.69570234758714</c:v>
                </c:pt>
                <c:pt idx="206">
                  <c:v>65.556410271670515</c:v>
                </c:pt>
                <c:pt idx="207">
                  <c:v>-2.0788129355929497E-13</c:v>
                </c:pt>
                <c:pt idx="208">
                  <c:v>-65.55641027167664</c:v>
                </c:pt>
                <c:pt idx="209">
                  <c:v>-124.6957023475875</c:v>
                </c:pt>
                <c:pt idx="210">
                  <c:v>-171.62891027167225</c:v>
                </c:pt>
                <c:pt idx="211">
                  <c:v>-201.7618846494359</c:v>
                </c:pt>
                <c:pt idx="212">
                  <c:v>-212.14500000000001</c:v>
                </c:pt>
                <c:pt idx="213">
                  <c:v>-201.76188464943459</c:v>
                </c:pt>
                <c:pt idx="214">
                  <c:v>-171.62891027167333</c:v>
                </c:pt>
                <c:pt idx="215">
                  <c:v>-124.69570234758901</c:v>
                </c:pt>
                <c:pt idx="216">
                  <c:v>-65.556410271672689</c:v>
                </c:pt>
                <c:pt idx="217">
                  <c:v>-2.079180948504761E-12</c:v>
                </c:pt>
                <c:pt idx="218">
                  <c:v>65.556410271674466</c:v>
                </c:pt>
                <c:pt idx="219">
                  <c:v>124.69570234758564</c:v>
                </c:pt>
                <c:pt idx="220">
                  <c:v>171.62891027167444</c:v>
                </c:pt>
                <c:pt idx="221">
                  <c:v>201.76188464943519</c:v>
                </c:pt>
                <c:pt idx="222">
                  <c:v>212.14500000000001</c:v>
                </c:pt>
                <c:pt idx="223">
                  <c:v>201.7618846494353</c:v>
                </c:pt>
                <c:pt idx="224">
                  <c:v>171.6289102716747</c:v>
                </c:pt>
                <c:pt idx="225">
                  <c:v>124.69570234758599</c:v>
                </c:pt>
                <c:pt idx="226">
                  <c:v>65.556410271674864</c:v>
                </c:pt>
                <c:pt idx="227">
                  <c:v>-1.6632803565442418E-12</c:v>
                </c:pt>
                <c:pt idx="228">
                  <c:v>-65.556410271672306</c:v>
                </c:pt>
                <c:pt idx="229">
                  <c:v>-124.69570234758868</c:v>
                </c:pt>
                <c:pt idx="230">
                  <c:v>-171.62891027167311</c:v>
                </c:pt>
                <c:pt idx="231">
                  <c:v>-201.76188464943635</c:v>
                </c:pt>
                <c:pt idx="232">
                  <c:v>-212.14500000000001</c:v>
                </c:pt>
                <c:pt idx="233">
                  <c:v>-201.76188464943601</c:v>
                </c:pt>
                <c:pt idx="234">
                  <c:v>-171.62891027167248</c:v>
                </c:pt>
                <c:pt idx="235">
                  <c:v>-124.69570234758783</c:v>
                </c:pt>
                <c:pt idx="236">
                  <c:v>-65.556410271671311</c:v>
                </c:pt>
                <c:pt idx="237">
                  <c:v>-6.237818855198141E-13</c:v>
                </c:pt>
                <c:pt idx="238">
                  <c:v>65.556410271675858</c:v>
                </c:pt>
                <c:pt idx="239">
                  <c:v>124.69570234758682</c:v>
                </c:pt>
                <c:pt idx="240">
                  <c:v>171.6289102716753</c:v>
                </c:pt>
                <c:pt idx="241">
                  <c:v>201.76188464943564</c:v>
                </c:pt>
                <c:pt idx="242">
                  <c:v>212.14500000000001</c:v>
                </c:pt>
                <c:pt idx="243">
                  <c:v>201.76188464943485</c:v>
                </c:pt>
                <c:pt idx="244">
                  <c:v>171.62891027167382</c:v>
                </c:pt>
                <c:pt idx="245">
                  <c:v>124.69570234758481</c:v>
                </c:pt>
                <c:pt idx="246">
                  <c:v>65.556410271673471</c:v>
                </c:pt>
                <c:pt idx="247">
                  <c:v>2.91084412758387E-12</c:v>
                </c:pt>
                <c:pt idx="248">
                  <c:v>-65.556410271673684</c:v>
                </c:pt>
                <c:pt idx="249">
                  <c:v>-124.69570234758498</c:v>
                </c:pt>
                <c:pt idx="250">
                  <c:v>-171.62891027167393</c:v>
                </c:pt>
                <c:pt idx="251">
                  <c:v>-201.76188464943493</c:v>
                </c:pt>
                <c:pt idx="252">
                  <c:v>-212.14500000000001</c:v>
                </c:pt>
                <c:pt idx="253">
                  <c:v>-201.76188464943556</c:v>
                </c:pt>
                <c:pt idx="254">
                  <c:v>-171.62891027167163</c:v>
                </c:pt>
                <c:pt idx="255">
                  <c:v>-124.69570234758665</c:v>
                </c:pt>
                <c:pt idx="256">
                  <c:v>-65.556410271675659</c:v>
                </c:pt>
                <c:pt idx="257">
                  <c:v>8.3161717746513265E-13</c:v>
                </c:pt>
                <c:pt idx="258">
                  <c:v>65.556410271671496</c:v>
                </c:pt>
                <c:pt idx="259">
                  <c:v>124.695702347588</c:v>
                </c:pt>
                <c:pt idx="260">
                  <c:v>171.62891027167259</c:v>
                </c:pt>
                <c:pt idx="261">
                  <c:v>201.7618846494361</c:v>
                </c:pt>
                <c:pt idx="262">
                  <c:v>212.14500000000001</c:v>
                </c:pt>
                <c:pt idx="263">
                  <c:v>201.76188464943442</c:v>
                </c:pt>
                <c:pt idx="264">
                  <c:v>171.62891027167296</c:v>
                </c:pt>
                <c:pt idx="265">
                  <c:v>124.69570234758363</c:v>
                </c:pt>
                <c:pt idx="266">
                  <c:v>65.556410271672107</c:v>
                </c:pt>
                <c:pt idx="267">
                  <c:v>1.4554450645989231E-12</c:v>
                </c:pt>
                <c:pt idx="268">
                  <c:v>-65.556410271675063</c:v>
                </c:pt>
                <c:pt idx="269">
                  <c:v>-124.69570234758615</c:v>
                </c:pt>
                <c:pt idx="270">
                  <c:v>-171.62891027167481</c:v>
                </c:pt>
                <c:pt idx="271">
                  <c:v>-201.76188464943539</c:v>
                </c:pt>
                <c:pt idx="272">
                  <c:v>-212.14500000000001</c:v>
                </c:pt>
                <c:pt idx="273">
                  <c:v>-201.76188464943513</c:v>
                </c:pt>
                <c:pt idx="274">
                  <c:v>-171.62891027167078</c:v>
                </c:pt>
                <c:pt idx="275">
                  <c:v>-124.69570234758547</c:v>
                </c:pt>
                <c:pt idx="276">
                  <c:v>-65.556410271674281</c:v>
                </c:pt>
                <c:pt idx="277">
                  <c:v>2.2870162404500794E-12</c:v>
                </c:pt>
                <c:pt idx="278">
                  <c:v>65.556410271672888</c:v>
                </c:pt>
                <c:pt idx="279">
                  <c:v>124.69570234758918</c:v>
                </c:pt>
                <c:pt idx="280">
                  <c:v>171.62891027167348</c:v>
                </c:pt>
                <c:pt idx="281">
                  <c:v>201.76188464943652</c:v>
                </c:pt>
                <c:pt idx="282">
                  <c:v>212.14500000000001</c:v>
                </c:pt>
                <c:pt idx="283">
                  <c:v>201.76188464943397</c:v>
                </c:pt>
                <c:pt idx="284">
                  <c:v>171.62891027167214</c:v>
                </c:pt>
                <c:pt idx="285">
                  <c:v>124.69570234758733</c:v>
                </c:pt>
                <c:pt idx="286">
                  <c:v>65.556410271670714</c:v>
                </c:pt>
                <c:pt idx="287">
                  <c:v>4.600161397638747E-17</c:v>
                </c:pt>
                <c:pt idx="288">
                  <c:v>-65.556410271676441</c:v>
                </c:pt>
                <c:pt idx="289">
                  <c:v>-124.69570234758733</c:v>
                </c:pt>
                <c:pt idx="290">
                  <c:v>-171.62891027167214</c:v>
                </c:pt>
                <c:pt idx="291">
                  <c:v>-201.76188464943581</c:v>
                </c:pt>
                <c:pt idx="292">
                  <c:v>-212.14500000000001</c:v>
                </c:pt>
                <c:pt idx="293">
                  <c:v>-201.76188464943652</c:v>
                </c:pt>
                <c:pt idx="294">
                  <c:v>-171.62891027167348</c:v>
                </c:pt>
                <c:pt idx="295">
                  <c:v>-124.69570234758918</c:v>
                </c:pt>
                <c:pt idx="296">
                  <c:v>-65.556410271672888</c:v>
                </c:pt>
                <c:pt idx="297">
                  <c:v>-2.2871082436780324E-12</c:v>
                </c:pt>
                <c:pt idx="298">
                  <c:v>65.556410271674267</c:v>
                </c:pt>
                <c:pt idx="299">
                  <c:v>124.69570234758547</c:v>
                </c:pt>
                <c:pt idx="300">
                  <c:v>171.62891027167433</c:v>
                </c:pt>
                <c:pt idx="301">
                  <c:v>201.76188464943513</c:v>
                </c:pt>
                <c:pt idx="302">
                  <c:v>212.14500000000001</c:v>
                </c:pt>
                <c:pt idx="303">
                  <c:v>201.76188464943539</c:v>
                </c:pt>
                <c:pt idx="304">
                  <c:v>171.62891027167481</c:v>
                </c:pt>
                <c:pt idx="305">
                  <c:v>124.69570234758615</c:v>
                </c:pt>
                <c:pt idx="306">
                  <c:v>65.556410271675063</c:v>
                </c:pt>
                <c:pt idx="307">
                  <c:v>-1.4553530613709704E-12</c:v>
                </c:pt>
                <c:pt idx="308">
                  <c:v>-65.556410271672107</c:v>
                </c:pt>
                <c:pt idx="309">
                  <c:v>-124.69570234758851</c:v>
                </c:pt>
                <c:pt idx="310">
                  <c:v>-171.62891027167296</c:v>
                </c:pt>
                <c:pt idx="311">
                  <c:v>-201.76188464943627</c:v>
                </c:pt>
                <c:pt idx="312">
                  <c:v>-212.14500000000001</c:v>
                </c:pt>
                <c:pt idx="313">
                  <c:v>-201.7618846494361</c:v>
                </c:pt>
                <c:pt idx="314">
                  <c:v>-171.62891027167259</c:v>
                </c:pt>
                <c:pt idx="315">
                  <c:v>-124.695702347588</c:v>
                </c:pt>
                <c:pt idx="316">
                  <c:v>-65.556410271671496</c:v>
                </c:pt>
                <c:pt idx="317">
                  <c:v>-8.3170918069308543E-13</c:v>
                </c:pt>
                <c:pt idx="318">
                  <c:v>65.556410271675659</c:v>
                </c:pt>
                <c:pt idx="319">
                  <c:v>124.69570234758665</c:v>
                </c:pt>
                <c:pt idx="320">
                  <c:v>171.62891027167515</c:v>
                </c:pt>
                <c:pt idx="321">
                  <c:v>201.76188464943556</c:v>
                </c:pt>
                <c:pt idx="322">
                  <c:v>212.14500000000001</c:v>
                </c:pt>
                <c:pt idx="323">
                  <c:v>201.76188464943493</c:v>
                </c:pt>
                <c:pt idx="324">
                  <c:v>171.62891027167393</c:v>
                </c:pt>
                <c:pt idx="325">
                  <c:v>124.69570234758498</c:v>
                </c:pt>
                <c:pt idx="326">
                  <c:v>65.556410271673684</c:v>
                </c:pt>
                <c:pt idx="327">
                  <c:v>-2.910752124355917E-12</c:v>
                </c:pt>
                <c:pt idx="328">
                  <c:v>-65.556410271673471</c:v>
                </c:pt>
                <c:pt idx="329">
                  <c:v>-124.69570234758969</c:v>
                </c:pt>
                <c:pt idx="330">
                  <c:v>-171.62891027167382</c:v>
                </c:pt>
                <c:pt idx="331">
                  <c:v>-201.76188464943485</c:v>
                </c:pt>
                <c:pt idx="332">
                  <c:v>-212.14500000000001</c:v>
                </c:pt>
                <c:pt idx="333">
                  <c:v>-201.76188464943564</c:v>
                </c:pt>
                <c:pt idx="334">
                  <c:v>-171.62891027167174</c:v>
                </c:pt>
                <c:pt idx="335">
                  <c:v>-124.69570234758682</c:v>
                </c:pt>
                <c:pt idx="336">
                  <c:v>-65.556410271670117</c:v>
                </c:pt>
                <c:pt idx="337">
                  <c:v>6.2368988229186132E-13</c:v>
                </c:pt>
                <c:pt idx="338">
                  <c:v>65.556410271677052</c:v>
                </c:pt>
                <c:pt idx="339">
                  <c:v>124.69570234758783</c:v>
                </c:pt>
                <c:pt idx="340">
                  <c:v>171.62891027167248</c:v>
                </c:pt>
                <c:pt idx="341">
                  <c:v>201.76188464943601</c:v>
                </c:pt>
                <c:pt idx="342">
                  <c:v>212.14500000000001</c:v>
                </c:pt>
                <c:pt idx="343">
                  <c:v>201.76188464943448</c:v>
                </c:pt>
                <c:pt idx="344">
                  <c:v>171.62891027167311</c:v>
                </c:pt>
                <c:pt idx="345">
                  <c:v>124.6957023475838</c:v>
                </c:pt>
                <c:pt idx="346">
                  <c:v>65.556410271672306</c:v>
                </c:pt>
                <c:pt idx="347">
                  <c:v>-4.3661511873408641E-12</c:v>
                </c:pt>
                <c:pt idx="348">
                  <c:v>-65.556410271674864</c:v>
                </c:pt>
                <c:pt idx="349">
                  <c:v>-124.69570234759087</c:v>
                </c:pt>
                <c:pt idx="350">
                  <c:v>-171.6289102716747</c:v>
                </c:pt>
                <c:pt idx="351">
                  <c:v>-201.7618846494353</c:v>
                </c:pt>
                <c:pt idx="352">
                  <c:v>-212.14500000000001</c:v>
                </c:pt>
                <c:pt idx="353">
                  <c:v>-201.76188464943519</c:v>
                </c:pt>
                <c:pt idx="354">
                  <c:v>-171.62891027167444</c:v>
                </c:pt>
                <c:pt idx="355">
                  <c:v>-124.69570234758564</c:v>
                </c:pt>
                <c:pt idx="356">
                  <c:v>-65.556410271674466</c:v>
                </c:pt>
                <c:pt idx="357">
                  <c:v>-3.9504346018362501E-12</c:v>
                </c:pt>
                <c:pt idx="358">
                  <c:v>65.556410271672689</c:v>
                </c:pt>
                <c:pt idx="359">
                  <c:v>124.69570234758413</c:v>
                </c:pt>
                <c:pt idx="360">
                  <c:v>171.62891027167333</c:v>
                </c:pt>
                <c:pt idx="361">
                  <c:v>201.76188464943459</c:v>
                </c:pt>
                <c:pt idx="362">
                  <c:v>212.14500000000001</c:v>
                </c:pt>
                <c:pt idx="363">
                  <c:v>201.7618846494359</c:v>
                </c:pt>
                <c:pt idx="364">
                  <c:v>171.62891027167225</c:v>
                </c:pt>
                <c:pt idx="365">
                  <c:v>124.6957023475875</c:v>
                </c:pt>
                <c:pt idx="366">
                  <c:v>65.556410271670913</c:v>
                </c:pt>
                <c:pt idx="367">
                  <c:v>2.0797329678724775E-13</c:v>
                </c:pt>
                <c:pt idx="368">
                  <c:v>-65.556410271670515</c:v>
                </c:pt>
                <c:pt idx="369">
                  <c:v>-124.69570234758714</c:v>
                </c:pt>
                <c:pt idx="370">
                  <c:v>-171.628910271672</c:v>
                </c:pt>
                <c:pt idx="371">
                  <c:v>-201.76188464943576</c:v>
                </c:pt>
                <c:pt idx="372">
                  <c:v>-212.14500000000001</c:v>
                </c:pt>
                <c:pt idx="373">
                  <c:v>-201.76188464943473</c:v>
                </c:pt>
                <c:pt idx="374">
                  <c:v>-171.62891027167359</c:v>
                </c:pt>
                <c:pt idx="375">
                  <c:v>-124.69570234758446</c:v>
                </c:pt>
                <c:pt idx="376">
                  <c:v>-65.556410271673087</c:v>
                </c:pt>
                <c:pt idx="377">
                  <c:v>-2.4950355388513034E-12</c:v>
                </c:pt>
                <c:pt idx="378">
                  <c:v>65.556410271674082</c:v>
                </c:pt>
                <c:pt idx="379">
                  <c:v>124.69570234758531</c:v>
                </c:pt>
                <c:pt idx="380">
                  <c:v>171.62891027167421</c:v>
                </c:pt>
                <c:pt idx="381">
                  <c:v>201.76188464943505</c:v>
                </c:pt>
                <c:pt idx="382">
                  <c:v>212.14500000000001</c:v>
                </c:pt>
                <c:pt idx="383">
                  <c:v>201.76188464943544</c:v>
                </c:pt>
                <c:pt idx="384">
                  <c:v>171.62891027167137</c:v>
                </c:pt>
                <c:pt idx="385">
                  <c:v>124.69570234758632</c:v>
                </c:pt>
                <c:pt idx="386">
                  <c:v>65.556410271675261</c:v>
                </c:pt>
                <c:pt idx="387">
                  <c:v>-1.2474257661976989E-12</c:v>
                </c:pt>
                <c:pt idx="388">
                  <c:v>-65.556410271671893</c:v>
                </c:pt>
                <c:pt idx="389">
                  <c:v>-124.69570234758832</c:v>
                </c:pt>
                <c:pt idx="390">
                  <c:v>-171.62891027167285</c:v>
                </c:pt>
                <c:pt idx="391">
                  <c:v>-201.76188464943621</c:v>
                </c:pt>
                <c:pt idx="392">
                  <c:v>-212.14500000000001</c:v>
                </c:pt>
                <c:pt idx="393">
                  <c:v>-201.76188464943431</c:v>
                </c:pt>
                <c:pt idx="394">
                  <c:v>-171.62891027167271</c:v>
                </c:pt>
                <c:pt idx="395">
                  <c:v>-124.69570234758328</c:v>
                </c:pt>
                <c:pt idx="396">
                  <c:v>-65.556410271671695</c:v>
                </c:pt>
                <c:pt idx="397">
                  <c:v>-1.0396364758663568E-12</c:v>
                </c:pt>
                <c:pt idx="398">
                  <c:v>65.55641027167546</c:v>
                </c:pt>
                <c:pt idx="399">
                  <c:v>124.69570234758649</c:v>
                </c:pt>
                <c:pt idx="400">
                  <c:v>171.62891027167504</c:v>
                </c:pt>
                <c:pt idx="401">
                  <c:v>201.7618846494355</c:v>
                </c:pt>
                <c:pt idx="402">
                  <c:v>212.14500000000001</c:v>
                </c:pt>
                <c:pt idx="403">
                  <c:v>201.76188464943499</c:v>
                </c:pt>
                <c:pt idx="404">
                  <c:v>171.62891027167052</c:v>
                </c:pt>
                <c:pt idx="405">
                  <c:v>124.69570234758514</c:v>
                </c:pt>
                <c:pt idx="406">
                  <c:v>65.556410271673883</c:v>
                </c:pt>
                <c:pt idx="407">
                  <c:v>-2.702824829182646E-12</c:v>
                </c:pt>
                <c:pt idx="408">
                  <c:v>-65.556410271673286</c:v>
                </c:pt>
                <c:pt idx="409">
                  <c:v>-124.6957023475895</c:v>
                </c:pt>
                <c:pt idx="410">
                  <c:v>-171.6289102716737</c:v>
                </c:pt>
                <c:pt idx="411">
                  <c:v>-201.76188464943664</c:v>
                </c:pt>
                <c:pt idx="412">
                  <c:v>-212.14500000000001</c:v>
                </c:pt>
                <c:pt idx="413">
                  <c:v>-201.76188464943382</c:v>
                </c:pt>
                <c:pt idx="414">
                  <c:v>-171.62891027167186</c:v>
                </c:pt>
                <c:pt idx="415">
                  <c:v>-124.6957023475821</c:v>
                </c:pt>
                <c:pt idx="416">
                  <c:v>-65.556410271670316</c:v>
                </c:pt>
                <c:pt idx="417">
                  <c:v>6.4452861342316487E-12</c:v>
                </c:pt>
                <c:pt idx="418">
                  <c:v>65.556410271671112</c:v>
                </c:pt>
                <c:pt idx="419">
                  <c:v>124.69570234758766</c:v>
                </c:pt>
                <c:pt idx="420">
                  <c:v>171.62891027167237</c:v>
                </c:pt>
                <c:pt idx="421">
                  <c:v>201.76188464943596</c:v>
                </c:pt>
                <c:pt idx="422">
                  <c:v>212.14500000000001</c:v>
                </c:pt>
                <c:pt idx="423">
                  <c:v>201.76188464943453</c:v>
                </c:pt>
                <c:pt idx="424">
                  <c:v>171.62891027167322</c:v>
                </c:pt>
                <c:pt idx="425">
                  <c:v>124.69570234758396</c:v>
                </c:pt>
                <c:pt idx="426">
                  <c:v>65.55641027167249</c:v>
                </c:pt>
                <c:pt idx="427">
                  <c:v>1.8712996549454658E-12</c:v>
                </c:pt>
                <c:pt idx="428">
                  <c:v>-65.556410271674665</c:v>
                </c:pt>
                <c:pt idx="429">
                  <c:v>-124.69570234758581</c:v>
                </c:pt>
                <c:pt idx="430">
                  <c:v>-171.62891027167456</c:v>
                </c:pt>
                <c:pt idx="431">
                  <c:v>-201.76188464943525</c:v>
                </c:pt>
                <c:pt idx="432">
                  <c:v>-212.14500000000001</c:v>
                </c:pt>
                <c:pt idx="433">
                  <c:v>-201.76188464943525</c:v>
                </c:pt>
                <c:pt idx="434">
                  <c:v>-171.62891027167103</c:v>
                </c:pt>
                <c:pt idx="435">
                  <c:v>-124.69570234758581</c:v>
                </c:pt>
                <c:pt idx="436">
                  <c:v>-65.556410271668938</c:v>
                </c:pt>
                <c:pt idx="437">
                  <c:v>1.8711616501035365E-12</c:v>
                </c:pt>
                <c:pt idx="438">
                  <c:v>65.55641027167249</c:v>
                </c:pt>
                <c:pt idx="439">
                  <c:v>124.69570234758883</c:v>
                </c:pt>
                <c:pt idx="440">
                  <c:v>171.62891027167322</c:v>
                </c:pt>
                <c:pt idx="441">
                  <c:v>201.76188464943641</c:v>
                </c:pt>
                <c:pt idx="442">
                  <c:v>212.14500000000001</c:v>
                </c:pt>
                <c:pt idx="443">
                  <c:v>201.76188464943408</c:v>
                </c:pt>
                <c:pt idx="444">
                  <c:v>171.62891027167237</c:v>
                </c:pt>
                <c:pt idx="445">
                  <c:v>124.69570234758278</c:v>
                </c:pt>
                <c:pt idx="446">
                  <c:v>65.556410271671112</c:v>
                </c:pt>
                <c:pt idx="447">
                  <c:v>4.1590059196051911E-13</c:v>
                </c:pt>
                <c:pt idx="448">
                  <c:v>-65.556410271676057</c:v>
                </c:pt>
                <c:pt idx="449">
                  <c:v>-124.69570234758697</c:v>
                </c:pt>
                <c:pt idx="450">
                  <c:v>-171.62891027167544</c:v>
                </c:pt>
                <c:pt idx="451">
                  <c:v>-201.7618846494357</c:v>
                </c:pt>
                <c:pt idx="452">
                  <c:v>-212.14500000000001</c:v>
                </c:pt>
                <c:pt idx="453">
                  <c:v>-201.76188464943479</c:v>
                </c:pt>
                <c:pt idx="454">
                  <c:v>-171.62891027167018</c:v>
                </c:pt>
                <c:pt idx="455">
                  <c:v>-124.69570234758463</c:v>
                </c:pt>
                <c:pt idx="456">
                  <c:v>-65.556410271673286</c:v>
                </c:pt>
                <c:pt idx="457">
                  <c:v>3.3265607130884836E-12</c:v>
                </c:pt>
                <c:pt idx="458">
                  <c:v>65.556410271673883</c:v>
                </c:pt>
                <c:pt idx="459">
                  <c:v>124.69570234759001</c:v>
                </c:pt>
                <c:pt idx="460">
                  <c:v>171.62891027167407</c:v>
                </c:pt>
                <c:pt idx="461">
                  <c:v>201.76188464943687</c:v>
                </c:pt>
                <c:pt idx="462">
                  <c:v>212.14500000000001</c:v>
                </c:pt>
                <c:pt idx="463">
                  <c:v>201.76188464943363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ED-4C92-9F36-C9C859443627}"/>
            </c:ext>
          </c:extLst>
        </c:ser>
        <c:ser>
          <c:idx val="7"/>
          <c:order val="1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yVal>
            <c:numRef>
              <c:f>'DFT Recurs (2)'!$H$10:$H$473</c:f>
              <c:numCache>
                <c:formatCode>General</c:formatCode>
                <c:ptCount val="464"/>
                <c:pt idx="1">
                  <c:v>3.7866812911568508</c:v>
                </c:pt>
                <c:pt idx="2">
                  <c:v>10.13072655906635</c:v>
                </c:pt>
                <c:pt idx="3">
                  <c:v>18.209109863112641</c:v>
                </c:pt>
                <c:pt idx="4">
                  <c:v>26.978890352227936</c:v>
                </c:pt>
                <c:pt idx="5">
                  <c:v>35.325820762870428</c:v>
                </c:pt>
                <c:pt idx="6">
                  <c:v>42.239085327485277</c:v>
                </c:pt>
                <c:pt idx="7">
                  <c:v>47.003816934943949</c:v>
                </c:pt>
                <c:pt idx="8">
                  <c:v>49.407621780502971</c:v>
                </c:pt>
                <c:pt idx="9">
                  <c:v>49.95312088074963</c:v>
                </c:pt>
                <c:pt idx="10">
                  <c:v>50.002576500000004</c:v>
                </c:pt>
                <c:pt idx="11">
                  <c:v>51.555660832222124</c:v>
                </c:pt>
                <c:pt idx="12">
                  <c:v>56.247649306757431</c:v>
                </c:pt>
                <c:pt idx="13">
                  <c:v>64.155370351799789</c:v>
                </c:pt>
                <c:pt idx="14">
                  <c:v>73.863408020276836</c:v>
                </c:pt>
                <c:pt idx="15">
                  <c:v>83.489320039223955</c:v>
                </c:pt>
                <c:pt idx="16">
                  <c:v>91.451663669894302</c:v>
                </c:pt>
                <c:pt idx="17">
                  <c:v>96.805005575759751</c:v>
                </c:pt>
                <c:pt idx="18">
                  <c:v>99.397650976677696</c:v>
                </c:pt>
                <c:pt idx="19">
                  <c:v>99.952962043631572</c:v>
                </c:pt>
                <c:pt idx="20">
                  <c:v>100.00515300000001</c:v>
                </c:pt>
                <c:pt idx="21">
                  <c:v>100.00515300000001</c:v>
                </c:pt>
                <c:pt idx="22">
                  <c:v>100.00515300000001</c:v>
                </c:pt>
                <c:pt idx="23">
                  <c:v>100.00515300000001</c:v>
                </c:pt>
                <c:pt idx="24">
                  <c:v>100.00515300000001</c:v>
                </c:pt>
                <c:pt idx="25">
                  <c:v>100.00515300000001</c:v>
                </c:pt>
                <c:pt idx="26">
                  <c:v>100.00515300000001</c:v>
                </c:pt>
                <c:pt idx="27">
                  <c:v>100.00515299999998</c:v>
                </c:pt>
                <c:pt idx="28">
                  <c:v>100.00515299999998</c:v>
                </c:pt>
                <c:pt idx="29">
                  <c:v>100.00515299999998</c:v>
                </c:pt>
                <c:pt idx="30">
                  <c:v>100.00515299999998</c:v>
                </c:pt>
                <c:pt idx="31">
                  <c:v>100.00515299999998</c:v>
                </c:pt>
                <c:pt idx="32">
                  <c:v>100.00515299999998</c:v>
                </c:pt>
                <c:pt idx="33">
                  <c:v>100.00515299999998</c:v>
                </c:pt>
                <c:pt idx="34">
                  <c:v>100.00515299999998</c:v>
                </c:pt>
                <c:pt idx="35">
                  <c:v>100.00515299999998</c:v>
                </c:pt>
                <c:pt idx="36">
                  <c:v>100.00515299999998</c:v>
                </c:pt>
                <c:pt idx="37">
                  <c:v>100.00515299999996</c:v>
                </c:pt>
                <c:pt idx="38">
                  <c:v>100.00515299999998</c:v>
                </c:pt>
                <c:pt idx="39">
                  <c:v>100.00515299999996</c:v>
                </c:pt>
                <c:pt idx="40">
                  <c:v>100.00515299999996</c:v>
                </c:pt>
                <c:pt idx="41">
                  <c:v>100.00515299999996</c:v>
                </c:pt>
                <c:pt idx="42">
                  <c:v>100.00515299999998</c:v>
                </c:pt>
                <c:pt idx="43">
                  <c:v>100.00515299999998</c:v>
                </c:pt>
                <c:pt idx="44">
                  <c:v>100.00515299999998</c:v>
                </c:pt>
                <c:pt idx="45">
                  <c:v>100.00515299999998</c:v>
                </c:pt>
                <c:pt idx="46">
                  <c:v>100.00515299999998</c:v>
                </c:pt>
                <c:pt idx="47">
                  <c:v>100.00515299999999</c:v>
                </c:pt>
                <c:pt idx="48">
                  <c:v>100.00515299999999</c:v>
                </c:pt>
                <c:pt idx="49">
                  <c:v>100.00515299999998</c:v>
                </c:pt>
                <c:pt idx="50">
                  <c:v>100.00515299999998</c:v>
                </c:pt>
                <c:pt idx="51">
                  <c:v>100.00515299999998</c:v>
                </c:pt>
                <c:pt idx="52">
                  <c:v>100.00515300000001</c:v>
                </c:pt>
                <c:pt idx="53">
                  <c:v>100.00515300000002</c:v>
                </c:pt>
                <c:pt idx="54">
                  <c:v>100.00515300000002</c:v>
                </c:pt>
                <c:pt idx="55">
                  <c:v>100.00515300000002</c:v>
                </c:pt>
                <c:pt idx="56">
                  <c:v>100.00515300000002</c:v>
                </c:pt>
                <c:pt idx="57">
                  <c:v>100.00515300000002</c:v>
                </c:pt>
                <c:pt idx="58">
                  <c:v>100.00515300000001</c:v>
                </c:pt>
                <c:pt idx="59">
                  <c:v>100.00515300000001</c:v>
                </c:pt>
                <c:pt idx="60">
                  <c:v>100.00515300000001</c:v>
                </c:pt>
                <c:pt idx="61">
                  <c:v>100.00515300000001</c:v>
                </c:pt>
                <c:pt idx="62">
                  <c:v>100.00515300000002</c:v>
                </c:pt>
                <c:pt idx="63">
                  <c:v>100.00515300000002</c:v>
                </c:pt>
                <c:pt idx="64">
                  <c:v>100.00515300000002</c:v>
                </c:pt>
                <c:pt idx="65">
                  <c:v>100.00515300000002</c:v>
                </c:pt>
                <c:pt idx="66">
                  <c:v>100.00515300000001</c:v>
                </c:pt>
                <c:pt idx="67">
                  <c:v>100.00515299999998</c:v>
                </c:pt>
                <c:pt idx="68">
                  <c:v>100.00515299999995</c:v>
                </c:pt>
                <c:pt idx="69">
                  <c:v>100.00515299999995</c:v>
                </c:pt>
                <c:pt idx="70">
                  <c:v>100.00515299999996</c:v>
                </c:pt>
                <c:pt idx="71">
                  <c:v>100.00515299999998</c:v>
                </c:pt>
                <c:pt idx="72">
                  <c:v>100.00515299999998</c:v>
                </c:pt>
                <c:pt idx="73">
                  <c:v>100.00515299999998</c:v>
                </c:pt>
                <c:pt idx="74">
                  <c:v>100.00515299999996</c:v>
                </c:pt>
                <c:pt idx="75">
                  <c:v>100.00515299999996</c:v>
                </c:pt>
                <c:pt idx="76">
                  <c:v>100.00515299999996</c:v>
                </c:pt>
                <c:pt idx="77">
                  <c:v>100.00515299999996</c:v>
                </c:pt>
                <c:pt idx="78">
                  <c:v>100.00515299999996</c:v>
                </c:pt>
                <c:pt idx="79">
                  <c:v>100.00515299999996</c:v>
                </c:pt>
                <c:pt idx="80">
                  <c:v>100.00515299999996</c:v>
                </c:pt>
                <c:pt idx="81">
                  <c:v>100.00515299999996</c:v>
                </c:pt>
                <c:pt idx="82">
                  <c:v>100.00515299999996</c:v>
                </c:pt>
                <c:pt idx="83">
                  <c:v>100.00515299999998</c:v>
                </c:pt>
                <c:pt idx="84">
                  <c:v>100.00515299999998</c:v>
                </c:pt>
                <c:pt idx="85">
                  <c:v>100.00515299999998</c:v>
                </c:pt>
                <c:pt idx="86">
                  <c:v>100.00515299999998</c:v>
                </c:pt>
                <c:pt idx="87">
                  <c:v>100.00515299999998</c:v>
                </c:pt>
                <c:pt idx="88">
                  <c:v>100.00515299999996</c:v>
                </c:pt>
                <c:pt idx="89">
                  <c:v>100.00515299999998</c:v>
                </c:pt>
                <c:pt idx="90">
                  <c:v>101.48777990402576</c:v>
                </c:pt>
                <c:pt idx="91">
                  <c:v>106.91314865083866</c:v>
                </c:pt>
                <c:pt idx="92">
                  <c:v>113.73007842682232</c:v>
                </c:pt>
                <c:pt idx="93">
                  <c:v>119.23232988523952</c:v>
                </c:pt>
                <c:pt idx="94">
                  <c:v>121.65382951573012</c:v>
                </c:pt>
                <c:pt idx="95">
                  <c:v>120.56229912177476</c:v>
                </c:pt>
                <c:pt idx="96">
                  <c:v>116.919655123995</c:v>
                </c:pt>
                <c:pt idx="97">
                  <c:v>112.90444786323928</c:v>
                </c:pt>
                <c:pt idx="98">
                  <c:v>111.25035511234778</c:v>
                </c:pt>
                <c:pt idx="99">
                  <c:v>113.89585886148161</c:v>
                </c:pt>
                <c:pt idx="100">
                  <c:v>120.70381276231731</c:v>
                </c:pt>
                <c:pt idx="101">
                  <c:v>129.60843209306185</c:v>
                </c:pt>
                <c:pt idx="102">
                  <c:v>137.95519002820546</c:v>
                </c:pt>
                <c:pt idx="103">
                  <c:v>143.68552598986221</c:v>
                </c:pt>
                <c:pt idx="104">
                  <c:v>145.90234740965465</c:v>
                </c:pt>
                <c:pt idx="105">
                  <c:v>145.03953615481524</c:v>
                </c:pt>
                <c:pt idx="106">
                  <c:v>142.77564464592197</c:v>
                </c:pt>
                <c:pt idx="107">
                  <c:v>141.57922565273429</c:v>
                </c:pt>
                <c:pt idx="108">
                  <c:v>143.71356710595086</c:v>
                </c:pt>
                <c:pt idx="109">
                  <c:v>150.00772949999984</c:v>
                </c:pt>
                <c:pt idx="110">
                  <c:v>150.0077294999999</c:v>
                </c:pt>
                <c:pt idx="111">
                  <c:v>150.0077294999999</c:v>
                </c:pt>
                <c:pt idx="112">
                  <c:v>150.0077294999999</c:v>
                </c:pt>
                <c:pt idx="113">
                  <c:v>150.0077294999999</c:v>
                </c:pt>
                <c:pt idx="114">
                  <c:v>150.0077294999999</c:v>
                </c:pt>
                <c:pt idx="115">
                  <c:v>150.0077294999999</c:v>
                </c:pt>
                <c:pt idx="116">
                  <c:v>150.0077294999999</c:v>
                </c:pt>
                <c:pt idx="117">
                  <c:v>150.00772949999987</c:v>
                </c:pt>
                <c:pt idx="118">
                  <c:v>150.00772949999987</c:v>
                </c:pt>
                <c:pt idx="119">
                  <c:v>150.00772949999987</c:v>
                </c:pt>
                <c:pt idx="120">
                  <c:v>150.00772949999993</c:v>
                </c:pt>
                <c:pt idx="121">
                  <c:v>150.00772949999993</c:v>
                </c:pt>
                <c:pt idx="122">
                  <c:v>150.00772949999993</c:v>
                </c:pt>
                <c:pt idx="123">
                  <c:v>150.00772949999993</c:v>
                </c:pt>
                <c:pt idx="124">
                  <c:v>150.00772949999995</c:v>
                </c:pt>
                <c:pt idx="125">
                  <c:v>150.00772950000001</c:v>
                </c:pt>
                <c:pt idx="126">
                  <c:v>150.00772950000001</c:v>
                </c:pt>
                <c:pt idx="127">
                  <c:v>150.00772950000001</c:v>
                </c:pt>
                <c:pt idx="128">
                  <c:v>150.00772950000004</c:v>
                </c:pt>
                <c:pt idx="129">
                  <c:v>150.00772950000004</c:v>
                </c:pt>
                <c:pt idx="130">
                  <c:v>150.00772950000004</c:v>
                </c:pt>
                <c:pt idx="131">
                  <c:v>150.00772950000004</c:v>
                </c:pt>
                <c:pt idx="132">
                  <c:v>150.00772950000004</c:v>
                </c:pt>
                <c:pt idx="133">
                  <c:v>150.00772950000001</c:v>
                </c:pt>
                <c:pt idx="134">
                  <c:v>150.00772950000001</c:v>
                </c:pt>
                <c:pt idx="135">
                  <c:v>150.00772950000001</c:v>
                </c:pt>
                <c:pt idx="136">
                  <c:v>150.00772950000001</c:v>
                </c:pt>
                <c:pt idx="137">
                  <c:v>150.00772950000001</c:v>
                </c:pt>
                <c:pt idx="138">
                  <c:v>150.00772950000001</c:v>
                </c:pt>
                <c:pt idx="139">
                  <c:v>150.00772950000001</c:v>
                </c:pt>
                <c:pt idx="140">
                  <c:v>150.00772950000001</c:v>
                </c:pt>
                <c:pt idx="141">
                  <c:v>150.00772950000004</c:v>
                </c:pt>
                <c:pt idx="142">
                  <c:v>150.00772950000004</c:v>
                </c:pt>
                <c:pt idx="143">
                  <c:v>150.00772950000004</c:v>
                </c:pt>
                <c:pt idx="144">
                  <c:v>150.00772949999998</c:v>
                </c:pt>
                <c:pt idx="145">
                  <c:v>150.00772949999995</c:v>
                </c:pt>
                <c:pt idx="146">
                  <c:v>150.00772949999995</c:v>
                </c:pt>
                <c:pt idx="147">
                  <c:v>150.00772949999995</c:v>
                </c:pt>
                <c:pt idx="148">
                  <c:v>150.00772949999993</c:v>
                </c:pt>
                <c:pt idx="149">
                  <c:v>150.00772949999993</c:v>
                </c:pt>
                <c:pt idx="150">
                  <c:v>150.00772949999993</c:v>
                </c:pt>
                <c:pt idx="151">
                  <c:v>150.00772949999993</c:v>
                </c:pt>
                <c:pt idx="152">
                  <c:v>150.00772949999993</c:v>
                </c:pt>
                <c:pt idx="153">
                  <c:v>150.00772949999995</c:v>
                </c:pt>
                <c:pt idx="154">
                  <c:v>150.00772949999995</c:v>
                </c:pt>
                <c:pt idx="155">
                  <c:v>150.00772949999995</c:v>
                </c:pt>
                <c:pt idx="156">
                  <c:v>150.00772949999995</c:v>
                </c:pt>
                <c:pt idx="157">
                  <c:v>150.00772949999995</c:v>
                </c:pt>
                <c:pt idx="158">
                  <c:v>150.00772949999995</c:v>
                </c:pt>
                <c:pt idx="159">
                  <c:v>150.00772949999995</c:v>
                </c:pt>
                <c:pt idx="160">
                  <c:v>150.00772949999995</c:v>
                </c:pt>
                <c:pt idx="161">
                  <c:v>150.00772949999993</c:v>
                </c:pt>
                <c:pt idx="162">
                  <c:v>150.00772949999993</c:v>
                </c:pt>
                <c:pt idx="163">
                  <c:v>150.00772949999993</c:v>
                </c:pt>
                <c:pt idx="164">
                  <c:v>150.00772949999993</c:v>
                </c:pt>
                <c:pt idx="165">
                  <c:v>150.00772949999993</c:v>
                </c:pt>
                <c:pt idx="166">
                  <c:v>150.00772949999995</c:v>
                </c:pt>
                <c:pt idx="167">
                  <c:v>150.00772949999993</c:v>
                </c:pt>
                <c:pt idx="168">
                  <c:v>150.00772949999998</c:v>
                </c:pt>
                <c:pt idx="169">
                  <c:v>150.00772950000001</c:v>
                </c:pt>
                <c:pt idx="170">
                  <c:v>150.00772950000007</c:v>
                </c:pt>
                <c:pt idx="171">
                  <c:v>150.00772950000007</c:v>
                </c:pt>
                <c:pt idx="172">
                  <c:v>150.00772950000007</c:v>
                </c:pt>
                <c:pt idx="173">
                  <c:v>150.00772950000001</c:v>
                </c:pt>
                <c:pt idx="174">
                  <c:v>150.00772949999998</c:v>
                </c:pt>
                <c:pt idx="175">
                  <c:v>150.00772949999993</c:v>
                </c:pt>
                <c:pt idx="176">
                  <c:v>150.00772949999993</c:v>
                </c:pt>
                <c:pt idx="177">
                  <c:v>150.00772949999993</c:v>
                </c:pt>
                <c:pt idx="178">
                  <c:v>150.00772949999993</c:v>
                </c:pt>
                <c:pt idx="179">
                  <c:v>150.0077294999999</c:v>
                </c:pt>
                <c:pt idx="180">
                  <c:v>150.00772949999984</c:v>
                </c:pt>
                <c:pt idx="181">
                  <c:v>150.00772949999984</c:v>
                </c:pt>
                <c:pt idx="182">
                  <c:v>150.00772949999984</c:v>
                </c:pt>
                <c:pt idx="183">
                  <c:v>150.00772949999984</c:v>
                </c:pt>
                <c:pt idx="184">
                  <c:v>150.00772949999987</c:v>
                </c:pt>
                <c:pt idx="185">
                  <c:v>150.00772949999993</c:v>
                </c:pt>
                <c:pt idx="186">
                  <c:v>150.00772949999993</c:v>
                </c:pt>
                <c:pt idx="187">
                  <c:v>150.00772949999993</c:v>
                </c:pt>
                <c:pt idx="188">
                  <c:v>150.00772949999993</c:v>
                </c:pt>
                <c:pt idx="189">
                  <c:v>150.00772949999987</c:v>
                </c:pt>
                <c:pt idx="190">
                  <c:v>150.00772949999981</c:v>
                </c:pt>
                <c:pt idx="191">
                  <c:v>150.00772949999981</c:v>
                </c:pt>
                <c:pt idx="192">
                  <c:v>150.00772949999981</c:v>
                </c:pt>
                <c:pt idx="193">
                  <c:v>150.00772949999981</c:v>
                </c:pt>
                <c:pt idx="194">
                  <c:v>150.00772949999987</c:v>
                </c:pt>
                <c:pt idx="195">
                  <c:v>150.00772949999993</c:v>
                </c:pt>
                <c:pt idx="196">
                  <c:v>150.00772949999993</c:v>
                </c:pt>
                <c:pt idx="197">
                  <c:v>150.00772949999993</c:v>
                </c:pt>
                <c:pt idx="198">
                  <c:v>150.00772949999995</c:v>
                </c:pt>
                <c:pt idx="199">
                  <c:v>150.00772949999998</c:v>
                </c:pt>
                <c:pt idx="200">
                  <c:v>150.00772950000004</c:v>
                </c:pt>
                <c:pt idx="201">
                  <c:v>150.00772950000007</c:v>
                </c:pt>
                <c:pt idx="202">
                  <c:v>150.00772950000007</c:v>
                </c:pt>
                <c:pt idx="203">
                  <c:v>150.0077295000001</c:v>
                </c:pt>
                <c:pt idx="204">
                  <c:v>150.00772949999998</c:v>
                </c:pt>
                <c:pt idx="205">
                  <c:v>150.00772949999998</c:v>
                </c:pt>
                <c:pt idx="206">
                  <c:v>150.00772949999993</c:v>
                </c:pt>
                <c:pt idx="207">
                  <c:v>150.00772949999993</c:v>
                </c:pt>
                <c:pt idx="208">
                  <c:v>150.00772949999998</c:v>
                </c:pt>
                <c:pt idx="209">
                  <c:v>150.00772950000001</c:v>
                </c:pt>
                <c:pt idx="210">
                  <c:v>150.00772949999998</c:v>
                </c:pt>
                <c:pt idx="211">
                  <c:v>150.00772949999998</c:v>
                </c:pt>
                <c:pt idx="212">
                  <c:v>150.00772949999998</c:v>
                </c:pt>
                <c:pt idx="213">
                  <c:v>150.00772949999995</c:v>
                </c:pt>
                <c:pt idx="214">
                  <c:v>150.00772949999995</c:v>
                </c:pt>
                <c:pt idx="215">
                  <c:v>150.00772950000007</c:v>
                </c:pt>
                <c:pt idx="216">
                  <c:v>150.00772950000007</c:v>
                </c:pt>
                <c:pt idx="217">
                  <c:v>150.00772950000007</c:v>
                </c:pt>
                <c:pt idx="218">
                  <c:v>150.00772950000007</c:v>
                </c:pt>
                <c:pt idx="219">
                  <c:v>150.00772950000001</c:v>
                </c:pt>
                <c:pt idx="220">
                  <c:v>150.00772950000007</c:v>
                </c:pt>
                <c:pt idx="221">
                  <c:v>150.00772950000004</c:v>
                </c:pt>
                <c:pt idx="222">
                  <c:v>150.00772950000004</c:v>
                </c:pt>
                <c:pt idx="223">
                  <c:v>150.00772949999998</c:v>
                </c:pt>
                <c:pt idx="224">
                  <c:v>150.00772950000015</c:v>
                </c:pt>
                <c:pt idx="225">
                  <c:v>150.0077295000001</c:v>
                </c:pt>
                <c:pt idx="226">
                  <c:v>150.00772950000021</c:v>
                </c:pt>
                <c:pt idx="227">
                  <c:v>150.00772950000018</c:v>
                </c:pt>
                <c:pt idx="228">
                  <c:v>150.00772950000012</c:v>
                </c:pt>
                <c:pt idx="229">
                  <c:v>150.00772950000015</c:v>
                </c:pt>
                <c:pt idx="230">
                  <c:v>150.00772950000021</c:v>
                </c:pt>
                <c:pt idx="231">
                  <c:v>150.00772950000024</c:v>
                </c:pt>
                <c:pt idx="232">
                  <c:v>150.00772950000024</c:v>
                </c:pt>
                <c:pt idx="233">
                  <c:v>150.00772950000032</c:v>
                </c:pt>
                <c:pt idx="234">
                  <c:v>150.00772950000027</c:v>
                </c:pt>
                <c:pt idx="235">
                  <c:v>150.00772950000024</c:v>
                </c:pt>
                <c:pt idx="236">
                  <c:v>150.00772950000018</c:v>
                </c:pt>
                <c:pt idx="237">
                  <c:v>150.00772950000018</c:v>
                </c:pt>
                <c:pt idx="238">
                  <c:v>150.00772950000024</c:v>
                </c:pt>
                <c:pt idx="239">
                  <c:v>150.00772950000027</c:v>
                </c:pt>
                <c:pt idx="240">
                  <c:v>150.00772950000032</c:v>
                </c:pt>
                <c:pt idx="241">
                  <c:v>150.00772950000032</c:v>
                </c:pt>
                <c:pt idx="242">
                  <c:v>150.00772950000032</c:v>
                </c:pt>
                <c:pt idx="243">
                  <c:v>150.00772950000032</c:v>
                </c:pt>
                <c:pt idx="244">
                  <c:v>150.00772950000027</c:v>
                </c:pt>
                <c:pt idx="245">
                  <c:v>150.00772950000021</c:v>
                </c:pt>
                <c:pt idx="246">
                  <c:v>150.00772950000018</c:v>
                </c:pt>
                <c:pt idx="247">
                  <c:v>150.00772950000015</c:v>
                </c:pt>
                <c:pt idx="248">
                  <c:v>150.00772950000018</c:v>
                </c:pt>
                <c:pt idx="249">
                  <c:v>150.00772950000004</c:v>
                </c:pt>
                <c:pt idx="250">
                  <c:v>150.0077295000001</c:v>
                </c:pt>
                <c:pt idx="251">
                  <c:v>150.00772949999998</c:v>
                </c:pt>
                <c:pt idx="252">
                  <c:v>150.00772949999998</c:v>
                </c:pt>
                <c:pt idx="253">
                  <c:v>150.00772949999998</c:v>
                </c:pt>
                <c:pt idx="254">
                  <c:v>150.0077294999999</c:v>
                </c:pt>
                <c:pt idx="255">
                  <c:v>150.00772949999987</c:v>
                </c:pt>
                <c:pt idx="256">
                  <c:v>150.00772949999995</c:v>
                </c:pt>
                <c:pt idx="257">
                  <c:v>150.00772949999995</c:v>
                </c:pt>
                <c:pt idx="258">
                  <c:v>150.00772949999987</c:v>
                </c:pt>
                <c:pt idx="259">
                  <c:v>150.0077294999999</c:v>
                </c:pt>
                <c:pt idx="260">
                  <c:v>150.00772949999975</c:v>
                </c:pt>
                <c:pt idx="261">
                  <c:v>150.00772949999978</c:v>
                </c:pt>
                <c:pt idx="262">
                  <c:v>150.00772949999978</c:v>
                </c:pt>
                <c:pt idx="263">
                  <c:v>150.00772949999975</c:v>
                </c:pt>
                <c:pt idx="264">
                  <c:v>150.00772949999973</c:v>
                </c:pt>
                <c:pt idx="265">
                  <c:v>150.00772949999967</c:v>
                </c:pt>
                <c:pt idx="266">
                  <c:v>150.00772949999964</c:v>
                </c:pt>
                <c:pt idx="267">
                  <c:v>150.00772949999964</c:v>
                </c:pt>
                <c:pt idx="268">
                  <c:v>150.00772949999964</c:v>
                </c:pt>
                <c:pt idx="269">
                  <c:v>150.0077294999997</c:v>
                </c:pt>
                <c:pt idx="270">
                  <c:v>150.00772949999975</c:v>
                </c:pt>
                <c:pt idx="271">
                  <c:v>150.00772949999978</c:v>
                </c:pt>
                <c:pt idx="272">
                  <c:v>150.00772949999978</c:v>
                </c:pt>
                <c:pt idx="273">
                  <c:v>150.00772949999973</c:v>
                </c:pt>
                <c:pt idx="274">
                  <c:v>150.0077294999997</c:v>
                </c:pt>
                <c:pt idx="275">
                  <c:v>150.00772949999964</c:v>
                </c:pt>
                <c:pt idx="276">
                  <c:v>150.00772949999961</c:v>
                </c:pt>
                <c:pt idx="277">
                  <c:v>150.00772949999961</c:v>
                </c:pt>
                <c:pt idx="278">
                  <c:v>150.00772949999964</c:v>
                </c:pt>
                <c:pt idx="279">
                  <c:v>150.00772949999967</c:v>
                </c:pt>
                <c:pt idx="280">
                  <c:v>150.00772949999973</c:v>
                </c:pt>
                <c:pt idx="281">
                  <c:v>150.00772949999975</c:v>
                </c:pt>
                <c:pt idx="282">
                  <c:v>150.00772949999975</c:v>
                </c:pt>
                <c:pt idx="283">
                  <c:v>150.00772949999973</c:v>
                </c:pt>
                <c:pt idx="284">
                  <c:v>150.00772949999967</c:v>
                </c:pt>
                <c:pt idx="285">
                  <c:v>150.00772949999984</c:v>
                </c:pt>
                <c:pt idx="286">
                  <c:v>150.00772949999981</c:v>
                </c:pt>
                <c:pt idx="287">
                  <c:v>150.00772949999981</c:v>
                </c:pt>
                <c:pt idx="288">
                  <c:v>150.00772949999984</c:v>
                </c:pt>
                <c:pt idx="289">
                  <c:v>150.00772949999987</c:v>
                </c:pt>
                <c:pt idx="290">
                  <c:v>150.00772949999973</c:v>
                </c:pt>
                <c:pt idx="291">
                  <c:v>150.00772949999975</c:v>
                </c:pt>
                <c:pt idx="292">
                  <c:v>150.00772949999975</c:v>
                </c:pt>
                <c:pt idx="293">
                  <c:v>150.00772949999987</c:v>
                </c:pt>
                <c:pt idx="294">
                  <c:v>150.00772950000001</c:v>
                </c:pt>
                <c:pt idx="295">
                  <c:v>150.00772950000015</c:v>
                </c:pt>
                <c:pt idx="296">
                  <c:v>150.00772950000015</c:v>
                </c:pt>
                <c:pt idx="297">
                  <c:v>150.00772950000012</c:v>
                </c:pt>
                <c:pt idx="298">
                  <c:v>150.00772950000015</c:v>
                </c:pt>
                <c:pt idx="299">
                  <c:v>150.00772950000001</c:v>
                </c:pt>
                <c:pt idx="300">
                  <c:v>150.00772950000007</c:v>
                </c:pt>
                <c:pt idx="301">
                  <c:v>150.00772949999998</c:v>
                </c:pt>
                <c:pt idx="302">
                  <c:v>150.00772949999998</c:v>
                </c:pt>
                <c:pt idx="303">
                  <c:v>150.0077295000001</c:v>
                </c:pt>
                <c:pt idx="304">
                  <c:v>150.00772950000024</c:v>
                </c:pt>
                <c:pt idx="305">
                  <c:v>150.00772950000018</c:v>
                </c:pt>
                <c:pt idx="306">
                  <c:v>150.00772950000027</c:v>
                </c:pt>
                <c:pt idx="307">
                  <c:v>150.00772950000027</c:v>
                </c:pt>
                <c:pt idx="308">
                  <c:v>150.00772950000018</c:v>
                </c:pt>
                <c:pt idx="309">
                  <c:v>150.00772950000024</c:v>
                </c:pt>
                <c:pt idx="310">
                  <c:v>150.00772950000027</c:v>
                </c:pt>
                <c:pt idx="311">
                  <c:v>150.00772950000029</c:v>
                </c:pt>
                <c:pt idx="312">
                  <c:v>150.00772950000029</c:v>
                </c:pt>
                <c:pt idx="313">
                  <c:v>150.00772950000027</c:v>
                </c:pt>
                <c:pt idx="314">
                  <c:v>150.00772950000024</c:v>
                </c:pt>
                <c:pt idx="315">
                  <c:v>150.00772950000018</c:v>
                </c:pt>
                <c:pt idx="316">
                  <c:v>150.00772950000015</c:v>
                </c:pt>
                <c:pt idx="317">
                  <c:v>150.00772950000015</c:v>
                </c:pt>
                <c:pt idx="318">
                  <c:v>150.00772950000018</c:v>
                </c:pt>
                <c:pt idx="319">
                  <c:v>150.00772950000021</c:v>
                </c:pt>
                <c:pt idx="320">
                  <c:v>150.00772950000027</c:v>
                </c:pt>
                <c:pt idx="321">
                  <c:v>150.00772950000029</c:v>
                </c:pt>
                <c:pt idx="322">
                  <c:v>150.00772950000029</c:v>
                </c:pt>
                <c:pt idx="323">
                  <c:v>150.00772950000024</c:v>
                </c:pt>
                <c:pt idx="324">
                  <c:v>150.00772950000021</c:v>
                </c:pt>
                <c:pt idx="325">
                  <c:v>150.00772950000015</c:v>
                </c:pt>
                <c:pt idx="326">
                  <c:v>150.00772950000015</c:v>
                </c:pt>
                <c:pt idx="327">
                  <c:v>150.00772950000012</c:v>
                </c:pt>
                <c:pt idx="328">
                  <c:v>150.00772950000015</c:v>
                </c:pt>
                <c:pt idx="329">
                  <c:v>150.00772950000021</c:v>
                </c:pt>
                <c:pt idx="330">
                  <c:v>150.00772950000024</c:v>
                </c:pt>
                <c:pt idx="331">
                  <c:v>150.00772950000012</c:v>
                </c:pt>
                <c:pt idx="332">
                  <c:v>150.00772950000012</c:v>
                </c:pt>
                <c:pt idx="333">
                  <c:v>150.0077295000001</c:v>
                </c:pt>
                <c:pt idx="334">
                  <c:v>150.00772950000007</c:v>
                </c:pt>
                <c:pt idx="335">
                  <c:v>150.00772950000001</c:v>
                </c:pt>
                <c:pt idx="336">
                  <c:v>150.00772949999998</c:v>
                </c:pt>
                <c:pt idx="337">
                  <c:v>150.00772949999998</c:v>
                </c:pt>
                <c:pt idx="338">
                  <c:v>150.00772949999998</c:v>
                </c:pt>
                <c:pt idx="339">
                  <c:v>150.00772950000004</c:v>
                </c:pt>
                <c:pt idx="340">
                  <c:v>150.0077294999999</c:v>
                </c:pt>
                <c:pt idx="341">
                  <c:v>150.00772949999993</c:v>
                </c:pt>
                <c:pt idx="342">
                  <c:v>150.00772949999993</c:v>
                </c:pt>
                <c:pt idx="343">
                  <c:v>150.0077294999999</c:v>
                </c:pt>
                <c:pt idx="344">
                  <c:v>150.00772949999984</c:v>
                </c:pt>
                <c:pt idx="345">
                  <c:v>150.00772949999981</c:v>
                </c:pt>
                <c:pt idx="346">
                  <c:v>150.00772949999975</c:v>
                </c:pt>
                <c:pt idx="347">
                  <c:v>150.00772949999975</c:v>
                </c:pt>
                <c:pt idx="348">
                  <c:v>150.00772949999981</c:v>
                </c:pt>
                <c:pt idx="349">
                  <c:v>150.00772949999981</c:v>
                </c:pt>
                <c:pt idx="350">
                  <c:v>150.0077294999999</c:v>
                </c:pt>
                <c:pt idx="351">
                  <c:v>150.0077294999999</c:v>
                </c:pt>
                <c:pt idx="352">
                  <c:v>150.0077294999999</c:v>
                </c:pt>
                <c:pt idx="353">
                  <c:v>150.00772949999987</c:v>
                </c:pt>
                <c:pt idx="354">
                  <c:v>150.00772950000004</c:v>
                </c:pt>
                <c:pt idx="355">
                  <c:v>150.00772949999998</c:v>
                </c:pt>
                <c:pt idx="356">
                  <c:v>150.00772950000007</c:v>
                </c:pt>
                <c:pt idx="357">
                  <c:v>150.00772950000007</c:v>
                </c:pt>
                <c:pt idx="358">
                  <c:v>150.00772949999998</c:v>
                </c:pt>
                <c:pt idx="359">
                  <c:v>150.00772949999981</c:v>
                </c:pt>
                <c:pt idx="360">
                  <c:v>150.0077294999999</c:v>
                </c:pt>
                <c:pt idx="361">
                  <c:v>150.00772949999978</c:v>
                </c:pt>
                <c:pt idx="362">
                  <c:v>150.00772949999978</c:v>
                </c:pt>
                <c:pt idx="363">
                  <c:v>150.00772949999987</c:v>
                </c:pt>
                <c:pt idx="364">
                  <c:v>150.00772949999981</c:v>
                </c:pt>
                <c:pt idx="365">
                  <c:v>150.00772949999998</c:v>
                </c:pt>
                <c:pt idx="366">
                  <c:v>150.00772949999995</c:v>
                </c:pt>
                <c:pt idx="367">
                  <c:v>150.00772949999993</c:v>
                </c:pt>
                <c:pt idx="368">
                  <c:v>150.00772949999987</c:v>
                </c:pt>
                <c:pt idx="369">
                  <c:v>150.00772949999973</c:v>
                </c:pt>
                <c:pt idx="370">
                  <c:v>150.00772949999958</c:v>
                </c:pt>
                <c:pt idx="371">
                  <c:v>150.00772949999958</c:v>
                </c:pt>
                <c:pt idx="372">
                  <c:v>150.00772949999958</c:v>
                </c:pt>
                <c:pt idx="373">
                  <c:v>150.00772949999958</c:v>
                </c:pt>
                <c:pt idx="374">
                  <c:v>150.00772949999953</c:v>
                </c:pt>
                <c:pt idx="375">
                  <c:v>150.00772949999947</c:v>
                </c:pt>
                <c:pt idx="376">
                  <c:v>150.00772949999944</c:v>
                </c:pt>
                <c:pt idx="377">
                  <c:v>150.00772949999944</c:v>
                </c:pt>
                <c:pt idx="378">
                  <c:v>150.00772949999947</c:v>
                </c:pt>
                <c:pt idx="379">
                  <c:v>150.0077294999995</c:v>
                </c:pt>
                <c:pt idx="380">
                  <c:v>150.00772949999956</c:v>
                </c:pt>
                <c:pt idx="381">
                  <c:v>150.00772949999958</c:v>
                </c:pt>
                <c:pt idx="382">
                  <c:v>150.00772949999958</c:v>
                </c:pt>
                <c:pt idx="383">
                  <c:v>150.00772949999956</c:v>
                </c:pt>
                <c:pt idx="384">
                  <c:v>150.0077294999995</c:v>
                </c:pt>
                <c:pt idx="385">
                  <c:v>150.00772949999944</c:v>
                </c:pt>
                <c:pt idx="386">
                  <c:v>150.00772949999953</c:v>
                </c:pt>
                <c:pt idx="387">
                  <c:v>150.00772949999956</c:v>
                </c:pt>
                <c:pt idx="388">
                  <c:v>150.00772949999958</c:v>
                </c:pt>
                <c:pt idx="389">
                  <c:v>150.00772949999961</c:v>
                </c:pt>
                <c:pt idx="390">
                  <c:v>150.00772949999964</c:v>
                </c:pt>
                <c:pt idx="391">
                  <c:v>150.00772949999967</c:v>
                </c:pt>
                <c:pt idx="392">
                  <c:v>150.00772949999967</c:v>
                </c:pt>
                <c:pt idx="393">
                  <c:v>150.00772949999964</c:v>
                </c:pt>
                <c:pt idx="394">
                  <c:v>150.00772949999961</c:v>
                </c:pt>
                <c:pt idx="395">
                  <c:v>150.00772949999956</c:v>
                </c:pt>
                <c:pt idx="396">
                  <c:v>150.00772949999953</c:v>
                </c:pt>
                <c:pt idx="397">
                  <c:v>150.00772949999953</c:v>
                </c:pt>
                <c:pt idx="398">
                  <c:v>150.00772949999956</c:v>
                </c:pt>
                <c:pt idx="399">
                  <c:v>150.00772949999958</c:v>
                </c:pt>
                <c:pt idx="400">
                  <c:v>150.00772949999964</c:v>
                </c:pt>
                <c:pt idx="401">
                  <c:v>150.00772949999967</c:v>
                </c:pt>
                <c:pt idx="402">
                  <c:v>150.00772949999967</c:v>
                </c:pt>
                <c:pt idx="403">
                  <c:v>150.00772949999964</c:v>
                </c:pt>
                <c:pt idx="404">
                  <c:v>150.00772949999958</c:v>
                </c:pt>
                <c:pt idx="405">
                  <c:v>150.00772949999956</c:v>
                </c:pt>
                <c:pt idx="406">
                  <c:v>150.0077294999995</c:v>
                </c:pt>
                <c:pt idx="407">
                  <c:v>150.0077294999995</c:v>
                </c:pt>
                <c:pt idx="408">
                  <c:v>150.00772949999953</c:v>
                </c:pt>
                <c:pt idx="409">
                  <c:v>150.00772949999958</c:v>
                </c:pt>
                <c:pt idx="410">
                  <c:v>150.00772949999961</c:v>
                </c:pt>
                <c:pt idx="411">
                  <c:v>150.00772949999964</c:v>
                </c:pt>
                <c:pt idx="412">
                  <c:v>150.00772949999964</c:v>
                </c:pt>
                <c:pt idx="413">
                  <c:v>150.00772949999961</c:v>
                </c:pt>
                <c:pt idx="414">
                  <c:v>150.00772949999958</c:v>
                </c:pt>
                <c:pt idx="415">
                  <c:v>150.00772949999953</c:v>
                </c:pt>
                <c:pt idx="416">
                  <c:v>150.0077294999995</c:v>
                </c:pt>
                <c:pt idx="417">
                  <c:v>150.0077294999995</c:v>
                </c:pt>
                <c:pt idx="418">
                  <c:v>150.00772949999941</c:v>
                </c:pt>
                <c:pt idx="419">
                  <c:v>150.00772949999944</c:v>
                </c:pt>
                <c:pt idx="420">
                  <c:v>150.0077294999993</c:v>
                </c:pt>
                <c:pt idx="421">
                  <c:v>150.00772949999933</c:v>
                </c:pt>
                <c:pt idx="422">
                  <c:v>150.00772949999933</c:v>
                </c:pt>
                <c:pt idx="423">
                  <c:v>150.0077294999993</c:v>
                </c:pt>
                <c:pt idx="424">
                  <c:v>150.00772949999947</c:v>
                </c:pt>
                <c:pt idx="425">
                  <c:v>150.00772949999941</c:v>
                </c:pt>
                <c:pt idx="426">
                  <c:v>150.00772949999939</c:v>
                </c:pt>
                <c:pt idx="427">
                  <c:v>150.00772949999936</c:v>
                </c:pt>
                <c:pt idx="428">
                  <c:v>150.00772949999939</c:v>
                </c:pt>
                <c:pt idx="429">
                  <c:v>150.00772949999924</c:v>
                </c:pt>
                <c:pt idx="430">
                  <c:v>150.0077294999993</c:v>
                </c:pt>
                <c:pt idx="431">
                  <c:v>150.00772949999921</c:v>
                </c:pt>
                <c:pt idx="432">
                  <c:v>150.00772949999921</c:v>
                </c:pt>
                <c:pt idx="433">
                  <c:v>150.00772949999933</c:v>
                </c:pt>
                <c:pt idx="434">
                  <c:v>150.00772949999927</c:v>
                </c:pt>
                <c:pt idx="435">
                  <c:v>150.00772949999944</c:v>
                </c:pt>
                <c:pt idx="436">
                  <c:v>150.00772949999941</c:v>
                </c:pt>
                <c:pt idx="437">
                  <c:v>150.00772949999939</c:v>
                </c:pt>
                <c:pt idx="438">
                  <c:v>150.00772949999941</c:v>
                </c:pt>
                <c:pt idx="439">
                  <c:v>150.00772949999947</c:v>
                </c:pt>
                <c:pt idx="440">
                  <c:v>150.0077294999995</c:v>
                </c:pt>
                <c:pt idx="441">
                  <c:v>150.00772949999953</c:v>
                </c:pt>
                <c:pt idx="442">
                  <c:v>150.00772949999953</c:v>
                </c:pt>
                <c:pt idx="443">
                  <c:v>150.0077294999995</c:v>
                </c:pt>
                <c:pt idx="444">
                  <c:v>150.00772949999947</c:v>
                </c:pt>
                <c:pt idx="445">
                  <c:v>150.00772949999941</c:v>
                </c:pt>
                <c:pt idx="446">
                  <c:v>150.00772949999939</c:v>
                </c:pt>
                <c:pt idx="447">
                  <c:v>150.00772949999936</c:v>
                </c:pt>
                <c:pt idx="448">
                  <c:v>150.00772949999939</c:v>
                </c:pt>
                <c:pt idx="449">
                  <c:v>150.00772949999944</c:v>
                </c:pt>
                <c:pt idx="450">
                  <c:v>150.0077294999995</c:v>
                </c:pt>
                <c:pt idx="451">
                  <c:v>150.0077294999995</c:v>
                </c:pt>
                <c:pt idx="452">
                  <c:v>150.0077294999995</c:v>
                </c:pt>
                <c:pt idx="453">
                  <c:v>150.00772949999947</c:v>
                </c:pt>
                <c:pt idx="454">
                  <c:v>150.00772949999944</c:v>
                </c:pt>
                <c:pt idx="455">
                  <c:v>150.00772949999939</c:v>
                </c:pt>
                <c:pt idx="456">
                  <c:v>150.0077294999995</c:v>
                </c:pt>
                <c:pt idx="457">
                  <c:v>150.00772949999947</c:v>
                </c:pt>
                <c:pt idx="458">
                  <c:v>150.0077294999995</c:v>
                </c:pt>
                <c:pt idx="459">
                  <c:v>150.00772949999956</c:v>
                </c:pt>
                <c:pt idx="460">
                  <c:v>150.00772949999958</c:v>
                </c:pt>
                <c:pt idx="461">
                  <c:v>150.00772949999961</c:v>
                </c:pt>
                <c:pt idx="462">
                  <c:v>150.00772949999961</c:v>
                </c:pt>
                <c:pt idx="463">
                  <c:v>150.00772949999958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8ED-4C92-9F36-C9C859443627}"/>
            </c:ext>
          </c:extLst>
        </c:ser>
        <c:ser>
          <c:idx val="9"/>
          <c:order val="2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yVal>
            <c:numRef>
              <c:f>'DFT Recurs (2)'!$J$10:$J$473</c:f>
              <c:numCache>
                <c:formatCode>General</c:formatCode>
                <c:ptCount val="46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8ED-4C92-9F36-C9C859443627}"/>
            </c:ext>
          </c:extLst>
        </c:ser>
        <c:ser>
          <c:idx val="10"/>
          <c:order val="3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yVal>
            <c:numRef>
              <c:f>'DFT Recurs (2)'!$K$10:$K$473</c:f>
              <c:numCache>
                <c:formatCode>General</c:formatCode>
                <c:ptCount val="464"/>
                <c:pt idx="20">
                  <c:v>34.080131620411649</c:v>
                </c:pt>
                <c:pt idx="21">
                  <c:v>27.934810756604641</c:v>
                </c:pt>
                <c:pt idx="22">
                  <c:v>21.054962244018597</c:v>
                </c:pt>
                <c:pt idx="23">
                  <c:v>15.345262602681689</c:v>
                </c:pt>
                <c:pt idx="24">
                  <c:v>12.26343125570224</c:v>
                </c:pt>
                <c:pt idx="25">
                  <c:v>12.26343125570224</c:v>
                </c:pt>
                <c:pt idx="26">
                  <c:v>14.622070828352399</c:v>
                </c:pt>
                <c:pt idx="27">
                  <c:v>17.715238049781593</c:v>
                </c:pt>
                <c:pt idx="28">
                  <c:v>19.638256399961655</c:v>
                </c:pt>
                <c:pt idx="29">
                  <c:v>18.933406455784251</c:v>
                </c:pt>
                <c:pt idx="30">
                  <c:v>15.146725164627394</c:v>
                </c:pt>
                <c:pt idx="31">
                  <c:v>9.0014043008203863</c:v>
                </c:pt>
                <c:pt idx="32">
                  <c:v>2.121555788234339</c:v>
                </c:pt>
                <c:pt idx="33">
                  <c:v>-3.5881438531025722</c:v>
                </c:pt>
                <c:pt idx="34">
                  <c:v>-6.6699752000820212</c:v>
                </c:pt>
                <c:pt idx="35">
                  <c:v>-6.6699752000820212</c:v>
                </c:pt>
                <c:pt idx="36">
                  <c:v>-4.3113356274318662</c:v>
                </c:pt>
                <c:pt idx="37">
                  <c:v>-1.2181684060026754</c:v>
                </c:pt>
                <c:pt idx="38">
                  <c:v>0.70484994417737568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5.6843418860808015E-14</c:v>
                </c:pt>
                <c:pt idx="53">
                  <c:v>7.815970093361102E-14</c:v>
                </c:pt>
                <c:pt idx="54">
                  <c:v>7.815970093361102E-14</c:v>
                </c:pt>
                <c:pt idx="55">
                  <c:v>7.815970093361102E-14</c:v>
                </c:pt>
                <c:pt idx="56">
                  <c:v>7.815970093361102E-14</c:v>
                </c:pt>
                <c:pt idx="57">
                  <c:v>8.5265128291212022E-14</c:v>
                </c:pt>
                <c:pt idx="58">
                  <c:v>1.0658141036401503E-13</c:v>
                </c:pt>
                <c:pt idx="59">
                  <c:v>1.2079226507921703E-13</c:v>
                </c:pt>
                <c:pt idx="60">
                  <c:v>1.4921397450962104E-13</c:v>
                </c:pt>
                <c:pt idx="61">
                  <c:v>1.5631940186722204E-13</c:v>
                </c:pt>
                <c:pt idx="62">
                  <c:v>1.6342482922482304E-13</c:v>
                </c:pt>
                <c:pt idx="63">
                  <c:v>1.6342482922482304E-13</c:v>
                </c:pt>
                <c:pt idx="64">
                  <c:v>1.6342482922482304E-13</c:v>
                </c:pt>
                <c:pt idx="65">
                  <c:v>1.6342482922482304E-13</c:v>
                </c:pt>
                <c:pt idx="66">
                  <c:v>1.7053025658242404E-13</c:v>
                </c:pt>
                <c:pt idx="67">
                  <c:v>1.7763568394002505E-13</c:v>
                </c:pt>
                <c:pt idx="68">
                  <c:v>1.7763568394002505E-13</c:v>
                </c:pt>
                <c:pt idx="69">
                  <c:v>1.9184653865522705E-13</c:v>
                </c:pt>
                <c:pt idx="70">
                  <c:v>1.9184653865522705E-13</c:v>
                </c:pt>
                <c:pt idx="71">
                  <c:v>1.9895196601282805E-13</c:v>
                </c:pt>
                <c:pt idx="72">
                  <c:v>1.7763568394002505E-13</c:v>
                </c:pt>
                <c:pt idx="73">
                  <c:v>1.7763568394002505E-13</c:v>
                </c:pt>
                <c:pt idx="74">
                  <c:v>1.7053025658242404E-13</c:v>
                </c:pt>
                <c:pt idx="75">
                  <c:v>1.7053025658242404E-13</c:v>
                </c:pt>
                <c:pt idx="76">
                  <c:v>1.7053025658242404E-13</c:v>
                </c:pt>
                <c:pt idx="77">
                  <c:v>1.5631940186722204E-13</c:v>
                </c:pt>
                <c:pt idx="78">
                  <c:v>1.4210854715202004E-13</c:v>
                </c:pt>
                <c:pt idx="79">
                  <c:v>1.1368683772161603E-13</c:v>
                </c:pt>
                <c:pt idx="80">
                  <c:v>9.9475983006414026E-14</c:v>
                </c:pt>
                <c:pt idx="81">
                  <c:v>8.5265128291212022E-14</c:v>
                </c:pt>
                <c:pt idx="82">
                  <c:v>8.5265128291212022E-14</c:v>
                </c:pt>
                <c:pt idx="83">
                  <c:v>9.9475983006414026E-14</c:v>
                </c:pt>
                <c:pt idx="84">
                  <c:v>9.9475983006414026E-14</c:v>
                </c:pt>
                <c:pt idx="85">
                  <c:v>9.9475983006414026E-14</c:v>
                </c:pt>
                <c:pt idx="86">
                  <c:v>9.2370555648813024E-14</c:v>
                </c:pt>
                <c:pt idx="87">
                  <c:v>7.815970093361102E-14</c:v>
                </c:pt>
                <c:pt idx="88">
                  <c:v>6.3948846218409017E-14</c:v>
                </c:pt>
                <c:pt idx="89">
                  <c:v>0</c:v>
                </c:pt>
                <c:pt idx="90">
                  <c:v>10.83705804410225</c:v>
                </c:pt>
                <c:pt idx="91">
                  <c:v>21.316959616506928</c:v>
                </c:pt>
                <c:pt idx="92">
                  <c:v>29.438221616261472</c:v>
                </c:pt>
                <c:pt idx="93">
                  <c:v>34.100281091955146</c:v>
                </c:pt>
                <c:pt idx="94">
                  <c:v>35.523872882399026</c:v>
                </c:pt>
                <c:pt idx="95">
                  <c:v>35.166716410701433</c:v>
                </c:pt>
                <c:pt idx="96">
                  <c:v>35.166716410701433</c:v>
                </c:pt>
                <c:pt idx="97">
                  <c:v>37.525355983351623</c:v>
                </c:pt>
                <c:pt idx="98">
                  <c:v>43.34319808006267</c:v>
                </c:pt>
                <c:pt idx="99">
                  <c:v>52.399507862023547</c:v>
                </c:pt>
                <c:pt idx="100">
                  <c:v>63.236565906125811</c:v>
                </c:pt>
                <c:pt idx="101">
                  <c:v>73.716467478530518</c:v>
                </c:pt>
                <c:pt idx="102">
                  <c:v>81.837729478285041</c:v>
                </c:pt>
                <c:pt idx="103">
                  <c:v>86.49978895397868</c:v>
                </c:pt>
                <c:pt idx="104">
                  <c:v>87.923380744422531</c:v>
                </c:pt>
                <c:pt idx="105">
                  <c:v>87.566224272724924</c:v>
                </c:pt>
                <c:pt idx="106">
                  <c:v>87.566224272724924</c:v>
                </c:pt>
                <c:pt idx="107">
                  <c:v>89.924863845375086</c:v>
                </c:pt>
                <c:pt idx="108">
                  <c:v>95.742705942086104</c:v>
                </c:pt>
                <c:pt idx="109">
                  <c:v>93.961957679944646</c:v>
                </c:pt>
                <c:pt idx="110">
                  <c:v>83.482056107539989</c:v>
                </c:pt>
                <c:pt idx="111">
                  <c:v>75.36079410778548</c:v>
                </c:pt>
                <c:pt idx="112">
                  <c:v>70.698734632091814</c:v>
                </c:pt>
                <c:pt idx="113">
                  <c:v>69.275142841647934</c:v>
                </c:pt>
                <c:pt idx="114">
                  <c:v>69.632299313345527</c:v>
                </c:pt>
                <c:pt idx="115">
                  <c:v>69.632299313345527</c:v>
                </c:pt>
                <c:pt idx="116">
                  <c:v>67.273659740695336</c:v>
                </c:pt>
                <c:pt idx="117">
                  <c:v>61.455817643984261</c:v>
                </c:pt>
                <c:pt idx="118">
                  <c:v>52.399507862023384</c:v>
                </c:pt>
                <c:pt idx="119">
                  <c:v>41.56244981792112</c:v>
                </c:pt>
                <c:pt idx="120">
                  <c:v>31.082548245516463</c:v>
                </c:pt>
                <c:pt idx="121">
                  <c:v>22.961286245761926</c:v>
                </c:pt>
                <c:pt idx="122">
                  <c:v>18.299226770068287</c:v>
                </c:pt>
                <c:pt idx="123">
                  <c:v>16.875634979624436</c:v>
                </c:pt>
                <c:pt idx="124">
                  <c:v>17.232791451322072</c:v>
                </c:pt>
                <c:pt idx="125">
                  <c:v>17.2327914513221</c:v>
                </c:pt>
                <c:pt idx="126">
                  <c:v>14.874151878671924</c:v>
                </c:pt>
                <c:pt idx="127">
                  <c:v>9.0563097819609482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-2.2737367544323206E-13</c:v>
                </c:pt>
                <c:pt idx="190">
                  <c:v>-2.8421709430404007E-13</c:v>
                </c:pt>
                <c:pt idx="191">
                  <c:v>-2.8421709430404007E-13</c:v>
                </c:pt>
                <c:pt idx="192">
                  <c:v>-2.5579538487363607E-13</c:v>
                </c:pt>
                <c:pt idx="193">
                  <c:v>-2.2737367544323206E-13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2.8421709430404007E-13</c:v>
                </c:pt>
                <c:pt idx="209">
                  <c:v>3.979039320256561E-13</c:v>
                </c:pt>
                <c:pt idx="210">
                  <c:v>3.4106051316484809E-13</c:v>
                </c:pt>
                <c:pt idx="211">
                  <c:v>3.694822225952521E-13</c:v>
                </c:pt>
                <c:pt idx="212">
                  <c:v>3.694822225952521E-13</c:v>
                </c:pt>
                <c:pt idx="213">
                  <c:v>3.1263880373444408E-13</c:v>
                </c:pt>
                <c:pt idx="214">
                  <c:v>2.8421709430404007E-13</c:v>
                </c:pt>
                <c:pt idx="215">
                  <c:v>3.4106051316484809E-13</c:v>
                </c:pt>
                <c:pt idx="216">
                  <c:v>3.1263880373444408E-13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2.8421709430404007E-13</c:v>
                </c:pt>
                <c:pt idx="241">
                  <c:v>3.1263880373444408E-13</c:v>
                </c:pt>
                <c:pt idx="242">
                  <c:v>3.4106051316484809E-13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-2.2737367544323206E-13</c:v>
                </c:pt>
                <c:pt idx="253">
                  <c:v>-2.2737367544323206E-13</c:v>
                </c:pt>
                <c:pt idx="254">
                  <c:v>-2.2737367544323206E-13</c:v>
                </c:pt>
                <c:pt idx="255">
                  <c:v>-2.5579538487363607E-13</c:v>
                </c:pt>
                <c:pt idx="256">
                  <c:v>-2.8421709430404007E-13</c:v>
                </c:pt>
                <c:pt idx="257">
                  <c:v>-3.1263880373444408E-13</c:v>
                </c:pt>
                <c:pt idx="258">
                  <c:v>-5.4001247917767614E-13</c:v>
                </c:pt>
                <c:pt idx="259">
                  <c:v>-5.4001247917767614E-13</c:v>
                </c:pt>
                <c:pt idx="260">
                  <c:v>-7.3896444519050419E-13</c:v>
                </c:pt>
                <c:pt idx="261">
                  <c:v>-7.1054273576010019E-13</c:v>
                </c:pt>
                <c:pt idx="262">
                  <c:v>-6.8212102632969618E-13</c:v>
                </c:pt>
                <c:pt idx="263">
                  <c:v>-6.8212102632969618E-13</c:v>
                </c:pt>
                <c:pt idx="264">
                  <c:v>-6.8212102632969618E-13</c:v>
                </c:pt>
                <c:pt idx="265">
                  <c:v>-7.1054273576010019E-13</c:v>
                </c:pt>
                <c:pt idx="266">
                  <c:v>-5.9685589803848416E-13</c:v>
                </c:pt>
                <c:pt idx="267">
                  <c:v>-6.2527760746888816E-13</c:v>
                </c:pt>
                <c:pt idx="268">
                  <c:v>-3.694822225952521E-13</c:v>
                </c:pt>
                <c:pt idx="269">
                  <c:v>-3.694822225952521E-13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2.2737367544323206E-13</c:v>
                </c:pt>
                <c:pt idx="280">
                  <c:v>2.5579538487363607E-13</c:v>
                </c:pt>
                <c:pt idx="281">
                  <c:v>2.8421709430404007E-13</c:v>
                </c:pt>
                <c:pt idx="282">
                  <c:v>3.1263880373444408E-13</c:v>
                </c:pt>
                <c:pt idx="283">
                  <c:v>3.1263880373444408E-13</c:v>
                </c:pt>
                <c:pt idx="284">
                  <c:v>3.1263880373444408E-13</c:v>
                </c:pt>
                <c:pt idx="285">
                  <c:v>3.979039320256561E-13</c:v>
                </c:pt>
                <c:pt idx="286">
                  <c:v>3.694822225952521E-13</c:v>
                </c:pt>
                <c:pt idx="287">
                  <c:v>3.4106051316484809E-13</c:v>
                </c:pt>
                <c:pt idx="288">
                  <c:v>3.4106051316484809E-13</c:v>
                </c:pt>
                <c:pt idx="289">
                  <c:v>3.4106051316484809E-13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3.1263880373444408E-13</c:v>
                </c:pt>
                <c:pt idx="294">
                  <c:v>4.5474735088646412E-13</c:v>
                </c:pt>
                <c:pt idx="295">
                  <c:v>5.4001247917767614E-13</c:v>
                </c:pt>
                <c:pt idx="296">
                  <c:v>5.1159076974727213E-13</c:v>
                </c:pt>
                <c:pt idx="297">
                  <c:v>3.4106051316484809E-13</c:v>
                </c:pt>
                <c:pt idx="298">
                  <c:v>3.4106051316484809E-13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2.8421709430404007E-13</c:v>
                </c:pt>
                <c:pt idx="321">
                  <c:v>3.1263880373444408E-13</c:v>
                </c:pt>
                <c:pt idx="322">
                  <c:v>2.2737367544323206E-13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2.2737367544323206E-13</c:v>
                </c:pt>
                <c:pt idx="328">
                  <c:v>2.2737367544323206E-13</c:v>
                </c:pt>
                <c:pt idx="329">
                  <c:v>2.2737367544323206E-13</c:v>
                </c:pt>
                <c:pt idx="330">
                  <c:v>2.5579538487363607E-13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2.2737367544323206E-13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-2.2737367544323206E-13</c:v>
                </c:pt>
                <c:pt idx="359">
                  <c:v>-2.5579538487363607E-13</c:v>
                </c:pt>
                <c:pt idx="360">
                  <c:v>-2.2737367544323206E-13</c:v>
                </c:pt>
                <c:pt idx="361">
                  <c:v>-3.4106051316484809E-13</c:v>
                </c:pt>
                <c:pt idx="362">
                  <c:v>-3.1263880373444408E-13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-3.1263880373444408E-13</c:v>
                </c:pt>
                <c:pt idx="368">
                  <c:v>-5.4001247917767614E-13</c:v>
                </c:pt>
                <c:pt idx="369">
                  <c:v>-7.9580786405131221E-13</c:v>
                </c:pt>
                <c:pt idx="370">
                  <c:v>-9.9475983006414026E-13</c:v>
                </c:pt>
                <c:pt idx="371">
                  <c:v>-9.6633812063373625E-13</c:v>
                </c:pt>
                <c:pt idx="372">
                  <c:v>-9.3791641120333225E-13</c:v>
                </c:pt>
                <c:pt idx="373">
                  <c:v>-1.0800249583553523E-12</c:v>
                </c:pt>
                <c:pt idx="374">
                  <c:v>-1.0800249583553523E-12</c:v>
                </c:pt>
                <c:pt idx="375">
                  <c:v>-1.1084466677857563E-12</c:v>
                </c:pt>
                <c:pt idx="376">
                  <c:v>-9.9475983006414026E-13</c:v>
                </c:pt>
                <c:pt idx="377">
                  <c:v>-7.9580786405131221E-13</c:v>
                </c:pt>
                <c:pt idx="378">
                  <c:v>-5.4001247917767614E-13</c:v>
                </c:pt>
                <c:pt idx="379">
                  <c:v>-5.4001247917767614E-13</c:v>
                </c:pt>
                <c:pt idx="380">
                  <c:v>-3.694822225952521E-13</c:v>
                </c:pt>
                <c:pt idx="381">
                  <c:v>-3.4106051316484809E-13</c:v>
                </c:pt>
                <c:pt idx="382">
                  <c:v>-4.2632564145606011E-13</c:v>
                </c:pt>
                <c:pt idx="383">
                  <c:v>-4.2632564145606011E-13</c:v>
                </c:pt>
                <c:pt idx="384">
                  <c:v>-5.4001247917767614E-13</c:v>
                </c:pt>
                <c:pt idx="385">
                  <c:v>-5.6843418860808015E-13</c:v>
                </c:pt>
                <c:pt idx="386">
                  <c:v>-4.5474735088646412E-13</c:v>
                </c:pt>
                <c:pt idx="387">
                  <c:v>-2.5579538487363607E-13</c:v>
                </c:pt>
                <c:pt idx="388">
                  <c:v>0</c:v>
                </c:pt>
                <c:pt idx="389">
                  <c:v>2.2737367544323206E-13</c:v>
                </c:pt>
                <c:pt idx="390">
                  <c:v>2.5579538487363607E-13</c:v>
                </c:pt>
                <c:pt idx="391">
                  <c:v>2.8421709430404007E-13</c:v>
                </c:pt>
                <c:pt idx="392">
                  <c:v>3.1263880373444408E-13</c:v>
                </c:pt>
                <c:pt idx="393">
                  <c:v>3.1263880373444408E-13</c:v>
                </c:pt>
                <c:pt idx="394">
                  <c:v>3.1263880373444408E-13</c:v>
                </c:pt>
                <c:pt idx="395">
                  <c:v>2.8421709430404007E-13</c:v>
                </c:pt>
                <c:pt idx="396">
                  <c:v>2.5579538487363607E-13</c:v>
                </c:pt>
                <c:pt idx="397">
                  <c:v>2.2737367544323206E-13</c:v>
                </c:pt>
                <c:pt idx="398">
                  <c:v>2.2737367544323206E-13</c:v>
                </c:pt>
                <c:pt idx="399">
                  <c:v>2.2737367544323206E-13</c:v>
                </c:pt>
                <c:pt idx="400">
                  <c:v>2.5579538487363607E-13</c:v>
                </c:pt>
                <c:pt idx="401">
                  <c:v>2.8421709430404007E-13</c:v>
                </c:pt>
                <c:pt idx="402">
                  <c:v>3.1263880373444408E-13</c:v>
                </c:pt>
                <c:pt idx="403">
                  <c:v>3.1263880373444408E-13</c:v>
                </c:pt>
                <c:pt idx="404">
                  <c:v>3.1263880373444408E-13</c:v>
                </c:pt>
                <c:pt idx="405">
                  <c:v>2.8421709430404007E-13</c:v>
                </c:pt>
                <c:pt idx="406">
                  <c:v>2.5579538487363607E-13</c:v>
                </c:pt>
                <c:pt idx="407">
                  <c:v>2.2737367544323206E-13</c:v>
                </c:pt>
                <c:pt idx="408">
                  <c:v>2.2737367544323206E-13</c:v>
                </c:pt>
                <c:pt idx="409">
                  <c:v>2.2737367544323206E-13</c:v>
                </c:pt>
                <c:pt idx="410">
                  <c:v>2.5579538487363607E-13</c:v>
                </c:pt>
                <c:pt idx="411">
                  <c:v>2.8421709430404007E-13</c:v>
                </c:pt>
                <c:pt idx="412">
                  <c:v>3.1263880373444408E-13</c:v>
                </c:pt>
                <c:pt idx="413">
                  <c:v>3.1263880373444408E-13</c:v>
                </c:pt>
                <c:pt idx="414">
                  <c:v>3.1263880373444408E-13</c:v>
                </c:pt>
                <c:pt idx="415">
                  <c:v>2.8421709430404007E-13</c:v>
                </c:pt>
                <c:pt idx="416">
                  <c:v>2.5579538487363607E-13</c:v>
                </c:pt>
                <c:pt idx="417">
                  <c:v>3.694822225952521E-13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-3.4106051316484809E-13</c:v>
                </c:pt>
                <c:pt idx="430">
                  <c:v>-3.1263880373444408E-13</c:v>
                </c:pt>
                <c:pt idx="431">
                  <c:v>-3.979039320256561E-13</c:v>
                </c:pt>
                <c:pt idx="432">
                  <c:v>-3.694822225952521E-13</c:v>
                </c:pt>
                <c:pt idx="433">
                  <c:v>-2.5579538487363607E-13</c:v>
                </c:pt>
                <c:pt idx="434">
                  <c:v>-2.5579538487363607E-13</c:v>
                </c:pt>
                <c:pt idx="435">
                  <c:v>0</c:v>
                </c:pt>
                <c:pt idx="436">
                  <c:v>-3.4106051316484809E-13</c:v>
                </c:pt>
                <c:pt idx="437">
                  <c:v>-2.8421709430404007E-13</c:v>
                </c:pt>
                <c:pt idx="438">
                  <c:v>-2.8421709430404007E-13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3.4106051316484809E-13</c:v>
                </c:pt>
                <c:pt idx="451">
                  <c:v>3.694822225952521E-13</c:v>
                </c:pt>
                <c:pt idx="452">
                  <c:v>2.8421709430404007E-13</c:v>
                </c:pt>
                <c:pt idx="453">
                  <c:v>2.8421709430404007E-13</c:v>
                </c:pt>
                <c:pt idx="454">
                  <c:v>0</c:v>
                </c:pt>
                <c:pt idx="455">
                  <c:v>0</c:v>
                </c:pt>
                <c:pt idx="456">
                  <c:v>2.5579538487363607E-13</c:v>
                </c:pt>
                <c:pt idx="457">
                  <c:v>2.2737367544323206E-13</c:v>
                </c:pt>
                <c:pt idx="458">
                  <c:v>2.2737367544323206E-13</c:v>
                </c:pt>
                <c:pt idx="459">
                  <c:v>2.2737367544323206E-13</c:v>
                </c:pt>
                <c:pt idx="460">
                  <c:v>2.5579538487363607E-13</c:v>
                </c:pt>
                <c:pt idx="461">
                  <c:v>2.8421709430404007E-13</c:v>
                </c:pt>
                <c:pt idx="462">
                  <c:v>3.1263880373444408E-13</c:v>
                </c:pt>
                <c:pt idx="463">
                  <c:v>3.1263880373444408E-13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18ED-4C92-9F36-C9C8594436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5146432"/>
        <c:axId val="1525154112"/>
      </c:scatterChart>
      <c:valAx>
        <c:axId val="1525146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25154112"/>
        <c:crosses val="autoZero"/>
        <c:crossBetween val="midCat"/>
      </c:valAx>
      <c:valAx>
        <c:axId val="1525154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251464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561975</xdr:colOff>
      <xdr:row>1</xdr:row>
      <xdr:rowOff>185737</xdr:rowOff>
    </xdr:from>
    <xdr:to>
      <xdr:col>20</xdr:col>
      <xdr:colOff>476250</xdr:colOff>
      <xdr:row>21</xdr:row>
      <xdr:rowOff>161925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333BB84-5559-EA2F-3FA0-F41CB24E1E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381000</xdr:colOff>
      <xdr:row>4</xdr:row>
      <xdr:rowOff>57150</xdr:rowOff>
    </xdr:from>
    <xdr:to>
      <xdr:col>28</xdr:col>
      <xdr:colOff>438150</xdr:colOff>
      <xdr:row>28</xdr:row>
      <xdr:rowOff>19049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BE4CAA5-4103-327D-0587-272A78F741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381000</xdr:colOff>
      <xdr:row>4</xdr:row>
      <xdr:rowOff>57150</xdr:rowOff>
    </xdr:from>
    <xdr:to>
      <xdr:col>28</xdr:col>
      <xdr:colOff>438150</xdr:colOff>
      <xdr:row>28</xdr:row>
      <xdr:rowOff>19049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3C39F82-4177-49C2-A60D-EDA938CD47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157162</xdr:colOff>
      <xdr:row>26</xdr:row>
      <xdr:rowOff>157162</xdr:rowOff>
    </xdr:from>
    <xdr:to>
      <xdr:col>23</xdr:col>
      <xdr:colOff>238125</xdr:colOff>
      <xdr:row>41</xdr:row>
      <xdr:rowOff>42862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85AC4D0-8E88-F938-A87F-0F73EC8424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CDDA0-56D1-4124-AFFD-5F2323203140}">
  <dimension ref="A1:J473"/>
  <sheetViews>
    <sheetView topLeftCell="A7" workbookViewId="0">
      <selection activeCell="G30" sqref="G30"/>
    </sheetView>
  </sheetViews>
  <sheetFormatPr defaultRowHeight="15" x14ac:dyDescent="0.25"/>
  <sheetData>
    <row r="1" spans="1:10" x14ac:dyDescent="0.25">
      <c r="A1" t="s">
        <v>0</v>
      </c>
      <c r="B1">
        <v>60</v>
      </c>
      <c r="C1">
        <f>2*PI()*$B$1</f>
        <v>376.99111843077515</v>
      </c>
      <c r="E1" t="s">
        <v>11</v>
      </c>
    </row>
    <row r="2" spans="1:10" x14ac:dyDescent="0.25">
      <c r="A2" t="s">
        <v>6</v>
      </c>
      <c r="B2">
        <v>20</v>
      </c>
      <c r="E2" t="s">
        <v>12</v>
      </c>
    </row>
    <row r="3" spans="1:10" x14ac:dyDescent="0.25">
      <c r="A3" t="s">
        <v>1</v>
      </c>
      <c r="B3">
        <f>$B$2*$B$1</f>
        <v>1200</v>
      </c>
      <c r="E3" t="s">
        <v>13</v>
      </c>
    </row>
    <row r="4" spans="1:10" x14ac:dyDescent="0.25">
      <c r="A4" t="s">
        <v>2</v>
      </c>
      <c r="B4">
        <f>1/$B$3</f>
        <v>8.3333333333333339E-4</v>
      </c>
      <c r="E4" t="s">
        <v>14</v>
      </c>
    </row>
    <row r="5" spans="1:10" x14ac:dyDescent="0.25">
      <c r="A5" t="s">
        <v>10</v>
      </c>
      <c r="B5">
        <v>0</v>
      </c>
      <c r="E5" t="s">
        <v>15</v>
      </c>
    </row>
    <row r="6" spans="1:10" x14ac:dyDescent="0.25">
      <c r="A6" t="s">
        <v>4</v>
      </c>
      <c r="B6">
        <v>141.43</v>
      </c>
      <c r="E6" t="s">
        <v>16</v>
      </c>
    </row>
    <row r="7" spans="1:10" x14ac:dyDescent="0.25">
      <c r="A7" t="s">
        <v>5</v>
      </c>
      <c r="B7">
        <v>22.25</v>
      </c>
      <c r="C7">
        <f>$B$7*(PI()/180)</f>
        <v>0.38833575856873831</v>
      </c>
      <c r="E7" t="s">
        <v>17</v>
      </c>
    </row>
    <row r="10" spans="1:10" s="1" customFormat="1" x14ac:dyDescent="0.25">
      <c r="A10" s="1" t="s">
        <v>3</v>
      </c>
      <c r="B10" s="1" t="s">
        <v>7</v>
      </c>
      <c r="C10" s="1" t="s">
        <v>8</v>
      </c>
      <c r="D10" s="1" t="s">
        <v>9</v>
      </c>
      <c r="E10" s="1" t="s">
        <v>22</v>
      </c>
      <c r="F10" s="1" t="s">
        <v>23</v>
      </c>
      <c r="G10" s="1" t="s">
        <v>18</v>
      </c>
      <c r="H10" s="1" t="s">
        <v>19</v>
      </c>
      <c r="I10" s="1" t="s">
        <v>20</v>
      </c>
      <c r="J10" s="1" t="s">
        <v>21</v>
      </c>
    </row>
    <row r="11" spans="1:10" x14ac:dyDescent="0.25">
      <c r="A11">
        <f>(ROW($A11)-ROW($A$11))*$B$4+$B$5</f>
        <v>0</v>
      </c>
      <c r="B11">
        <f>$B$6*SIN((A11*$C$1)+$C$7)</f>
        <v>53.552273952154593</v>
      </c>
      <c r="C11">
        <f t="shared" ref="C11:C26" si="0">COS(($A11-$B$5)*$C$1)</f>
        <v>1</v>
      </c>
      <c r="D11">
        <f>SIN(($A11-$B$5)*$C$1)</f>
        <v>0</v>
      </c>
      <c r="E11">
        <f>$B11*C11</f>
        <v>53.552273952154593</v>
      </c>
      <c r="F11">
        <f>$B11*D11</f>
        <v>0</v>
      </c>
      <c r="G11" t="str">
        <f ca="1">IF((ROW($A11)-ROW($A$11))&lt;$B$2-1,"",(1.4142/$B$2)*SUM(OFFSET(E11,-$B$2+1,0,$B$2,1)))</f>
        <v/>
      </c>
      <c r="H11" t="str">
        <f ca="1">IF((ROW($A11)-ROW($A$11))&lt;$B$2-1,"",(1.4142/$B$2)*SUM(OFFSET(F11,-$B$2+1,0,$B$2,1)))</f>
        <v/>
      </c>
      <c r="I11" t="str">
        <f t="shared" ref="I11" ca="1" si="1">IF(G11="","",SQRT(G11^2+H11^2))</f>
        <v/>
      </c>
      <c r="J11" t="str">
        <f t="shared" ref="J11" ca="1" si="2">IF(G11="","",ATAN2(H11,G11)*180/PI())</f>
        <v/>
      </c>
    </row>
    <row r="12" spans="1:10" x14ac:dyDescent="0.25">
      <c r="A12">
        <f t="shared" ref="A12:A75" si="3">(ROW($A12)-ROW($A$11))*$B$4+$B$5</f>
        <v>8.3333333333333339E-4</v>
      </c>
      <c r="B12">
        <f t="shared" ref="B12:B75" si="4">$B$6*SIN((A12*$C$1)+$C$7)</f>
        <v>91.38131444090439</v>
      </c>
      <c r="C12">
        <f t="shared" si="0"/>
        <v>0.95105651629515353</v>
      </c>
      <c r="D12">
        <f t="shared" ref="D12:D75" si="5">SIN(($A12-$B$5)*$C$1)</f>
        <v>0.3090169943749474</v>
      </c>
      <c r="E12">
        <f t="shared" ref="E12:E25" si="6">$B12*C12</f>
        <v>86.908794566638534</v>
      </c>
      <c r="F12">
        <f t="shared" ref="F12:F25" si="7">$B12*D12</f>
        <v>28.238379130560251</v>
      </c>
      <c r="G12" t="str">
        <f t="shared" ref="G12:G25" ca="1" si="8">IF((ROW($A12)-ROW($A$11))&lt;$B$2-1,"",(1.4142/$B$2)*SUM(OFFSET(E12,-$B$2+1,0,$B$2,1)))</f>
        <v/>
      </c>
      <c r="H12" t="str">
        <f t="shared" ref="H12:H25" ca="1" si="9">IF((ROW($A12)-ROW($A$11))&lt;$B$2-1,"",(1.4142/$B$2)*SUM(OFFSET(F12,-$B$2+1,0,$B$2,1)))</f>
        <v/>
      </c>
      <c r="I12" t="str">
        <f t="shared" ref="I12:I25" ca="1" si="10">IF(G12="","",SQRT(G12^2+H12^2))</f>
        <v/>
      </c>
      <c r="J12" t="str">
        <f t="shared" ref="J12:J25" ca="1" si="11">IF(G12="","",ATAN2(H12,G12)*180/PI())</f>
        <v/>
      </c>
    </row>
    <row r="13" spans="1:10" x14ac:dyDescent="0.25">
      <c r="A13">
        <f t="shared" si="3"/>
        <v>1.6666666666666668E-3</v>
      </c>
      <c r="B13">
        <f t="shared" si="4"/>
        <v>120.26531518112246</v>
      </c>
      <c r="C13">
        <f t="shared" si="0"/>
        <v>0.80901699437494745</v>
      </c>
      <c r="D13">
        <f t="shared" si="5"/>
        <v>0.58778525229247314</v>
      </c>
      <c r="E13">
        <f t="shared" si="6"/>
        <v>97.296683815387425</v>
      </c>
      <c r="F13">
        <f t="shared" si="7"/>
        <v>70.69017862576986</v>
      </c>
      <c r="G13" t="str">
        <f t="shared" ca="1" si="8"/>
        <v/>
      </c>
      <c r="H13" t="str">
        <f t="shared" ca="1" si="9"/>
        <v/>
      </c>
      <c r="I13" t="str">
        <f t="shared" ca="1" si="10"/>
        <v/>
      </c>
      <c r="J13" t="str">
        <f t="shared" ca="1" si="11"/>
        <v/>
      </c>
    </row>
    <row r="14" spans="1:10" x14ac:dyDescent="0.25">
      <c r="A14">
        <f t="shared" si="3"/>
        <v>2.5000000000000001E-3</v>
      </c>
      <c r="B14">
        <f t="shared" si="4"/>
        <v>137.37690893368958</v>
      </c>
      <c r="C14">
        <f t="shared" si="0"/>
        <v>0.58778525229247314</v>
      </c>
      <c r="D14">
        <f t="shared" si="5"/>
        <v>0.80901699437494745</v>
      </c>
      <c r="E14">
        <f t="shared" si="6"/>
        <v>80.748121076748831</v>
      </c>
      <c r="F14">
        <f t="shared" si="7"/>
        <v>111.14025396205442</v>
      </c>
      <c r="G14" t="str">
        <f t="shared" ca="1" si="8"/>
        <v/>
      </c>
      <c r="H14" t="str">
        <f t="shared" ca="1" si="9"/>
        <v/>
      </c>
      <c r="I14" t="str">
        <f t="shared" ca="1" si="10"/>
        <v/>
      </c>
      <c r="J14" t="str">
        <f t="shared" ca="1" si="11"/>
        <v/>
      </c>
    </row>
    <row r="15" spans="1:10" x14ac:dyDescent="0.25">
      <c r="A15">
        <f t="shared" si="3"/>
        <v>3.3333333333333335E-3</v>
      </c>
      <c r="B15">
        <f t="shared" si="4"/>
        <v>141.04109367862026</v>
      </c>
      <c r="C15">
        <f t="shared" si="0"/>
        <v>0.30901699437494745</v>
      </c>
      <c r="D15">
        <f t="shared" si="5"/>
        <v>0.95105651629515353</v>
      </c>
      <c r="E15">
        <f t="shared" si="6"/>
        <v>43.584094851922636</v>
      </c>
      <c r="F15">
        <f t="shared" si="7"/>
        <v>134.138051208447</v>
      </c>
      <c r="G15" t="str">
        <f t="shared" ca="1" si="8"/>
        <v/>
      </c>
      <c r="H15" t="str">
        <f t="shared" ca="1" si="9"/>
        <v/>
      </c>
      <c r="I15" t="str">
        <f t="shared" ca="1" si="10"/>
        <v/>
      </c>
      <c r="J15" t="str">
        <f t="shared" ca="1" si="11"/>
        <v/>
      </c>
    </row>
    <row r="16" spans="1:10" x14ac:dyDescent="0.25">
      <c r="A16">
        <f t="shared" si="3"/>
        <v>4.1666666666666666E-3</v>
      </c>
      <c r="B16">
        <f t="shared" si="4"/>
        <v>130.89919348320444</v>
      </c>
      <c r="C16">
        <f t="shared" si="0"/>
        <v>2.8330202767046231E-16</v>
      </c>
      <c r="D16">
        <f t="shared" si="5"/>
        <v>1</v>
      </c>
      <c r="E16">
        <f t="shared" si="6"/>
        <v>3.7084006934219984E-14</v>
      </c>
      <c r="F16">
        <f t="shared" si="7"/>
        <v>130.89919348320444</v>
      </c>
      <c r="G16" t="str">
        <f t="shared" ca="1" si="8"/>
        <v/>
      </c>
      <c r="H16" t="str">
        <f t="shared" ca="1" si="9"/>
        <v/>
      </c>
      <c r="I16" t="str">
        <f t="shared" ca="1" si="10"/>
        <v/>
      </c>
      <c r="J16" t="str">
        <f t="shared" ca="1" si="11"/>
        <v/>
      </c>
    </row>
    <row r="17" spans="1:10" x14ac:dyDescent="0.25">
      <c r="A17">
        <f t="shared" si="3"/>
        <v>5.0000000000000001E-3</v>
      </c>
      <c r="B17">
        <f t="shared" si="4"/>
        <v>107.94396820134308</v>
      </c>
      <c r="C17">
        <f t="shared" si="0"/>
        <v>-0.30901699437494734</v>
      </c>
      <c r="D17">
        <f t="shared" si="5"/>
        <v>0.95105651629515364</v>
      </c>
      <c r="E17">
        <f t="shared" si="6"/>
        <v>-33.356520614483927</v>
      </c>
      <c r="F17">
        <f t="shared" si="7"/>
        <v>102.66081435264419</v>
      </c>
      <c r="G17" t="str">
        <f t="shared" ca="1" si="8"/>
        <v/>
      </c>
      <c r="H17" t="str">
        <f t="shared" ca="1" si="9"/>
        <v/>
      </c>
      <c r="I17" t="str">
        <f t="shared" ca="1" si="10"/>
        <v/>
      </c>
      <c r="J17" t="str">
        <f t="shared" ca="1" si="11"/>
        <v/>
      </c>
    </row>
    <row r="18" spans="1:10" x14ac:dyDescent="0.25">
      <c r="A18">
        <f t="shared" si="3"/>
        <v>5.8333333333333336E-3</v>
      </c>
      <c r="B18">
        <f t="shared" si="4"/>
        <v>74.422435222083948</v>
      </c>
      <c r="C18">
        <f t="shared" si="0"/>
        <v>-0.58778525229247303</v>
      </c>
      <c r="D18">
        <f t="shared" si="5"/>
        <v>0.80901699437494745</v>
      </c>
      <c r="E18">
        <f t="shared" si="6"/>
        <v>-43.744409863232846</v>
      </c>
      <c r="F18">
        <f t="shared" si="7"/>
        <v>60.209014857434582</v>
      </c>
      <c r="G18" t="str">
        <f t="shared" ca="1" si="8"/>
        <v/>
      </c>
      <c r="H18" t="str">
        <f t="shared" ca="1" si="9"/>
        <v/>
      </c>
      <c r="I18" t="str">
        <f t="shared" ca="1" si="10"/>
        <v/>
      </c>
      <c r="J18" t="str">
        <f t="shared" ca="1" si="11"/>
        <v/>
      </c>
    </row>
    <row r="19" spans="1:10" x14ac:dyDescent="0.25">
      <c r="A19">
        <f t="shared" si="3"/>
        <v>6.6666666666666671E-3</v>
      </c>
      <c r="B19">
        <f t="shared" si="4"/>
        <v>33.6159157516907</v>
      </c>
      <c r="C19">
        <f t="shared" si="0"/>
        <v>-0.80901699437494734</v>
      </c>
      <c r="D19">
        <f t="shared" si="5"/>
        <v>0.58778525229247325</v>
      </c>
      <c r="E19">
        <f t="shared" si="6"/>
        <v>-27.195847124594259</v>
      </c>
      <c r="F19">
        <f t="shared" si="7"/>
        <v>19.758939521150044</v>
      </c>
      <c r="G19" t="str">
        <f t="shared" ca="1" si="8"/>
        <v/>
      </c>
      <c r="H19" t="str">
        <f t="shared" ca="1" si="9"/>
        <v/>
      </c>
      <c r="I19" t="str">
        <f t="shared" ca="1" si="10"/>
        <v/>
      </c>
      <c r="J19" t="str">
        <f t="shared" ca="1" si="11"/>
        <v/>
      </c>
    </row>
    <row r="20" spans="1:10" x14ac:dyDescent="0.25">
      <c r="A20">
        <f t="shared" si="3"/>
        <v>7.5000000000000006E-3</v>
      </c>
      <c r="B20">
        <f t="shared" si="4"/>
        <v>-10.481163768335273</v>
      </c>
      <c r="C20">
        <f t="shared" si="0"/>
        <v>-0.95105651629515353</v>
      </c>
      <c r="D20">
        <f t="shared" si="5"/>
        <v>0.30901699437494751</v>
      </c>
      <c r="E20">
        <f t="shared" si="6"/>
        <v>9.9681791002319287</v>
      </c>
      <c r="F20">
        <f t="shared" si="7"/>
        <v>-3.2388577252425645</v>
      </c>
      <c r="G20" t="str">
        <f t="shared" ca="1" si="8"/>
        <v/>
      </c>
      <c r="H20" t="str">
        <f t="shared" ca="1" si="9"/>
        <v/>
      </c>
      <c r="I20" t="str">
        <f t="shared" ca="1" si="10"/>
        <v/>
      </c>
      <c r="J20" t="str">
        <f t="shared" ca="1" si="11"/>
        <v/>
      </c>
    </row>
    <row r="21" spans="1:10" x14ac:dyDescent="0.25">
      <c r="A21">
        <f t="shared" si="3"/>
        <v>8.3333333333333332E-3</v>
      </c>
      <c r="B21">
        <f t="shared" si="4"/>
        <v>-53.552273952154501</v>
      </c>
      <c r="C21">
        <f t="shared" si="0"/>
        <v>-1</v>
      </c>
      <c r="D21">
        <f t="shared" si="5"/>
        <v>5.6660405534092462E-16</v>
      </c>
      <c r="E21">
        <f t="shared" si="6"/>
        <v>53.552273952154501</v>
      </c>
      <c r="F21">
        <f t="shared" si="7"/>
        <v>-3.0342935594018902E-14</v>
      </c>
      <c r="G21" t="str">
        <f t="shared" ca="1" si="8"/>
        <v/>
      </c>
      <c r="H21" t="str">
        <f t="shared" ca="1" si="9"/>
        <v/>
      </c>
      <c r="I21" t="str">
        <f t="shared" ca="1" si="10"/>
        <v/>
      </c>
      <c r="J21" t="str">
        <f t="shared" ca="1" si="11"/>
        <v/>
      </c>
    </row>
    <row r="22" spans="1:10" x14ac:dyDescent="0.25">
      <c r="A22">
        <f t="shared" si="3"/>
        <v>9.1666666666666667E-3</v>
      </c>
      <c r="B22">
        <f t="shared" si="4"/>
        <v>-91.381314440904305</v>
      </c>
      <c r="C22">
        <f t="shared" si="0"/>
        <v>-0.95105651629515375</v>
      </c>
      <c r="D22">
        <f t="shared" si="5"/>
        <v>-0.3090169943749469</v>
      </c>
      <c r="E22">
        <f t="shared" si="6"/>
        <v>86.908794566638477</v>
      </c>
      <c r="F22">
        <f t="shared" si="7"/>
        <v>28.23837913056018</v>
      </c>
      <c r="G22" t="str">
        <f t="shared" ca="1" si="8"/>
        <v/>
      </c>
      <c r="H22" t="str">
        <f t="shared" ca="1" si="9"/>
        <v/>
      </c>
      <c r="I22" t="str">
        <f t="shared" ca="1" si="10"/>
        <v/>
      </c>
      <c r="J22" t="str">
        <f t="shared" ca="1" si="11"/>
        <v/>
      </c>
    </row>
    <row r="23" spans="1:10" x14ac:dyDescent="0.25">
      <c r="A23">
        <f t="shared" si="3"/>
        <v>0.01</v>
      </c>
      <c r="B23">
        <f t="shared" si="4"/>
        <v>-120.26531518112245</v>
      </c>
      <c r="C23">
        <f t="shared" si="0"/>
        <v>-0.80901699437494756</v>
      </c>
      <c r="D23">
        <f t="shared" si="5"/>
        <v>-0.58778525229247303</v>
      </c>
      <c r="E23">
        <f t="shared" si="6"/>
        <v>97.296683815387439</v>
      </c>
      <c r="F23">
        <f t="shared" si="7"/>
        <v>70.690178625769846</v>
      </c>
      <c r="G23" t="str">
        <f t="shared" ca="1" si="8"/>
        <v/>
      </c>
      <c r="H23" t="str">
        <f t="shared" ca="1" si="9"/>
        <v/>
      </c>
      <c r="I23" t="str">
        <f t="shared" ca="1" si="10"/>
        <v/>
      </c>
      <c r="J23" t="str">
        <f t="shared" ca="1" si="11"/>
        <v/>
      </c>
    </row>
    <row r="24" spans="1:10" x14ac:dyDescent="0.25">
      <c r="A24">
        <f t="shared" si="3"/>
        <v>1.0833333333333334E-2</v>
      </c>
      <c r="B24">
        <f t="shared" si="4"/>
        <v>-137.37690893368955</v>
      </c>
      <c r="C24">
        <f t="shared" si="0"/>
        <v>-0.58778525229247325</v>
      </c>
      <c r="D24">
        <f t="shared" si="5"/>
        <v>-0.80901699437494734</v>
      </c>
      <c r="E24">
        <f t="shared" si="6"/>
        <v>80.748121076748831</v>
      </c>
      <c r="F24">
        <f t="shared" si="7"/>
        <v>111.14025396205437</v>
      </c>
      <c r="G24" t="str">
        <f t="shared" ca="1" si="8"/>
        <v/>
      </c>
      <c r="H24" t="str">
        <f t="shared" ca="1" si="9"/>
        <v/>
      </c>
      <c r="I24" t="str">
        <f t="shared" ca="1" si="10"/>
        <v/>
      </c>
      <c r="J24" t="str">
        <f t="shared" ca="1" si="11"/>
        <v/>
      </c>
    </row>
    <row r="25" spans="1:10" x14ac:dyDescent="0.25">
      <c r="A25">
        <f t="shared" si="3"/>
        <v>1.1666666666666667E-2</v>
      </c>
      <c r="B25">
        <f t="shared" si="4"/>
        <v>-141.04109367862026</v>
      </c>
      <c r="C25">
        <f t="shared" si="0"/>
        <v>-0.30901699437494756</v>
      </c>
      <c r="D25">
        <f t="shared" si="5"/>
        <v>-0.95105651629515353</v>
      </c>
      <c r="E25">
        <f t="shared" si="6"/>
        <v>43.58409485192265</v>
      </c>
      <c r="F25">
        <f t="shared" si="7"/>
        <v>134.138051208447</v>
      </c>
      <c r="G25" t="str">
        <f t="shared" ca="1" si="8"/>
        <v/>
      </c>
      <c r="H25" t="str">
        <f t="shared" ca="1" si="9"/>
        <v/>
      </c>
      <c r="I25" t="str">
        <f t="shared" ca="1" si="10"/>
        <v/>
      </c>
      <c r="J25" t="str">
        <f t="shared" ca="1" si="11"/>
        <v/>
      </c>
    </row>
    <row r="26" spans="1:10" x14ac:dyDescent="0.25">
      <c r="A26">
        <f t="shared" si="3"/>
        <v>1.2500000000000001E-2</v>
      </c>
      <c r="B26">
        <f t="shared" si="4"/>
        <v>-130.89919348320444</v>
      </c>
      <c r="C26">
        <f t="shared" si="0"/>
        <v>-1.83772268236293E-16</v>
      </c>
      <c r="D26">
        <f t="shared" si="5"/>
        <v>-1</v>
      </c>
      <c r="E26">
        <f t="shared" ref="E26:E89" si="12">$B26*C26</f>
        <v>2.4055641696709863E-14</v>
      </c>
      <c r="F26">
        <f t="shared" ref="F26:F89" si="13">$B26*D26</f>
        <v>130.89919348320444</v>
      </c>
      <c r="G26" t="str">
        <f t="shared" ref="G26:G89" ca="1" si="14">IF((ROW($A26)-ROW($A$11))&lt;$B$2-1,"",(1.4142/$B$2)*SUM(OFFSET(E26,-$B$2+1,0,$B$2,1)))</f>
        <v/>
      </c>
      <c r="H26" t="str">
        <f t="shared" ref="H26:H89" ca="1" si="15">IF((ROW($A26)-ROW($A$11))&lt;$B$2-1,"",(1.4142/$B$2)*SUM(OFFSET(F26,-$B$2+1,0,$B$2,1)))</f>
        <v/>
      </c>
      <c r="I26" t="str">
        <f t="shared" ref="I26:I89" ca="1" si="16">IF(G26="","",SQRT(G26^2+H26^2))</f>
        <v/>
      </c>
      <c r="J26" t="str">
        <f t="shared" ref="J26:J89" ca="1" si="17">IF(G26="","",ATAN2(H26,G26)*180/PI())</f>
        <v/>
      </c>
    </row>
    <row r="27" spans="1:10" x14ac:dyDescent="0.25">
      <c r="A27">
        <f t="shared" si="3"/>
        <v>1.3333333333333334E-2</v>
      </c>
      <c r="B27">
        <f t="shared" si="4"/>
        <v>-107.9439682013431</v>
      </c>
      <c r="C27">
        <f t="shared" ref="C27:C90" si="18">COS(($A27-$B$5)*$C$1)</f>
        <v>0.30901699437494723</v>
      </c>
      <c r="D27">
        <f t="shared" si="5"/>
        <v>-0.95105651629515364</v>
      </c>
      <c r="E27">
        <f t="shared" si="12"/>
        <v>-33.356520614483919</v>
      </c>
      <c r="F27">
        <f t="shared" si="13"/>
        <v>102.66081435264421</v>
      </c>
      <c r="G27" t="str">
        <f t="shared" ca="1" si="14"/>
        <v/>
      </c>
      <c r="H27" t="str">
        <f t="shared" ca="1" si="15"/>
        <v/>
      </c>
      <c r="I27" t="str">
        <f t="shared" ca="1" si="16"/>
        <v/>
      </c>
      <c r="J27" t="str">
        <f t="shared" ca="1" si="17"/>
        <v/>
      </c>
    </row>
    <row r="28" spans="1:10" x14ac:dyDescent="0.25">
      <c r="A28">
        <f t="shared" si="3"/>
        <v>1.4166666666666668E-2</v>
      </c>
      <c r="B28">
        <f t="shared" si="4"/>
        <v>-74.422435222083962</v>
      </c>
      <c r="C28">
        <f t="shared" si="18"/>
        <v>0.58778525229247292</v>
      </c>
      <c r="D28">
        <f t="shared" si="5"/>
        <v>-0.80901699437494756</v>
      </c>
      <c r="E28">
        <f t="shared" si="12"/>
        <v>-43.744409863232846</v>
      </c>
      <c r="F28">
        <f t="shared" si="13"/>
        <v>60.209014857434603</v>
      </c>
      <c r="G28" t="str">
        <f t="shared" ca="1" si="14"/>
        <v/>
      </c>
      <c r="H28" t="str">
        <f t="shared" ca="1" si="15"/>
        <v/>
      </c>
      <c r="I28" t="str">
        <f t="shared" ca="1" si="16"/>
        <v/>
      </c>
      <c r="J28" t="str">
        <f t="shared" ca="1" si="17"/>
        <v/>
      </c>
    </row>
    <row r="29" spans="1:10" x14ac:dyDescent="0.25">
      <c r="A29">
        <f t="shared" si="3"/>
        <v>1.5000000000000001E-2</v>
      </c>
      <c r="B29">
        <f t="shared" si="4"/>
        <v>-33.615915751690714</v>
      </c>
      <c r="C29">
        <f t="shared" si="18"/>
        <v>0.80901699437494734</v>
      </c>
      <c r="D29">
        <f t="shared" si="5"/>
        <v>-0.58778525229247336</v>
      </c>
      <c r="E29">
        <f t="shared" si="12"/>
        <v>-27.19584712459427</v>
      </c>
      <c r="F29">
        <f t="shared" si="13"/>
        <v>19.758939521150054</v>
      </c>
      <c r="G29" t="str">
        <f t="shared" ca="1" si="14"/>
        <v/>
      </c>
      <c r="H29" t="str">
        <f t="shared" ca="1" si="15"/>
        <v/>
      </c>
      <c r="I29" t="str">
        <f t="shared" ca="1" si="16"/>
        <v/>
      </c>
      <c r="J29" t="str">
        <f t="shared" ca="1" si="17"/>
        <v/>
      </c>
    </row>
    <row r="30" spans="1:10" x14ac:dyDescent="0.25">
      <c r="A30">
        <f t="shared" si="3"/>
        <v>1.5833333333333335E-2</v>
      </c>
      <c r="B30">
        <f t="shared" si="4"/>
        <v>10.481163768335255</v>
      </c>
      <c r="C30">
        <f t="shared" si="18"/>
        <v>0.95105651629515353</v>
      </c>
      <c r="D30">
        <f t="shared" si="5"/>
        <v>-0.30901699437494762</v>
      </c>
      <c r="E30">
        <f t="shared" si="12"/>
        <v>9.9681791002319109</v>
      </c>
      <c r="F30">
        <f t="shared" si="13"/>
        <v>-3.2388577252425605</v>
      </c>
      <c r="G30">
        <f t="shared" ca="1" si="14"/>
        <v>37.866812911568509</v>
      </c>
      <c r="H30">
        <f t="shared" ca="1" si="15"/>
        <v>92.55881971197384</v>
      </c>
      <c r="I30">
        <f t="shared" ca="1" si="16"/>
        <v>100.00515300000001</v>
      </c>
      <c r="J30">
        <f t="shared" ca="1" si="17"/>
        <v>22.249999999999996</v>
      </c>
    </row>
    <row r="31" spans="1:10" x14ac:dyDescent="0.25">
      <c r="A31">
        <f t="shared" si="3"/>
        <v>1.6666666666666666E-2</v>
      </c>
      <c r="B31">
        <f t="shared" si="4"/>
        <v>53.55227395215443</v>
      </c>
      <c r="C31">
        <f t="shared" si="18"/>
        <v>1</v>
      </c>
      <c r="D31">
        <f t="shared" si="5"/>
        <v>-1.1332081106818492E-15</v>
      </c>
      <c r="E31">
        <f t="shared" si="12"/>
        <v>53.55227395215443</v>
      </c>
      <c r="F31">
        <f t="shared" si="13"/>
        <v>-6.0685871188037729E-14</v>
      </c>
      <c r="G31">
        <f t="shared" ca="1" si="14"/>
        <v>37.866812911568488</v>
      </c>
      <c r="H31">
        <f t="shared" ca="1" si="15"/>
        <v>92.55881971197384</v>
      </c>
      <c r="I31">
        <f t="shared" ca="1" si="16"/>
        <v>100.00515299999999</v>
      </c>
      <c r="J31">
        <f t="shared" ca="1" si="17"/>
        <v>22.249999999999989</v>
      </c>
    </row>
    <row r="32" spans="1:10" x14ac:dyDescent="0.25">
      <c r="A32">
        <f t="shared" si="3"/>
        <v>1.7500000000000002E-2</v>
      </c>
      <c r="B32">
        <f t="shared" si="4"/>
        <v>91.381314440904333</v>
      </c>
      <c r="C32">
        <f t="shared" si="18"/>
        <v>0.95105651629515364</v>
      </c>
      <c r="D32">
        <f t="shared" si="5"/>
        <v>0.30901699437494717</v>
      </c>
      <c r="E32">
        <f t="shared" si="12"/>
        <v>86.908794566638491</v>
      </c>
      <c r="F32">
        <f t="shared" si="13"/>
        <v>28.238379130560212</v>
      </c>
      <c r="G32">
        <f t="shared" ca="1" si="14"/>
        <v>37.866812911568481</v>
      </c>
      <c r="H32">
        <f t="shared" ca="1" si="15"/>
        <v>92.558819711973825</v>
      </c>
      <c r="I32">
        <f t="shared" ca="1" si="16"/>
        <v>100.00515299999998</v>
      </c>
      <c r="J32">
        <f t="shared" ca="1" si="17"/>
        <v>22.249999999999989</v>
      </c>
    </row>
    <row r="33" spans="1:10" x14ac:dyDescent="0.25">
      <c r="A33">
        <f t="shared" si="3"/>
        <v>1.8333333333333333E-2</v>
      </c>
      <c r="B33">
        <f t="shared" si="4"/>
        <v>120.26531518112236</v>
      </c>
      <c r="C33">
        <f t="shared" si="18"/>
        <v>0.80901699437494812</v>
      </c>
      <c r="D33">
        <f t="shared" si="5"/>
        <v>0.58778525229247214</v>
      </c>
      <c r="E33">
        <f t="shared" si="12"/>
        <v>97.296683815387425</v>
      </c>
      <c r="F33">
        <f t="shared" si="13"/>
        <v>70.69017862576969</v>
      </c>
      <c r="G33">
        <f t="shared" ca="1" si="14"/>
        <v>37.866812911568481</v>
      </c>
      <c r="H33">
        <f t="shared" ca="1" si="15"/>
        <v>92.558819711973825</v>
      </c>
      <c r="I33">
        <f t="shared" ca="1" si="16"/>
        <v>100.00515299999998</v>
      </c>
      <c r="J33">
        <f t="shared" ca="1" si="17"/>
        <v>22.249999999999989</v>
      </c>
    </row>
    <row r="34" spans="1:10" x14ac:dyDescent="0.25">
      <c r="A34">
        <f t="shared" si="3"/>
        <v>1.9166666666666669E-2</v>
      </c>
      <c r="B34">
        <f t="shared" si="4"/>
        <v>137.37690893368955</v>
      </c>
      <c r="C34">
        <f t="shared" si="18"/>
        <v>0.58778525229247336</v>
      </c>
      <c r="D34">
        <f t="shared" si="5"/>
        <v>0.80901699437494723</v>
      </c>
      <c r="E34">
        <f t="shared" si="12"/>
        <v>80.748121076748845</v>
      </c>
      <c r="F34">
        <f t="shared" si="13"/>
        <v>111.14025396205436</v>
      </c>
      <c r="G34">
        <f t="shared" ca="1" si="14"/>
        <v>37.866812911568481</v>
      </c>
      <c r="H34">
        <f t="shared" ca="1" si="15"/>
        <v>92.55881971197384</v>
      </c>
      <c r="I34">
        <f t="shared" ca="1" si="16"/>
        <v>100.00515299999999</v>
      </c>
      <c r="J34">
        <f t="shared" ca="1" si="17"/>
        <v>22.249999999999979</v>
      </c>
    </row>
    <row r="35" spans="1:10" x14ac:dyDescent="0.25">
      <c r="A35">
        <f t="shared" si="3"/>
        <v>0.02</v>
      </c>
      <c r="B35">
        <f t="shared" si="4"/>
        <v>141.04109367862026</v>
      </c>
      <c r="C35">
        <f t="shared" si="18"/>
        <v>0.30901699437494773</v>
      </c>
      <c r="D35">
        <f t="shared" si="5"/>
        <v>0.95105651629515353</v>
      </c>
      <c r="E35">
        <f t="shared" si="12"/>
        <v>43.584094851922671</v>
      </c>
      <c r="F35">
        <f t="shared" si="13"/>
        <v>134.138051208447</v>
      </c>
      <c r="G35">
        <f t="shared" ca="1" si="14"/>
        <v>37.866812911568488</v>
      </c>
      <c r="H35">
        <f t="shared" ca="1" si="15"/>
        <v>92.558819711973825</v>
      </c>
      <c r="I35">
        <f t="shared" ca="1" si="16"/>
        <v>100.00515299999998</v>
      </c>
      <c r="J35">
        <f t="shared" ca="1" si="17"/>
        <v>22.249999999999989</v>
      </c>
    </row>
    <row r="36" spans="1:10" x14ac:dyDescent="0.25">
      <c r="A36">
        <f t="shared" si="3"/>
        <v>2.0833333333333336E-2</v>
      </c>
      <c r="B36">
        <f t="shared" si="4"/>
        <v>130.89919348320444</v>
      </c>
      <c r="C36">
        <f t="shared" si="18"/>
        <v>3.06287113727155E-16</v>
      </c>
      <c r="D36">
        <f t="shared" si="5"/>
        <v>1</v>
      </c>
      <c r="E36">
        <f t="shared" si="12"/>
        <v>4.0092736161183104E-14</v>
      </c>
      <c r="F36">
        <f t="shared" si="13"/>
        <v>130.89919348320444</v>
      </c>
      <c r="G36">
        <f t="shared" ca="1" si="14"/>
        <v>37.866812911568488</v>
      </c>
      <c r="H36">
        <f t="shared" ca="1" si="15"/>
        <v>92.558819711973825</v>
      </c>
      <c r="I36">
        <f t="shared" ca="1" si="16"/>
        <v>100.00515299999998</v>
      </c>
      <c r="J36">
        <f t="shared" ca="1" si="17"/>
        <v>22.249999999999989</v>
      </c>
    </row>
    <row r="37" spans="1:10" x14ac:dyDescent="0.25">
      <c r="A37">
        <f t="shared" si="3"/>
        <v>2.1666666666666667E-2</v>
      </c>
      <c r="B37">
        <f t="shared" si="4"/>
        <v>107.94396820134311</v>
      </c>
      <c r="C37">
        <f t="shared" si="18"/>
        <v>-0.30901699437494712</v>
      </c>
      <c r="D37">
        <f t="shared" si="5"/>
        <v>0.95105651629515364</v>
      </c>
      <c r="E37">
        <f t="shared" si="12"/>
        <v>-33.356520614483912</v>
      </c>
      <c r="F37">
        <f t="shared" si="13"/>
        <v>102.66081435264422</v>
      </c>
      <c r="G37">
        <f t="shared" ca="1" si="14"/>
        <v>37.866812911568488</v>
      </c>
      <c r="H37">
        <f t="shared" ca="1" si="15"/>
        <v>92.558819711973811</v>
      </c>
      <c r="I37">
        <f t="shared" ca="1" si="16"/>
        <v>100.00515299999996</v>
      </c>
      <c r="J37">
        <f t="shared" ca="1" si="17"/>
        <v>22.249999999999993</v>
      </c>
    </row>
    <row r="38" spans="1:10" x14ac:dyDescent="0.25">
      <c r="A38">
        <f t="shared" si="3"/>
        <v>2.2500000000000003E-2</v>
      </c>
      <c r="B38">
        <f t="shared" si="4"/>
        <v>74.422435222083976</v>
      </c>
      <c r="C38">
        <f t="shared" si="18"/>
        <v>-0.58778525229247292</v>
      </c>
      <c r="D38">
        <f t="shared" si="5"/>
        <v>0.80901699437494767</v>
      </c>
      <c r="E38">
        <f t="shared" si="12"/>
        <v>-43.744409863232853</v>
      </c>
      <c r="F38">
        <f t="shared" si="13"/>
        <v>60.209014857434617</v>
      </c>
      <c r="G38">
        <f t="shared" ca="1" si="14"/>
        <v>37.866812911568488</v>
      </c>
      <c r="H38">
        <f t="shared" ca="1" si="15"/>
        <v>92.558819711973811</v>
      </c>
      <c r="I38">
        <f t="shared" ca="1" si="16"/>
        <v>100.00515299999996</v>
      </c>
      <c r="J38">
        <f t="shared" ca="1" si="17"/>
        <v>22.249999999999993</v>
      </c>
    </row>
    <row r="39" spans="1:10" x14ac:dyDescent="0.25">
      <c r="A39">
        <f t="shared" si="3"/>
        <v>2.3333333333333334E-2</v>
      </c>
      <c r="B39">
        <f t="shared" si="4"/>
        <v>33.615915751690736</v>
      </c>
      <c r="C39">
        <f t="shared" si="18"/>
        <v>-0.80901699437494723</v>
      </c>
      <c r="D39">
        <f t="shared" si="5"/>
        <v>0.58778525229247336</v>
      </c>
      <c r="E39">
        <f t="shared" si="12"/>
        <v>-27.195847124594284</v>
      </c>
      <c r="F39">
        <f t="shared" si="13"/>
        <v>19.758939521150069</v>
      </c>
      <c r="G39">
        <f t="shared" ca="1" si="14"/>
        <v>37.866812911568488</v>
      </c>
      <c r="H39">
        <f t="shared" ca="1" si="15"/>
        <v>92.558819711973811</v>
      </c>
      <c r="I39">
        <f t="shared" ca="1" si="16"/>
        <v>100.00515299999996</v>
      </c>
      <c r="J39">
        <f t="shared" ca="1" si="17"/>
        <v>22.249999999999993</v>
      </c>
    </row>
    <row r="40" spans="1:10" x14ac:dyDescent="0.25">
      <c r="A40">
        <f t="shared" si="3"/>
        <v>2.416666666666667E-2</v>
      </c>
      <c r="B40">
        <f t="shared" si="4"/>
        <v>-10.481163768335238</v>
      </c>
      <c r="C40">
        <f t="shared" si="18"/>
        <v>-0.95105651629515342</v>
      </c>
      <c r="D40">
        <f t="shared" si="5"/>
        <v>0.30901699437494778</v>
      </c>
      <c r="E40">
        <f t="shared" si="12"/>
        <v>9.9681791002318931</v>
      </c>
      <c r="F40">
        <f t="shared" si="13"/>
        <v>-3.2388577252425566</v>
      </c>
      <c r="G40">
        <f t="shared" ca="1" si="14"/>
        <v>37.866812911568488</v>
      </c>
      <c r="H40">
        <f t="shared" ca="1" si="15"/>
        <v>92.558819711973811</v>
      </c>
      <c r="I40">
        <f t="shared" ca="1" si="16"/>
        <v>100.00515299999996</v>
      </c>
      <c r="J40">
        <f t="shared" ca="1" si="17"/>
        <v>22.249999999999993</v>
      </c>
    </row>
    <row r="41" spans="1:10" x14ac:dyDescent="0.25">
      <c r="A41">
        <f t="shared" si="3"/>
        <v>2.5000000000000001E-2</v>
      </c>
      <c r="B41">
        <f t="shared" si="4"/>
        <v>-53.552273952154529</v>
      </c>
      <c r="C41">
        <f t="shared" si="18"/>
        <v>-1</v>
      </c>
      <c r="D41">
        <f t="shared" si="5"/>
        <v>3.67544536472586E-16</v>
      </c>
      <c r="E41">
        <f t="shared" si="12"/>
        <v>53.552273952154529</v>
      </c>
      <c r="F41">
        <f t="shared" si="13"/>
        <v>-1.9682845706797576E-14</v>
      </c>
      <c r="G41">
        <f t="shared" ca="1" si="14"/>
        <v>37.866812911568481</v>
      </c>
      <c r="H41">
        <f t="shared" ca="1" si="15"/>
        <v>92.558819711973811</v>
      </c>
      <c r="I41">
        <f t="shared" ca="1" si="16"/>
        <v>100.00515299999996</v>
      </c>
      <c r="J41">
        <f t="shared" ca="1" si="17"/>
        <v>22.249999999999989</v>
      </c>
    </row>
    <row r="42" spans="1:10" x14ac:dyDescent="0.25">
      <c r="A42">
        <f t="shared" si="3"/>
        <v>2.5833333333333337E-2</v>
      </c>
      <c r="B42">
        <f t="shared" si="4"/>
        <v>-91.381314440904319</v>
      </c>
      <c r="C42">
        <f t="shared" si="18"/>
        <v>-0.95105651629515364</v>
      </c>
      <c r="D42">
        <f t="shared" si="5"/>
        <v>-0.30901699437494706</v>
      </c>
      <c r="E42">
        <f t="shared" si="12"/>
        <v>86.908794566638477</v>
      </c>
      <c r="F42">
        <f t="shared" si="13"/>
        <v>28.238379130560197</v>
      </c>
      <c r="G42">
        <f t="shared" ca="1" si="14"/>
        <v>37.866812911568481</v>
      </c>
      <c r="H42">
        <f t="shared" ca="1" si="15"/>
        <v>92.558819711973811</v>
      </c>
      <c r="I42">
        <f t="shared" ca="1" si="16"/>
        <v>100.00515299999996</v>
      </c>
      <c r="J42">
        <f t="shared" ca="1" si="17"/>
        <v>22.249999999999989</v>
      </c>
    </row>
    <row r="43" spans="1:10" x14ac:dyDescent="0.25">
      <c r="A43">
        <f t="shared" si="3"/>
        <v>2.6666666666666668E-2</v>
      </c>
      <c r="B43">
        <f t="shared" si="4"/>
        <v>-120.26531518112243</v>
      </c>
      <c r="C43">
        <f t="shared" si="18"/>
        <v>-0.80901699437494767</v>
      </c>
      <c r="D43">
        <f t="shared" si="5"/>
        <v>-0.5877852522924728</v>
      </c>
      <c r="E43">
        <f t="shared" si="12"/>
        <v>97.296683815387439</v>
      </c>
      <c r="F43">
        <f t="shared" si="13"/>
        <v>70.690178625769803</v>
      </c>
      <c r="G43">
        <f t="shared" ca="1" si="14"/>
        <v>37.866812911568488</v>
      </c>
      <c r="H43">
        <f t="shared" ca="1" si="15"/>
        <v>92.558819711973811</v>
      </c>
      <c r="I43">
        <f t="shared" ca="1" si="16"/>
        <v>100.00515299999996</v>
      </c>
      <c r="J43">
        <f t="shared" ca="1" si="17"/>
        <v>22.249999999999993</v>
      </c>
    </row>
    <row r="44" spans="1:10" x14ac:dyDescent="0.25">
      <c r="A44">
        <f t="shared" si="3"/>
        <v>2.75E-2</v>
      </c>
      <c r="B44">
        <f t="shared" si="4"/>
        <v>-137.37690893368955</v>
      </c>
      <c r="C44">
        <f t="shared" si="18"/>
        <v>-0.58778525229247347</v>
      </c>
      <c r="D44">
        <f t="shared" si="5"/>
        <v>-0.80901699437494723</v>
      </c>
      <c r="E44">
        <f t="shared" si="12"/>
        <v>80.748121076748859</v>
      </c>
      <c r="F44">
        <f t="shared" si="13"/>
        <v>111.14025396205436</v>
      </c>
      <c r="G44">
        <f t="shared" ca="1" si="14"/>
        <v>37.866812911568488</v>
      </c>
      <c r="H44">
        <f t="shared" ca="1" si="15"/>
        <v>92.558819711973825</v>
      </c>
      <c r="I44">
        <f t="shared" ca="1" si="16"/>
        <v>100.00515299999998</v>
      </c>
      <c r="J44">
        <f t="shared" ca="1" si="17"/>
        <v>22.249999999999989</v>
      </c>
    </row>
    <row r="45" spans="1:10" x14ac:dyDescent="0.25">
      <c r="A45">
        <f t="shared" si="3"/>
        <v>2.8333333333333335E-2</v>
      </c>
      <c r="B45">
        <f t="shared" si="4"/>
        <v>-141.04109367862026</v>
      </c>
      <c r="C45">
        <f t="shared" si="18"/>
        <v>-0.30901699437494784</v>
      </c>
      <c r="D45">
        <f t="shared" si="5"/>
        <v>-0.95105651629515342</v>
      </c>
      <c r="E45">
        <f t="shared" si="12"/>
        <v>43.584094851922686</v>
      </c>
      <c r="F45">
        <f t="shared" si="13"/>
        <v>134.13805120844697</v>
      </c>
      <c r="G45">
        <f t="shared" ca="1" si="14"/>
        <v>37.866812911568488</v>
      </c>
      <c r="H45">
        <f t="shared" ca="1" si="15"/>
        <v>92.558819711973825</v>
      </c>
      <c r="I45">
        <f t="shared" ca="1" si="16"/>
        <v>100.00515299999998</v>
      </c>
      <c r="J45">
        <f t="shared" ca="1" si="17"/>
        <v>22.249999999999989</v>
      </c>
    </row>
    <row r="46" spans="1:10" x14ac:dyDescent="0.25">
      <c r="A46">
        <f t="shared" si="3"/>
        <v>2.9166666666666667E-2</v>
      </c>
      <c r="B46">
        <f t="shared" si="4"/>
        <v>-130.89919348320444</v>
      </c>
      <c r="C46">
        <f t="shared" si="18"/>
        <v>-4.28801959218017E-16</v>
      </c>
      <c r="D46">
        <f t="shared" si="5"/>
        <v>-1</v>
      </c>
      <c r="E46">
        <f t="shared" si="12"/>
        <v>5.6129830625656346E-14</v>
      </c>
      <c r="F46">
        <f t="shared" si="13"/>
        <v>130.89919348320444</v>
      </c>
      <c r="G46">
        <f t="shared" ca="1" si="14"/>
        <v>37.866812911568488</v>
      </c>
      <c r="H46">
        <f t="shared" ca="1" si="15"/>
        <v>92.55881971197384</v>
      </c>
      <c r="I46">
        <f t="shared" ca="1" si="16"/>
        <v>100.00515299999999</v>
      </c>
      <c r="J46">
        <f t="shared" ca="1" si="17"/>
        <v>22.249999999999989</v>
      </c>
    </row>
    <row r="47" spans="1:10" x14ac:dyDescent="0.25">
      <c r="A47">
        <f t="shared" si="3"/>
        <v>3.0000000000000002E-2</v>
      </c>
      <c r="B47">
        <f t="shared" si="4"/>
        <v>-107.94396820134311</v>
      </c>
      <c r="C47">
        <f t="shared" si="18"/>
        <v>0.30901699437494701</v>
      </c>
      <c r="D47">
        <f t="shared" si="5"/>
        <v>-0.95105651629515375</v>
      </c>
      <c r="E47">
        <f t="shared" si="12"/>
        <v>-33.356520614483905</v>
      </c>
      <c r="F47">
        <f t="shared" si="13"/>
        <v>102.66081435264424</v>
      </c>
      <c r="G47">
        <f t="shared" ca="1" si="14"/>
        <v>37.866812911568495</v>
      </c>
      <c r="H47">
        <f t="shared" ca="1" si="15"/>
        <v>92.558819711973825</v>
      </c>
      <c r="I47">
        <f t="shared" ca="1" si="16"/>
        <v>100.00515299999998</v>
      </c>
      <c r="J47">
        <f t="shared" ca="1" si="17"/>
        <v>22.249999999999993</v>
      </c>
    </row>
    <row r="48" spans="1:10" x14ac:dyDescent="0.25">
      <c r="A48">
        <f t="shared" si="3"/>
        <v>3.0833333333333334E-2</v>
      </c>
      <c r="B48">
        <f t="shared" si="4"/>
        <v>-74.422435222084005</v>
      </c>
      <c r="C48">
        <f t="shared" si="18"/>
        <v>0.5877852522924728</v>
      </c>
      <c r="D48">
        <f t="shared" si="5"/>
        <v>-0.80901699437494767</v>
      </c>
      <c r="E48">
        <f t="shared" si="12"/>
        <v>-43.74440986323286</v>
      </c>
      <c r="F48">
        <f t="shared" si="13"/>
        <v>60.209014857434646</v>
      </c>
      <c r="G48">
        <f t="shared" ca="1" si="14"/>
        <v>37.866812911568488</v>
      </c>
      <c r="H48">
        <f t="shared" ca="1" si="15"/>
        <v>92.558819711973811</v>
      </c>
      <c r="I48">
        <f t="shared" ca="1" si="16"/>
        <v>100.00515299999996</v>
      </c>
      <c r="J48">
        <f t="shared" ca="1" si="17"/>
        <v>22.249999999999993</v>
      </c>
    </row>
    <row r="49" spans="1:10" x14ac:dyDescent="0.25">
      <c r="A49">
        <f t="shared" si="3"/>
        <v>3.1666666666666669E-2</v>
      </c>
      <c r="B49">
        <f t="shared" si="4"/>
        <v>-33.61591575169075</v>
      </c>
      <c r="C49">
        <f t="shared" si="18"/>
        <v>0.80901699437494712</v>
      </c>
      <c r="D49">
        <f t="shared" si="5"/>
        <v>-0.58778525229247347</v>
      </c>
      <c r="E49">
        <f t="shared" si="12"/>
        <v>-27.195847124594291</v>
      </c>
      <c r="F49">
        <f t="shared" si="13"/>
        <v>19.758939521150079</v>
      </c>
      <c r="G49">
        <f t="shared" ca="1" si="14"/>
        <v>37.866812911568481</v>
      </c>
      <c r="H49">
        <f t="shared" ca="1" si="15"/>
        <v>92.558819711973811</v>
      </c>
      <c r="I49">
        <f t="shared" ca="1" si="16"/>
        <v>100.00515299999996</v>
      </c>
      <c r="J49">
        <f t="shared" ca="1" si="17"/>
        <v>22.249999999999989</v>
      </c>
    </row>
    <row r="50" spans="1:10" x14ac:dyDescent="0.25">
      <c r="A50">
        <f t="shared" si="3"/>
        <v>3.2500000000000001E-2</v>
      </c>
      <c r="B50">
        <f t="shared" si="4"/>
        <v>10.48116376833522</v>
      </c>
      <c r="C50">
        <f t="shared" si="18"/>
        <v>0.95105651629515342</v>
      </c>
      <c r="D50">
        <f t="shared" si="5"/>
        <v>-0.3090169943749479</v>
      </c>
      <c r="E50">
        <f t="shared" si="12"/>
        <v>9.9681791002318771</v>
      </c>
      <c r="F50">
        <f t="shared" si="13"/>
        <v>-3.2388577252425526</v>
      </c>
      <c r="G50">
        <f t="shared" ca="1" si="14"/>
        <v>37.866812911568488</v>
      </c>
      <c r="H50">
        <f t="shared" ca="1" si="15"/>
        <v>92.558819711973825</v>
      </c>
      <c r="I50">
        <f t="shared" ca="1" si="16"/>
        <v>100.00515299999998</v>
      </c>
      <c r="J50">
        <f t="shared" ca="1" si="17"/>
        <v>22.249999999999989</v>
      </c>
    </row>
    <row r="51" spans="1:10" x14ac:dyDescent="0.25">
      <c r="A51">
        <f t="shared" si="3"/>
        <v>3.3333333333333333E-2</v>
      </c>
      <c r="B51">
        <f t="shared" si="4"/>
        <v>53.55227395215428</v>
      </c>
      <c r="C51">
        <f t="shared" si="18"/>
        <v>1</v>
      </c>
      <c r="D51">
        <f t="shared" si="5"/>
        <v>-2.2664162213636985E-15</v>
      </c>
      <c r="E51">
        <f t="shared" si="12"/>
        <v>53.55227395215428</v>
      </c>
      <c r="F51">
        <f t="shared" si="13"/>
        <v>-1.2137174237607513E-13</v>
      </c>
      <c r="G51">
        <f t="shared" ca="1" si="14"/>
        <v>37.866812911568474</v>
      </c>
      <c r="H51">
        <f t="shared" ca="1" si="15"/>
        <v>92.558819711973811</v>
      </c>
      <c r="I51">
        <f t="shared" ca="1" si="16"/>
        <v>100.00515299999995</v>
      </c>
      <c r="J51">
        <f t="shared" ca="1" si="17"/>
        <v>22.249999999999982</v>
      </c>
    </row>
    <row r="52" spans="1:10" x14ac:dyDescent="0.25">
      <c r="A52">
        <f t="shared" si="3"/>
        <v>3.4166666666666672E-2</v>
      </c>
      <c r="B52">
        <f t="shared" si="4"/>
        <v>91.381314440904305</v>
      </c>
      <c r="C52">
        <f t="shared" si="18"/>
        <v>0.95105651629515375</v>
      </c>
      <c r="D52">
        <f t="shared" si="5"/>
        <v>0.30901699437494695</v>
      </c>
      <c r="E52">
        <f t="shared" si="12"/>
        <v>86.908794566638477</v>
      </c>
      <c r="F52">
        <f t="shared" si="13"/>
        <v>28.238379130560183</v>
      </c>
      <c r="G52">
        <f t="shared" ca="1" si="14"/>
        <v>37.866812911568474</v>
      </c>
      <c r="H52">
        <f t="shared" ca="1" si="15"/>
        <v>92.558819711973797</v>
      </c>
      <c r="I52">
        <f t="shared" ca="1" si="16"/>
        <v>100.00515299999995</v>
      </c>
      <c r="J52">
        <f t="shared" ca="1" si="17"/>
        <v>22.249999999999989</v>
      </c>
    </row>
    <row r="53" spans="1:10" x14ac:dyDescent="0.25">
      <c r="A53">
        <f t="shared" si="3"/>
        <v>3.5000000000000003E-2</v>
      </c>
      <c r="B53">
        <f t="shared" si="4"/>
        <v>120.26531518112242</v>
      </c>
      <c r="C53">
        <f t="shared" si="18"/>
        <v>0.80901699437494767</v>
      </c>
      <c r="D53">
        <f t="shared" si="5"/>
        <v>0.58778525229247269</v>
      </c>
      <c r="E53">
        <f t="shared" si="12"/>
        <v>97.296683815387425</v>
      </c>
      <c r="F53">
        <f t="shared" si="13"/>
        <v>70.690178625769789</v>
      </c>
      <c r="G53">
        <f t="shared" ca="1" si="14"/>
        <v>37.866812911568466</v>
      </c>
      <c r="H53">
        <f t="shared" ca="1" si="15"/>
        <v>92.558819711973811</v>
      </c>
      <c r="I53">
        <f t="shared" ca="1" si="16"/>
        <v>100.00515299999995</v>
      </c>
      <c r="J53">
        <f t="shared" ca="1" si="17"/>
        <v>22.249999999999979</v>
      </c>
    </row>
    <row r="54" spans="1:10" x14ac:dyDescent="0.25">
      <c r="A54">
        <f t="shared" si="3"/>
        <v>3.5833333333333335E-2</v>
      </c>
      <c r="B54">
        <f t="shared" si="4"/>
        <v>137.37690893368955</v>
      </c>
      <c r="C54">
        <f t="shared" si="18"/>
        <v>0.58778525229247358</v>
      </c>
      <c r="D54">
        <f t="shared" si="5"/>
        <v>0.80901699437494712</v>
      </c>
      <c r="E54">
        <f t="shared" si="12"/>
        <v>80.748121076748873</v>
      </c>
      <c r="F54">
        <f t="shared" si="13"/>
        <v>111.14025396205435</v>
      </c>
      <c r="G54">
        <f t="shared" ca="1" si="14"/>
        <v>37.866812911568481</v>
      </c>
      <c r="H54">
        <f t="shared" ca="1" si="15"/>
        <v>92.558819711973825</v>
      </c>
      <c r="I54">
        <f t="shared" ca="1" si="16"/>
        <v>100.00515299999998</v>
      </c>
      <c r="J54">
        <f t="shared" ca="1" si="17"/>
        <v>22.249999999999989</v>
      </c>
    </row>
    <row r="55" spans="1:10" x14ac:dyDescent="0.25">
      <c r="A55">
        <f t="shared" si="3"/>
        <v>3.6666666666666667E-2</v>
      </c>
      <c r="B55">
        <f t="shared" si="4"/>
        <v>141.04109367862029</v>
      </c>
      <c r="C55">
        <f t="shared" si="18"/>
        <v>0.30901699437494962</v>
      </c>
      <c r="D55">
        <f t="shared" si="5"/>
        <v>0.95105651629515287</v>
      </c>
      <c r="E55">
        <f t="shared" si="12"/>
        <v>43.584094851922949</v>
      </c>
      <c r="F55">
        <f t="shared" si="13"/>
        <v>134.13805120844691</v>
      </c>
      <c r="G55">
        <f t="shared" ca="1" si="14"/>
        <v>37.866812911568495</v>
      </c>
      <c r="H55">
        <f t="shared" ca="1" si="15"/>
        <v>92.55881971197384</v>
      </c>
      <c r="I55">
        <f t="shared" ca="1" si="16"/>
        <v>100.00515299999999</v>
      </c>
      <c r="J55">
        <f t="shared" ca="1" si="17"/>
        <v>22.249999999999989</v>
      </c>
    </row>
    <row r="56" spans="1:10" x14ac:dyDescent="0.25">
      <c r="A56">
        <f t="shared" si="3"/>
        <v>3.7500000000000006E-2</v>
      </c>
      <c r="B56">
        <f t="shared" si="4"/>
        <v>130.89919348320436</v>
      </c>
      <c r="C56">
        <f t="shared" si="18"/>
        <v>-1.2250400346913715E-15</v>
      </c>
      <c r="D56">
        <f t="shared" si="5"/>
        <v>1</v>
      </c>
      <c r="E56">
        <f t="shared" si="12"/>
        <v>-1.6035675252573721E-13</v>
      </c>
      <c r="F56">
        <f t="shared" si="13"/>
        <v>130.89919348320436</v>
      </c>
      <c r="G56">
        <f t="shared" ca="1" si="14"/>
        <v>37.866812911568488</v>
      </c>
      <c r="H56">
        <f t="shared" ca="1" si="15"/>
        <v>92.558819711973825</v>
      </c>
      <c r="I56">
        <f t="shared" ca="1" si="16"/>
        <v>100.00515299999998</v>
      </c>
      <c r="J56">
        <f t="shared" ca="1" si="17"/>
        <v>22.249999999999989</v>
      </c>
    </row>
    <row r="57" spans="1:10" x14ac:dyDescent="0.25">
      <c r="A57">
        <f t="shared" si="3"/>
        <v>3.8333333333333337E-2</v>
      </c>
      <c r="B57">
        <f t="shared" si="4"/>
        <v>107.94396820134313</v>
      </c>
      <c r="C57">
        <f t="shared" si="18"/>
        <v>-0.3090169943749469</v>
      </c>
      <c r="D57">
        <f t="shared" si="5"/>
        <v>0.95105651629515375</v>
      </c>
      <c r="E57">
        <f t="shared" si="12"/>
        <v>-33.356520614483898</v>
      </c>
      <c r="F57">
        <f t="shared" si="13"/>
        <v>102.66081435264425</v>
      </c>
      <c r="G57">
        <f t="shared" ca="1" si="14"/>
        <v>37.866812911568488</v>
      </c>
      <c r="H57">
        <f t="shared" ca="1" si="15"/>
        <v>92.558819711973825</v>
      </c>
      <c r="I57">
        <f t="shared" ca="1" si="16"/>
        <v>100.00515299999998</v>
      </c>
      <c r="J57">
        <f t="shared" ca="1" si="17"/>
        <v>22.249999999999989</v>
      </c>
    </row>
    <row r="58" spans="1:10" x14ac:dyDescent="0.25">
      <c r="A58">
        <f t="shared" si="3"/>
        <v>3.9166666666666669E-2</v>
      </c>
      <c r="B58">
        <f t="shared" si="4"/>
        <v>74.422435222084019</v>
      </c>
      <c r="C58">
        <f t="shared" si="18"/>
        <v>-0.58778525229247269</v>
      </c>
      <c r="D58">
        <f t="shared" si="5"/>
        <v>0.80901699437494778</v>
      </c>
      <c r="E58">
        <f t="shared" si="12"/>
        <v>-43.74440986323286</v>
      </c>
      <c r="F58">
        <f t="shared" si="13"/>
        <v>60.20901485743466</v>
      </c>
      <c r="G58">
        <f t="shared" ca="1" si="14"/>
        <v>37.866812911568495</v>
      </c>
      <c r="H58">
        <f t="shared" ca="1" si="15"/>
        <v>92.558819711973811</v>
      </c>
      <c r="I58">
        <f t="shared" ca="1" si="16"/>
        <v>100.00515299999996</v>
      </c>
      <c r="J58">
        <f t="shared" ca="1" si="17"/>
        <v>22.249999999999996</v>
      </c>
    </row>
    <row r="59" spans="1:10" x14ac:dyDescent="0.25">
      <c r="A59">
        <f t="shared" si="3"/>
        <v>0.04</v>
      </c>
      <c r="B59">
        <f t="shared" si="4"/>
        <v>33.615915751690771</v>
      </c>
      <c r="C59">
        <f t="shared" si="18"/>
        <v>-0.80901699437494712</v>
      </c>
      <c r="D59">
        <f t="shared" si="5"/>
        <v>0.58778525229247358</v>
      </c>
      <c r="E59">
        <f t="shared" si="12"/>
        <v>-27.195847124594309</v>
      </c>
      <c r="F59">
        <f t="shared" si="13"/>
        <v>19.758939521150097</v>
      </c>
      <c r="G59">
        <f t="shared" ca="1" si="14"/>
        <v>37.866812911568474</v>
      </c>
      <c r="H59">
        <f t="shared" ca="1" si="15"/>
        <v>92.558819711973825</v>
      </c>
      <c r="I59">
        <f t="shared" ca="1" si="16"/>
        <v>100.00515299999996</v>
      </c>
      <c r="J59">
        <f t="shared" ca="1" si="17"/>
        <v>22.249999999999979</v>
      </c>
    </row>
    <row r="60" spans="1:10" x14ac:dyDescent="0.25">
      <c r="A60">
        <f t="shared" si="3"/>
        <v>4.0833333333333333E-2</v>
      </c>
      <c r="B60">
        <f t="shared" si="4"/>
        <v>-10.481163768334953</v>
      </c>
      <c r="C60">
        <f t="shared" si="18"/>
        <v>-0.95105651629515287</v>
      </c>
      <c r="D60">
        <f t="shared" si="5"/>
        <v>0.30901699437494967</v>
      </c>
      <c r="E60">
        <f t="shared" si="12"/>
        <v>9.9681791002316178</v>
      </c>
      <c r="F60">
        <f t="shared" si="13"/>
        <v>-3.2388577252424886</v>
      </c>
      <c r="G60">
        <f t="shared" ca="1" si="14"/>
        <v>37.866812911568466</v>
      </c>
      <c r="H60">
        <f t="shared" ca="1" si="15"/>
        <v>92.558819711973811</v>
      </c>
      <c r="I60">
        <f t="shared" ca="1" si="16"/>
        <v>100.00515299999995</v>
      </c>
      <c r="J60">
        <f t="shared" ca="1" si="17"/>
        <v>22.249999999999979</v>
      </c>
    </row>
    <row r="61" spans="1:10" x14ac:dyDescent="0.25">
      <c r="A61">
        <f t="shared" si="3"/>
        <v>4.1666666666666671E-2</v>
      </c>
      <c r="B61">
        <f t="shared" si="4"/>
        <v>-53.552273952154728</v>
      </c>
      <c r="C61">
        <f t="shared" si="18"/>
        <v>-1</v>
      </c>
      <c r="D61">
        <f t="shared" si="5"/>
        <v>6.1257422745431001E-16</v>
      </c>
      <c r="E61">
        <f t="shared" si="12"/>
        <v>53.552273952154728</v>
      </c>
      <c r="F61">
        <f t="shared" si="13"/>
        <v>-3.2804742844662749E-14</v>
      </c>
      <c r="G61">
        <f t="shared" ca="1" si="14"/>
        <v>37.866812911568481</v>
      </c>
      <c r="H61">
        <f t="shared" ca="1" si="15"/>
        <v>92.558819711973811</v>
      </c>
      <c r="I61">
        <f t="shared" ca="1" si="16"/>
        <v>100.00515299999996</v>
      </c>
      <c r="J61">
        <f t="shared" ca="1" si="17"/>
        <v>22.249999999999989</v>
      </c>
    </row>
    <row r="62" spans="1:10" x14ac:dyDescent="0.25">
      <c r="A62">
        <f t="shared" si="3"/>
        <v>4.2500000000000003E-2</v>
      </c>
      <c r="B62">
        <f t="shared" si="4"/>
        <v>-91.381314440904291</v>
      </c>
      <c r="C62">
        <f t="shared" si="18"/>
        <v>-0.95105651629515431</v>
      </c>
      <c r="D62">
        <f t="shared" si="5"/>
        <v>-0.30901699437494512</v>
      </c>
      <c r="E62">
        <f t="shared" si="12"/>
        <v>86.908794566638505</v>
      </c>
      <c r="F62">
        <f t="shared" si="13"/>
        <v>28.238379130560013</v>
      </c>
      <c r="G62">
        <f t="shared" ca="1" si="14"/>
        <v>37.866812911568474</v>
      </c>
      <c r="H62">
        <f t="shared" ca="1" si="15"/>
        <v>92.558819711973797</v>
      </c>
      <c r="I62">
        <f t="shared" ca="1" si="16"/>
        <v>100.00515299999995</v>
      </c>
      <c r="J62">
        <f t="shared" ca="1" si="17"/>
        <v>22.249999999999989</v>
      </c>
    </row>
    <row r="63" spans="1:10" x14ac:dyDescent="0.25">
      <c r="A63">
        <f t="shared" si="3"/>
        <v>4.3333333333333335E-2</v>
      </c>
      <c r="B63">
        <f t="shared" si="4"/>
        <v>-120.26531518112253</v>
      </c>
      <c r="C63">
        <f t="shared" si="18"/>
        <v>-0.80901699437494778</v>
      </c>
      <c r="D63">
        <f t="shared" si="5"/>
        <v>-0.58778525229247258</v>
      </c>
      <c r="E63">
        <f t="shared" si="12"/>
        <v>97.296683815387524</v>
      </c>
      <c r="F63">
        <f t="shared" si="13"/>
        <v>70.690178625769846</v>
      </c>
      <c r="G63">
        <f t="shared" ca="1" si="14"/>
        <v>37.866812911568481</v>
      </c>
      <c r="H63">
        <f t="shared" ca="1" si="15"/>
        <v>92.558819711973797</v>
      </c>
      <c r="I63">
        <f t="shared" ca="1" si="16"/>
        <v>100.00515299999995</v>
      </c>
      <c r="J63">
        <f t="shared" ca="1" si="17"/>
        <v>22.249999999999993</v>
      </c>
    </row>
    <row r="64" spans="1:10" x14ac:dyDescent="0.25">
      <c r="A64">
        <f t="shared" si="3"/>
        <v>4.4166666666666667E-2</v>
      </c>
      <c r="B64">
        <f t="shared" si="4"/>
        <v>-137.37690893368955</v>
      </c>
      <c r="C64">
        <f t="shared" si="18"/>
        <v>-0.58778525229247514</v>
      </c>
      <c r="D64">
        <f t="shared" si="5"/>
        <v>-0.80901699437494601</v>
      </c>
      <c r="E64">
        <f t="shared" si="12"/>
        <v>80.748121076749086</v>
      </c>
      <c r="F64">
        <f t="shared" si="13"/>
        <v>111.14025396205419</v>
      </c>
      <c r="G64">
        <f t="shared" ca="1" si="14"/>
        <v>37.866812911568495</v>
      </c>
      <c r="H64">
        <f t="shared" ca="1" si="15"/>
        <v>92.558819711973797</v>
      </c>
      <c r="I64">
        <f t="shared" ca="1" si="16"/>
        <v>100.00515299999995</v>
      </c>
      <c r="J64">
        <f t="shared" ca="1" si="17"/>
        <v>22.25</v>
      </c>
    </row>
    <row r="65" spans="1:10" x14ac:dyDescent="0.25">
      <c r="A65">
        <f t="shared" si="3"/>
        <v>4.5000000000000005E-2</v>
      </c>
      <c r="B65">
        <f t="shared" si="4"/>
        <v>-141.04109367862026</v>
      </c>
      <c r="C65">
        <f t="shared" si="18"/>
        <v>-0.30901699437494806</v>
      </c>
      <c r="D65">
        <f t="shared" si="5"/>
        <v>-0.95105651629515342</v>
      </c>
      <c r="E65">
        <f t="shared" si="12"/>
        <v>43.584094851922721</v>
      </c>
      <c r="F65">
        <f t="shared" si="13"/>
        <v>134.13805120844697</v>
      </c>
      <c r="G65">
        <f t="shared" ca="1" si="14"/>
        <v>37.866812911568509</v>
      </c>
      <c r="H65">
        <f t="shared" ca="1" si="15"/>
        <v>92.558819711973811</v>
      </c>
      <c r="I65">
        <f t="shared" ca="1" si="16"/>
        <v>100.00515299999998</v>
      </c>
      <c r="J65">
        <f t="shared" ca="1" si="17"/>
        <v>22.25</v>
      </c>
    </row>
    <row r="66" spans="1:10" x14ac:dyDescent="0.25">
      <c r="A66">
        <f t="shared" si="3"/>
        <v>4.5833333333333337E-2</v>
      </c>
      <c r="B66">
        <f t="shared" si="4"/>
        <v>-130.89919348320427</v>
      </c>
      <c r="C66">
        <f t="shared" si="18"/>
        <v>1.1025251892005095E-15</v>
      </c>
      <c r="D66">
        <f t="shared" si="5"/>
        <v>-1</v>
      </c>
      <c r="E66">
        <f t="shared" si="12"/>
        <v>-1.4431965806126388E-13</v>
      </c>
      <c r="F66">
        <f t="shared" si="13"/>
        <v>130.89919348320427</v>
      </c>
      <c r="G66">
        <f t="shared" ca="1" si="14"/>
        <v>37.866812911568495</v>
      </c>
      <c r="H66">
        <f t="shared" ca="1" si="15"/>
        <v>92.558819711973797</v>
      </c>
      <c r="I66">
        <f t="shared" ca="1" si="16"/>
        <v>100.00515299999995</v>
      </c>
      <c r="J66">
        <f t="shared" ca="1" si="17"/>
        <v>22.25</v>
      </c>
    </row>
    <row r="67" spans="1:10" x14ac:dyDescent="0.25">
      <c r="A67">
        <f t="shared" si="3"/>
        <v>4.6666666666666669E-2</v>
      </c>
      <c r="B67">
        <f t="shared" si="4"/>
        <v>-107.94396820134297</v>
      </c>
      <c r="C67">
        <f t="shared" si="18"/>
        <v>0.30901699437494679</v>
      </c>
      <c r="D67">
        <f t="shared" si="5"/>
        <v>-0.95105651629515375</v>
      </c>
      <c r="E67">
        <f t="shared" si="12"/>
        <v>-33.356520614483834</v>
      </c>
      <c r="F67">
        <f t="shared" si="13"/>
        <v>102.6608143526441</v>
      </c>
      <c r="G67">
        <f t="shared" ca="1" si="14"/>
        <v>37.866812911568488</v>
      </c>
      <c r="H67">
        <f t="shared" ca="1" si="15"/>
        <v>92.558819711973797</v>
      </c>
      <c r="I67">
        <f t="shared" ca="1" si="16"/>
        <v>100.00515299999995</v>
      </c>
      <c r="J67">
        <f t="shared" ca="1" si="17"/>
        <v>22.249999999999993</v>
      </c>
    </row>
    <row r="68" spans="1:10" x14ac:dyDescent="0.25">
      <c r="A68">
        <f t="shared" si="3"/>
        <v>4.7500000000000001E-2</v>
      </c>
      <c r="B68">
        <f t="shared" si="4"/>
        <v>-74.422435222084033</v>
      </c>
      <c r="C68">
        <f t="shared" si="18"/>
        <v>0.58778525229247114</v>
      </c>
      <c r="D68">
        <f t="shared" si="5"/>
        <v>-0.80901699437494889</v>
      </c>
      <c r="E68">
        <f t="shared" si="12"/>
        <v>-43.744409863232754</v>
      </c>
      <c r="F68">
        <f t="shared" si="13"/>
        <v>60.209014857434759</v>
      </c>
      <c r="G68">
        <f t="shared" ca="1" si="14"/>
        <v>37.866812911568495</v>
      </c>
      <c r="H68">
        <f t="shared" ca="1" si="15"/>
        <v>92.558819711973797</v>
      </c>
      <c r="I68">
        <f t="shared" ca="1" si="16"/>
        <v>100.00515299999995</v>
      </c>
      <c r="J68">
        <f t="shared" ca="1" si="17"/>
        <v>22.25</v>
      </c>
    </row>
    <row r="69" spans="1:10" x14ac:dyDescent="0.25">
      <c r="A69">
        <f t="shared" si="3"/>
        <v>4.8333333333333339E-2</v>
      </c>
      <c r="B69">
        <f t="shared" si="4"/>
        <v>-33.615915751690544</v>
      </c>
      <c r="C69">
        <f t="shared" si="18"/>
        <v>0.80901699437494701</v>
      </c>
      <c r="D69">
        <f t="shared" si="5"/>
        <v>-0.58778525229247369</v>
      </c>
      <c r="E69">
        <f t="shared" si="12"/>
        <v>-27.19584712459412</v>
      </c>
      <c r="F69">
        <f t="shared" si="13"/>
        <v>19.758939521149966</v>
      </c>
      <c r="G69">
        <f t="shared" ca="1" si="14"/>
        <v>37.866812911568516</v>
      </c>
      <c r="H69">
        <f t="shared" ca="1" si="15"/>
        <v>92.558819711973811</v>
      </c>
      <c r="I69">
        <f t="shared" ca="1" si="16"/>
        <v>100.00515299999998</v>
      </c>
      <c r="J69">
        <f t="shared" ca="1" si="17"/>
        <v>22.250000000000011</v>
      </c>
    </row>
    <row r="70" spans="1:10" x14ac:dyDescent="0.25">
      <c r="A70">
        <f t="shared" si="3"/>
        <v>4.9166666666666671E-2</v>
      </c>
      <c r="B70">
        <f t="shared" si="4"/>
        <v>10.481163768335687</v>
      </c>
      <c r="C70">
        <f t="shared" si="18"/>
        <v>0.95105651629515386</v>
      </c>
      <c r="D70">
        <f t="shared" si="5"/>
        <v>-0.3090169943749464</v>
      </c>
      <c r="E70">
        <f t="shared" si="12"/>
        <v>9.9681791002323248</v>
      </c>
      <c r="F70">
        <f t="shared" si="13"/>
        <v>-3.2388577252426809</v>
      </c>
      <c r="G70">
        <f t="shared" ca="1" si="14"/>
        <v>37.866812911568537</v>
      </c>
      <c r="H70">
        <f t="shared" ca="1" si="15"/>
        <v>92.558819711973797</v>
      </c>
      <c r="I70">
        <f t="shared" ca="1" si="16"/>
        <v>100.00515299999998</v>
      </c>
      <c r="J70">
        <f t="shared" ca="1" si="17"/>
        <v>22.250000000000025</v>
      </c>
    </row>
    <row r="71" spans="1:10" x14ac:dyDescent="0.25">
      <c r="A71">
        <f t="shared" si="3"/>
        <v>0.05</v>
      </c>
      <c r="B71">
        <f t="shared" si="4"/>
        <v>53.552273952154714</v>
      </c>
      <c r="C71">
        <f t="shared" si="18"/>
        <v>1</v>
      </c>
      <c r="D71">
        <f t="shared" si="5"/>
        <v>-7.3508907294517201E-16</v>
      </c>
      <c r="E71">
        <f t="shared" si="12"/>
        <v>53.552273952154714</v>
      </c>
      <c r="F71">
        <f t="shared" si="13"/>
        <v>-3.9365691413595292E-14</v>
      </c>
      <c r="G71">
        <f t="shared" ca="1" si="14"/>
        <v>37.866812911568573</v>
      </c>
      <c r="H71">
        <f t="shared" ca="1" si="15"/>
        <v>92.558819711973811</v>
      </c>
      <c r="I71">
        <f t="shared" ca="1" si="16"/>
        <v>100.00515300000001</v>
      </c>
      <c r="J71">
        <f t="shared" ca="1" si="17"/>
        <v>22.250000000000039</v>
      </c>
    </row>
    <row r="72" spans="1:10" x14ac:dyDescent="0.25">
      <c r="A72">
        <f t="shared" si="3"/>
        <v>5.0833333333333335E-2</v>
      </c>
      <c r="B72">
        <f t="shared" si="4"/>
        <v>91.381314440904291</v>
      </c>
      <c r="C72">
        <f t="shared" si="18"/>
        <v>0.95105651629515431</v>
      </c>
      <c r="D72">
        <f t="shared" si="5"/>
        <v>0.30901699437494501</v>
      </c>
      <c r="E72">
        <f t="shared" si="12"/>
        <v>86.908794566638505</v>
      </c>
      <c r="F72">
        <f t="shared" si="13"/>
        <v>28.238379130560002</v>
      </c>
      <c r="G72">
        <f t="shared" ca="1" si="14"/>
        <v>37.86681291156858</v>
      </c>
      <c r="H72">
        <f t="shared" ca="1" si="15"/>
        <v>92.558819711973783</v>
      </c>
      <c r="I72">
        <f t="shared" ca="1" si="16"/>
        <v>100.00515299999998</v>
      </c>
      <c r="J72">
        <f t="shared" ca="1" si="17"/>
        <v>22.250000000000046</v>
      </c>
    </row>
    <row r="73" spans="1:10" x14ac:dyDescent="0.25">
      <c r="A73">
        <f t="shared" si="3"/>
        <v>5.1666666666666673E-2</v>
      </c>
      <c r="B73">
        <f t="shared" si="4"/>
        <v>120.26531518112252</v>
      </c>
      <c r="C73">
        <f t="shared" si="18"/>
        <v>0.8090169943749479</v>
      </c>
      <c r="D73">
        <f t="shared" si="5"/>
        <v>0.58778525229247247</v>
      </c>
      <c r="E73">
        <f t="shared" si="12"/>
        <v>97.296683815387524</v>
      </c>
      <c r="F73">
        <f t="shared" si="13"/>
        <v>70.690178625769818</v>
      </c>
      <c r="G73">
        <f t="shared" ca="1" si="14"/>
        <v>37.86681291156858</v>
      </c>
      <c r="H73">
        <f t="shared" ca="1" si="15"/>
        <v>92.558819711973797</v>
      </c>
      <c r="I73">
        <f t="shared" ca="1" si="16"/>
        <v>100.00515299999999</v>
      </c>
      <c r="J73">
        <f t="shared" ca="1" si="17"/>
        <v>22.250000000000043</v>
      </c>
    </row>
    <row r="74" spans="1:10" x14ac:dyDescent="0.25">
      <c r="A74">
        <f t="shared" si="3"/>
        <v>5.2500000000000005E-2</v>
      </c>
      <c r="B74">
        <f t="shared" si="4"/>
        <v>137.37690893368966</v>
      </c>
      <c r="C74">
        <f t="shared" si="18"/>
        <v>0.58778525229247236</v>
      </c>
      <c r="D74">
        <f t="shared" si="5"/>
        <v>0.80901699437494801</v>
      </c>
      <c r="E74">
        <f t="shared" si="12"/>
        <v>80.748121076748774</v>
      </c>
      <c r="F74">
        <f t="shared" si="13"/>
        <v>111.14025396205456</v>
      </c>
      <c r="G74">
        <f t="shared" ca="1" si="14"/>
        <v>37.86681291156858</v>
      </c>
      <c r="H74">
        <f t="shared" ca="1" si="15"/>
        <v>92.558819711973811</v>
      </c>
      <c r="I74">
        <f t="shared" ca="1" si="16"/>
        <v>100.00515300000001</v>
      </c>
      <c r="J74">
        <f t="shared" ca="1" si="17"/>
        <v>22.250000000000043</v>
      </c>
    </row>
    <row r="75" spans="1:10" x14ac:dyDescent="0.25">
      <c r="A75">
        <f t="shared" si="3"/>
        <v>5.3333333333333337E-2</v>
      </c>
      <c r="B75">
        <f t="shared" si="4"/>
        <v>141.04109367862026</v>
      </c>
      <c r="C75">
        <f t="shared" si="18"/>
        <v>0.30901699437494817</v>
      </c>
      <c r="D75">
        <f t="shared" si="5"/>
        <v>0.95105651629515331</v>
      </c>
      <c r="E75">
        <f t="shared" si="12"/>
        <v>43.584094851922735</v>
      </c>
      <c r="F75">
        <f t="shared" si="13"/>
        <v>134.13805120844694</v>
      </c>
      <c r="G75">
        <f t="shared" ca="1" si="14"/>
        <v>37.866812911568559</v>
      </c>
      <c r="H75">
        <f t="shared" ca="1" si="15"/>
        <v>92.558819711973811</v>
      </c>
      <c r="I75">
        <f t="shared" ca="1" si="16"/>
        <v>100.00515299999999</v>
      </c>
      <c r="J75">
        <f t="shared" ca="1" si="17"/>
        <v>22.250000000000032</v>
      </c>
    </row>
    <row r="76" spans="1:10" x14ac:dyDescent="0.25">
      <c r="A76">
        <f t="shared" ref="A76:A139" si="19">(ROW($A76)-ROW($A$11))*$B$4+$B$5</f>
        <v>5.4166666666666669E-2</v>
      </c>
      <c r="B76">
        <f t="shared" ref="B76:B99" si="20">$B$6*SIN((A76*$C$1)+$C$7)</f>
        <v>130.89919348320447</v>
      </c>
      <c r="C76">
        <f t="shared" si="18"/>
        <v>2.5727033350908535E-15</v>
      </c>
      <c r="D76">
        <f t="shared" ref="D76:D139" si="21">SIN(($A76-$B$5)*$C$1)</f>
        <v>1</v>
      </c>
      <c r="E76">
        <f t="shared" si="12"/>
        <v>3.3676479163494306E-13</v>
      </c>
      <c r="F76">
        <f t="shared" si="13"/>
        <v>130.89919348320447</v>
      </c>
      <c r="G76">
        <f t="shared" ca="1" si="14"/>
        <v>37.866812911568594</v>
      </c>
      <c r="H76">
        <f t="shared" ca="1" si="15"/>
        <v>92.558819711973811</v>
      </c>
      <c r="I76">
        <f t="shared" ca="1" si="16"/>
        <v>100.00515300000001</v>
      </c>
      <c r="J76">
        <f t="shared" ca="1" si="17"/>
        <v>22.25000000000005</v>
      </c>
    </row>
    <row r="77" spans="1:10" x14ac:dyDescent="0.25">
      <c r="A77">
        <f t="shared" si="19"/>
        <v>5.5E-2</v>
      </c>
      <c r="B77">
        <f t="shared" si="20"/>
        <v>107.94396820134298</v>
      </c>
      <c r="C77">
        <f t="shared" si="18"/>
        <v>-0.30901699437494667</v>
      </c>
      <c r="D77">
        <f t="shared" si="21"/>
        <v>0.95105651629515386</v>
      </c>
      <c r="E77">
        <f t="shared" si="12"/>
        <v>-33.356520614483827</v>
      </c>
      <c r="F77">
        <f t="shared" si="13"/>
        <v>102.66081435264412</v>
      </c>
      <c r="G77">
        <f t="shared" ca="1" si="14"/>
        <v>37.866812911568601</v>
      </c>
      <c r="H77">
        <f t="shared" ca="1" si="15"/>
        <v>92.558819711973797</v>
      </c>
      <c r="I77">
        <f t="shared" ca="1" si="16"/>
        <v>100.00515300000001</v>
      </c>
      <c r="J77">
        <f t="shared" ca="1" si="17"/>
        <v>22.250000000000057</v>
      </c>
    </row>
    <row r="78" spans="1:10" x14ac:dyDescent="0.25">
      <c r="A78">
        <f t="shared" si="19"/>
        <v>5.5833333333333339E-2</v>
      </c>
      <c r="B78">
        <f t="shared" si="20"/>
        <v>74.422435222083607</v>
      </c>
      <c r="C78">
        <f t="shared" si="18"/>
        <v>-0.58778525229247391</v>
      </c>
      <c r="D78">
        <f t="shared" si="21"/>
        <v>0.8090169943749469</v>
      </c>
      <c r="E78">
        <f t="shared" si="12"/>
        <v>-43.744409863232711</v>
      </c>
      <c r="F78">
        <f t="shared" si="13"/>
        <v>60.209014857434262</v>
      </c>
      <c r="G78">
        <f t="shared" ca="1" si="14"/>
        <v>37.866812911568616</v>
      </c>
      <c r="H78">
        <f t="shared" ca="1" si="15"/>
        <v>92.558819711973783</v>
      </c>
      <c r="I78">
        <f t="shared" ca="1" si="16"/>
        <v>100.00515299999998</v>
      </c>
      <c r="J78">
        <f t="shared" ca="1" si="17"/>
        <v>22.250000000000064</v>
      </c>
    </row>
    <row r="79" spans="1:10" x14ac:dyDescent="0.25">
      <c r="A79">
        <f t="shared" si="19"/>
        <v>5.6666666666666671E-2</v>
      </c>
      <c r="B79">
        <f t="shared" si="20"/>
        <v>33.615915751690558</v>
      </c>
      <c r="C79">
        <f t="shared" si="18"/>
        <v>-0.8090169943749469</v>
      </c>
      <c r="D79">
        <f t="shared" si="21"/>
        <v>0.5877852522924738</v>
      </c>
      <c r="E79">
        <f t="shared" si="12"/>
        <v>-27.195847124594128</v>
      </c>
      <c r="F79">
        <f t="shared" si="13"/>
        <v>19.75893952114998</v>
      </c>
      <c r="G79">
        <f t="shared" ca="1" si="14"/>
        <v>37.866812911568616</v>
      </c>
      <c r="H79">
        <f t="shared" ca="1" si="15"/>
        <v>92.558819711973783</v>
      </c>
      <c r="I79">
        <f t="shared" ca="1" si="16"/>
        <v>100.00515299999998</v>
      </c>
      <c r="J79">
        <f t="shared" ca="1" si="17"/>
        <v>22.250000000000064</v>
      </c>
    </row>
    <row r="80" spans="1:10" x14ac:dyDescent="0.25">
      <c r="A80">
        <f t="shared" si="19"/>
        <v>5.7500000000000002E-2</v>
      </c>
      <c r="B80">
        <f t="shared" si="20"/>
        <v>-10.48116376833517</v>
      </c>
      <c r="C80">
        <f t="shared" si="18"/>
        <v>-0.95105651629515275</v>
      </c>
      <c r="D80">
        <f t="shared" si="21"/>
        <v>0.30901699437494989</v>
      </c>
      <c r="E80">
        <f t="shared" si="12"/>
        <v>9.9681791002318221</v>
      </c>
      <c r="F80">
        <f t="shared" si="13"/>
        <v>-3.2388577252425579</v>
      </c>
      <c r="G80">
        <f t="shared" ca="1" si="14"/>
        <v>37.866812911568644</v>
      </c>
      <c r="H80">
        <f t="shared" ca="1" si="15"/>
        <v>92.558819711973769</v>
      </c>
      <c r="I80">
        <f t="shared" ca="1" si="16"/>
        <v>100.00515299999998</v>
      </c>
      <c r="J80">
        <f t="shared" ca="1" si="17"/>
        <v>22.250000000000089</v>
      </c>
    </row>
    <row r="81" spans="1:10" x14ac:dyDescent="0.25">
      <c r="A81">
        <f t="shared" si="19"/>
        <v>5.8333333333333334E-2</v>
      </c>
      <c r="B81">
        <f t="shared" si="20"/>
        <v>-53.552273952154692</v>
      </c>
      <c r="C81">
        <f t="shared" si="18"/>
        <v>-1</v>
      </c>
      <c r="D81">
        <f t="shared" si="21"/>
        <v>8.5760391843603401E-16</v>
      </c>
      <c r="E81">
        <f t="shared" si="12"/>
        <v>53.552273952154692</v>
      </c>
      <c r="F81">
        <f t="shared" si="13"/>
        <v>-4.5926639982527822E-14</v>
      </c>
      <c r="G81">
        <f t="shared" ca="1" si="14"/>
        <v>37.866812911568637</v>
      </c>
      <c r="H81">
        <f t="shared" ca="1" si="15"/>
        <v>92.558819711973783</v>
      </c>
      <c r="I81">
        <f t="shared" ca="1" si="16"/>
        <v>100.00515299999999</v>
      </c>
      <c r="J81">
        <f t="shared" ca="1" si="17"/>
        <v>22.250000000000075</v>
      </c>
    </row>
    <row r="82" spans="1:10" x14ac:dyDescent="0.25">
      <c r="A82">
        <f t="shared" si="19"/>
        <v>5.9166666666666673E-2</v>
      </c>
      <c r="B82">
        <f t="shared" si="20"/>
        <v>-91.381314440904646</v>
      </c>
      <c r="C82">
        <f t="shared" si="18"/>
        <v>-0.95105651629515331</v>
      </c>
      <c r="D82">
        <f t="shared" si="21"/>
        <v>-0.30901699437494828</v>
      </c>
      <c r="E82">
        <f t="shared" si="12"/>
        <v>86.908794566638761</v>
      </c>
      <c r="F82">
        <f t="shared" si="13"/>
        <v>28.238379130560411</v>
      </c>
      <c r="G82">
        <f t="shared" ca="1" si="14"/>
        <v>37.866812911568651</v>
      </c>
      <c r="H82">
        <f t="shared" ca="1" si="15"/>
        <v>92.558819711973797</v>
      </c>
      <c r="I82">
        <f t="shared" ca="1" si="16"/>
        <v>100.00515300000002</v>
      </c>
      <c r="J82">
        <f t="shared" ca="1" si="17"/>
        <v>22.250000000000082</v>
      </c>
    </row>
    <row r="83" spans="1:10" x14ac:dyDescent="0.25">
      <c r="A83">
        <f t="shared" si="19"/>
        <v>6.0000000000000005E-2</v>
      </c>
      <c r="B83">
        <f t="shared" si="20"/>
        <v>-120.26531518112252</v>
      </c>
      <c r="C83">
        <f t="shared" si="18"/>
        <v>-0.8090169943749479</v>
      </c>
      <c r="D83">
        <f t="shared" si="21"/>
        <v>-0.58778525229247247</v>
      </c>
      <c r="E83">
        <f t="shared" si="12"/>
        <v>97.296683815387524</v>
      </c>
      <c r="F83">
        <f t="shared" si="13"/>
        <v>70.690178625769818</v>
      </c>
      <c r="G83">
        <f t="shared" ca="1" si="14"/>
        <v>37.866812911568658</v>
      </c>
      <c r="H83">
        <f t="shared" ca="1" si="15"/>
        <v>92.558819711973797</v>
      </c>
      <c r="I83">
        <f t="shared" ca="1" si="16"/>
        <v>100.00515300000002</v>
      </c>
      <c r="J83">
        <f t="shared" ca="1" si="17"/>
        <v>22.250000000000089</v>
      </c>
    </row>
    <row r="84" spans="1:10" x14ac:dyDescent="0.25">
      <c r="A84">
        <f t="shared" si="19"/>
        <v>6.0833333333333336E-2</v>
      </c>
      <c r="B84">
        <f t="shared" si="20"/>
        <v>-137.37690893368955</v>
      </c>
      <c r="C84">
        <f t="shared" si="18"/>
        <v>-0.58778525229247525</v>
      </c>
      <c r="D84">
        <f t="shared" si="21"/>
        <v>-0.8090169943749459</v>
      </c>
      <c r="E84">
        <f t="shared" si="12"/>
        <v>80.748121076749115</v>
      </c>
      <c r="F84">
        <f t="shared" si="13"/>
        <v>111.14025396205417</v>
      </c>
      <c r="G84">
        <f t="shared" ca="1" si="14"/>
        <v>37.866812911568658</v>
      </c>
      <c r="H84">
        <f t="shared" ca="1" si="15"/>
        <v>92.558819711973783</v>
      </c>
      <c r="I84">
        <f t="shared" ca="1" si="16"/>
        <v>100.00515300000001</v>
      </c>
      <c r="J84">
        <f t="shared" ca="1" si="17"/>
        <v>22.250000000000089</v>
      </c>
    </row>
    <row r="85" spans="1:10" x14ac:dyDescent="0.25">
      <c r="A85">
        <f t="shared" si="19"/>
        <v>6.1666666666666668E-2</v>
      </c>
      <c r="B85">
        <f t="shared" si="20"/>
        <v>-141.04109367862026</v>
      </c>
      <c r="C85">
        <f t="shared" si="18"/>
        <v>-0.30901699437494828</v>
      </c>
      <c r="D85">
        <f t="shared" si="21"/>
        <v>-0.95105651629515331</v>
      </c>
      <c r="E85">
        <f t="shared" si="12"/>
        <v>43.58409485192275</v>
      </c>
      <c r="F85">
        <f t="shared" si="13"/>
        <v>134.13805120844694</v>
      </c>
      <c r="G85">
        <f t="shared" ca="1" si="14"/>
        <v>37.866812911568658</v>
      </c>
      <c r="H85">
        <f t="shared" ca="1" si="15"/>
        <v>92.558819711973769</v>
      </c>
      <c r="I85">
        <f t="shared" ca="1" si="16"/>
        <v>100.00515299999999</v>
      </c>
      <c r="J85">
        <f t="shared" ca="1" si="17"/>
        <v>22.250000000000092</v>
      </c>
    </row>
    <row r="86" spans="1:10" x14ac:dyDescent="0.25">
      <c r="A86">
        <f t="shared" si="19"/>
        <v>6.25E-2</v>
      </c>
      <c r="B86">
        <f t="shared" si="20"/>
        <v>-130.89919348320447</v>
      </c>
      <c r="C86">
        <f t="shared" si="18"/>
        <v>-2.6952181805817155E-15</v>
      </c>
      <c r="D86">
        <f t="shared" si="21"/>
        <v>-1</v>
      </c>
      <c r="E86">
        <f t="shared" si="12"/>
        <v>3.5280188609941631E-13</v>
      </c>
      <c r="F86">
        <f t="shared" si="13"/>
        <v>130.89919348320447</v>
      </c>
      <c r="G86">
        <f t="shared" ca="1" si="14"/>
        <v>37.866812911568694</v>
      </c>
      <c r="H86">
        <f t="shared" ca="1" si="15"/>
        <v>92.558819711973783</v>
      </c>
      <c r="I86">
        <f t="shared" ca="1" si="16"/>
        <v>100.00515300000002</v>
      </c>
      <c r="J86">
        <f t="shared" ca="1" si="17"/>
        <v>22.25000000000011</v>
      </c>
    </row>
    <row r="87" spans="1:10" x14ac:dyDescent="0.25">
      <c r="A87">
        <f t="shared" si="19"/>
        <v>6.3333333333333339E-2</v>
      </c>
      <c r="B87">
        <f t="shared" si="20"/>
        <v>-107.94396820134301</v>
      </c>
      <c r="C87">
        <f t="shared" si="18"/>
        <v>0.30901699437494656</v>
      </c>
      <c r="D87">
        <f t="shared" si="21"/>
        <v>-0.95105651629515386</v>
      </c>
      <c r="E87">
        <f t="shared" si="12"/>
        <v>-33.356520614483827</v>
      </c>
      <c r="F87">
        <f t="shared" si="13"/>
        <v>102.66081435264415</v>
      </c>
      <c r="G87">
        <f t="shared" ca="1" si="14"/>
        <v>37.866812911568701</v>
      </c>
      <c r="H87">
        <f t="shared" ca="1" si="15"/>
        <v>92.558819711973783</v>
      </c>
      <c r="I87">
        <f t="shared" ca="1" si="16"/>
        <v>100.00515300000002</v>
      </c>
      <c r="J87">
        <f t="shared" ca="1" si="17"/>
        <v>22.25000000000011</v>
      </c>
    </row>
    <row r="88" spans="1:10" x14ac:dyDescent="0.25">
      <c r="A88">
        <f t="shared" si="19"/>
        <v>6.4166666666666677E-2</v>
      </c>
      <c r="B88">
        <f t="shared" si="20"/>
        <v>-74.422435222083621</v>
      </c>
      <c r="C88">
        <f t="shared" si="18"/>
        <v>0.5877852522924738</v>
      </c>
      <c r="D88">
        <f t="shared" si="21"/>
        <v>-0.8090169943749469</v>
      </c>
      <c r="E88">
        <f t="shared" si="12"/>
        <v>-43.744409863232711</v>
      </c>
      <c r="F88">
        <f t="shared" si="13"/>
        <v>60.209014857434276</v>
      </c>
      <c r="G88">
        <f t="shared" ca="1" si="14"/>
        <v>37.866812911568701</v>
      </c>
      <c r="H88">
        <f t="shared" ca="1" si="15"/>
        <v>92.558819711973754</v>
      </c>
      <c r="I88">
        <f t="shared" ca="1" si="16"/>
        <v>100.00515299999999</v>
      </c>
      <c r="J88">
        <f t="shared" ca="1" si="17"/>
        <v>22.250000000000121</v>
      </c>
    </row>
    <row r="89" spans="1:10" x14ac:dyDescent="0.25">
      <c r="A89">
        <f t="shared" si="19"/>
        <v>6.5000000000000002E-2</v>
      </c>
      <c r="B89">
        <f t="shared" si="20"/>
        <v>-33.615915751690579</v>
      </c>
      <c r="C89">
        <f t="shared" si="18"/>
        <v>0.8090169943749469</v>
      </c>
      <c r="D89">
        <f t="shared" si="21"/>
        <v>-0.58778525229247391</v>
      </c>
      <c r="E89">
        <f t="shared" si="12"/>
        <v>-27.195847124594145</v>
      </c>
      <c r="F89">
        <f t="shared" si="13"/>
        <v>19.758939521149994</v>
      </c>
      <c r="G89">
        <f t="shared" ca="1" si="14"/>
        <v>37.866812911568701</v>
      </c>
      <c r="H89">
        <f t="shared" ca="1" si="15"/>
        <v>92.558819711973769</v>
      </c>
      <c r="I89">
        <f t="shared" ca="1" si="16"/>
        <v>100.00515300000001</v>
      </c>
      <c r="J89">
        <f t="shared" ca="1" si="17"/>
        <v>22.250000000000114</v>
      </c>
    </row>
    <row r="90" spans="1:10" x14ac:dyDescent="0.25">
      <c r="A90">
        <f t="shared" si="19"/>
        <v>6.5833333333333341E-2</v>
      </c>
      <c r="B90">
        <f t="shared" si="20"/>
        <v>10.481163768335652</v>
      </c>
      <c r="C90">
        <f t="shared" si="18"/>
        <v>0.95105651629515386</v>
      </c>
      <c r="D90">
        <f t="shared" si="21"/>
        <v>-0.30901699437494667</v>
      </c>
      <c r="E90">
        <f t="shared" ref="E90:E153" si="22">$B90*C90</f>
        <v>9.968179100232291</v>
      </c>
      <c r="F90">
        <f t="shared" ref="F90:F153" si="23">$B90*D90</f>
        <v>-3.2388577252426729</v>
      </c>
      <c r="G90">
        <f t="shared" ref="G90:G153" ca="1" si="24">IF((ROW($A90)-ROW($A$11))&lt;$B$2-1,"",(1.4142/$B$2)*SUM(OFFSET(E90,-$B$2+1,0,$B$2,1)))</f>
        <v>37.866812911568694</v>
      </c>
      <c r="H90">
        <f t="shared" ref="H90:H153" ca="1" si="25">IF((ROW($A90)-ROW($A$11))&lt;$B$2-1,"",(1.4142/$B$2)*SUM(OFFSET(F90,-$B$2+1,0,$B$2,1)))</f>
        <v>92.558819711973769</v>
      </c>
      <c r="I90">
        <f t="shared" ref="I90:I153" ca="1" si="26">IF(G90="","",SQRT(G90^2+H90^2))</f>
        <v>100.00515300000001</v>
      </c>
      <c r="J90">
        <f t="shared" ref="J90:J153" ca="1" si="27">IF(G90="","",ATAN2(H90,G90)*180/PI())</f>
        <v>22.25000000000011</v>
      </c>
    </row>
    <row r="91" spans="1:10" x14ac:dyDescent="0.25">
      <c r="A91">
        <f t="shared" si="19"/>
        <v>6.6666666666666666E-2</v>
      </c>
      <c r="B91">
        <f t="shared" si="20"/>
        <v>53.552273952154216</v>
      </c>
      <c r="C91">
        <f t="shared" ref="C91:C154" si="28">COS(($A91-$B$5)*$C$1)</f>
        <v>1</v>
      </c>
      <c r="D91">
        <f t="shared" si="21"/>
        <v>-4.5328324427273969E-15</v>
      </c>
      <c r="E91">
        <f t="shared" si="22"/>
        <v>53.552273952154216</v>
      </c>
      <c r="F91">
        <f t="shared" si="23"/>
        <v>-2.4274348475214996E-13</v>
      </c>
      <c r="G91">
        <f t="shared" ca="1" si="24"/>
        <v>37.866812911568665</v>
      </c>
      <c r="H91">
        <f t="shared" ca="1" si="25"/>
        <v>92.558819711973754</v>
      </c>
      <c r="I91">
        <f t="shared" ca="1" si="26"/>
        <v>100.00515299999998</v>
      </c>
      <c r="J91">
        <f t="shared" ca="1" si="27"/>
        <v>22.250000000000096</v>
      </c>
    </row>
    <row r="92" spans="1:10" x14ac:dyDescent="0.25">
      <c r="A92">
        <f t="shared" si="19"/>
        <v>6.7500000000000004E-2</v>
      </c>
      <c r="B92">
        <f t="shared" si="20"/>
        <v>91.381314440904262</v>
      </c>
      <c r="C92">
        <f t="shared" si="28"/>
        <v>0.95105651629515442</v>
      </c>
      <c r="D92">
        <f t="shared" si="21"/>
        <v>0.30901699437494479</v>
      </c>
      <c r="E92">
        <f t="shared" si="22"/>
        <v>86.908794566638491</v>
      </c>
      <c r="F92">
        <f t="shared" si="23"/>
        <v>28.238379130559974</v>
      </c>
      <c r="G92">
        <f t="shared" ca="1" si="24"/>
        <v>37.866812911568665</v>
      </c>
      <c r="H92">
        <f t="shared" ca="1" si="25"/>
        <v>92.55881971197374</v>
      </c>
      <c r="I92">
        <f t="shared" ca="1" si="26"/>
        <v>100.00515299999996</v>
      </c>
      <c r="J92">
        <f t="shared" ca="1" si="27"/>
        <v>22.250000000000099</v>
      </c>
    </row>
    <row r="93" spans="1:10" x14ac:dyDescent="0.25">
      <c r="A93">
        <f t="shared" si="19"/>
        <v>6.8333333333333343E-2</v>
      </c>
      <c r="B93">
        <f t="shared" si="20"/>
        <v>120.2653151811225</v>
      </c>
      <c r="C93">
        <f t="shared" si="28"/>
        <v>0.80901699437494801</v>
      </c>
      <c r="D93">
        <f t="shared" si="21"/>
        <v>0.58778525229247236</v>
      </c>
      <c r="E93">
        <f t="shared" si="22"/>
        <v>97.296683815387539</v>
      </c>
      <c r="F93">
        <f t="shared" si="23"/>
        <v>70.690178625769803</v>
      </c>
      <c r="G93">
        <f t="shared" ca="1" si="24"/>
        <v>37.866812911568658</v>
      </c>
      <c r="H93">
        <f t="shared" ca="1" si="25"/>
        <v>92.55881971197374</v>
      </c>
      <c r="I93">
        <f t="shared" ca="1" si="26"/>
        <v>100.00515299999996</v>
      </c>
      <c r="J93">
        <f t="shared" ca="1" si="27"/>
        <v>22.250000000000096</v>
      </c>
    </row>
    <row r="94" spans="1:10" x14ac:dyDescent="0.25">
      <c r="A94">
        <f t="shared" si="19"/>
        <v>6.9166666666666668E-2</v>
      </c>
      <c r="B94">
        <f t="shared" si="20"/>
        <v>137.37690893368952</v>
      </c>
      <c r="C94">
        <f t="shared" si="28"/>
        <v>0.58778525229247536</v>
      </c>
      <c r="D94">
        <f t="shared" si="21"/>
        <v>0.80901699437494579</v>
      </c>
      <c r="E94">
        <f t="shared" si="22"/>
        <v>80.748121076749101</v>
      </c>
      <c r="F94">
        <f t="shared" si="23"/>
        <v>111.14025396205413</v>
      </c>
      <c r="G94">
        <f t="shared" ca="1" si="24"/>
        <v>37.86681291156868</v>
      </c>
      <c r="H94">
        <f t="shared" ca="1" si="25"/>
        <v>92.558819711973712</v>
      </c>
      <c r="I94">
        <f t="shared" ca="1" si="26"/>
        <v>100.00515299999995</v>
      </c>
      <c r="J94">
        <f t="shared" ca="1" si="27"/>
        <v>22.250000000000114</v>
      </c>
    </row>
    <row r="95" spans="1:10" x14ac:dyDescent="0.25">
      <c r="A95">
        <f t="shared" si="19"/>
        <v>7.0000000000000007E-2</v>
      </c>
      <c r="B95">
        <f t="shared" si="20"/>
        <v>141.04109367862026</v>
      </c>
      <c r="C95">
        <f t="shared" si="28"/>
        <v>0.30901699437494839</v>
      </c>
      <c r="D95">
        <f t="shared" si="21"/>
        <v>0.95105651629515331</v>
      </c>
      <c r="E95">
        <f t="shared" si="22"/>
        <v>43.584094851922764</v>
      </c>
      <c r="F95">
        <f t="shared" si="23"/>
        <v>134.13805120844694</v>
      </c>
      <c r="G95">
        <f t="shared" ca="1" si="24"/>
        <v>37.866812911568694</v>
      </c>
      <c r="H95">
        <f t="shared" ca="1" si="25"/>
        <v>92.558819711973712</v>
      </c>
      <c r="I95">
        <f t="shared" ca="1" si="26"/>
        <v>100.00515299999995</v>
      </c>
      <c r="J95">
        <f t="shared" ca="1" si="27"/>
        <v>22.250000000000124</v>
      </c>
    </row>
    <row r="96" spans="1:10" x14ac:dyDescent="0.25">
      <c r="A96">
        <f t="shared" si="19"/>
        <v>7.0833333333333331E-2</v>
      </c>
      <c r="B96">
        <f t="shared" si="20"/>
        <v>130.89919348320447</v>
      </c>
      <c r="C96">
        <f t="shared" si="28"/>
        <v>2.8177330260725775E-15</v>
      </c>
      <c r="D96">
        <f t="shared" si="21"/>
        <v>1</v>
      </c>
      <c r="E96">
        <f t="shared" si="22"/>
        <v>3.6883898056388957E-13</v>
      </c>
      <c r="F96">
        <f t="shared" si="23"/>
        <v>130.89919348320447</v>
      </c>
      <c r="G96">
        <f t="shared" ca="1" si="24"/>
        <v>37.866812911568694</v>
      </c>
      <c r="H96">
        <f t="shared" ca="1" si="25"/>
        <v>92.558819711973712</v>
      </c>
      <c r="I96">
        <f t="shared" ca="1" si="26"/>
        <v>100.00515299999995</v>
      </c>
      <c r="J96">
        <f t="shared" ca="1" si="27"/>
        <v>22.250000000000124</v>
      </c>
    </row>
    <row r="97" spans="1:10" x14ac:dyDescent="0.25">
      <c r="A97">
        <f t="shared" si="19"/>
        <v>7.166666666666667E-2</v>
      </c>
      <c r="B97">
        <f t="shared" si="20"/>
        <v>107.94396820134303</v>
      </c>
      <c r="C97">
        <f t="shared" si="28"/>
        <v>-0.3090169943749464</v>
      </c>
      <c r="D97">
        <f t="shared" si="21"/>
        <v>0.95105651629515386</v>
      </c>
      <c r="E97">
        <f t="shared" si="22"/>
        <v>-33.356520614483813</v>
      </c>
      <c r="F97">
        <f t="shared" si="23"/>
        <v>102.66081435264417</v>
      </c>
      <c r="G97">
        <f t="shared" ca="1" si="24"/>
        <v>37.866812911568694</v>
      </c>
      <c r="H97">
        <f t="shared" ca="1" si="25"/>
        <v>92.558819711973698</v>
      </c>
      <c r="I97">
        <f t="shared" ca="1" si="26"/>
        <v>100.00515299999992</v>
      </c>
      <c r="J97">
        <f t="shared" ca="1" si="27"/>
        <v>22.250000000000128</v>
      </c>
    </row>
    <row r="98" spans="1:10" x14ac:dyDescent="0.25">
      <c r="A98">
        <f t="shared" si="19"/>
        <v>7.2500000000000009E-2</v>
      </c>
      <c r="B98">
        <f t="shared" si="20"/>
        <v>74.422435222083635</v>
      </c>
      <c r="C98">
        <f t="shared" si="28"/>
        <v>-0.58778525229247369</v>
      </c>
      <c r="D98">
        <f t="shared" si="21"/>
        <v>0.80901699437494701</v>
      </c>
      <c r="E98">
        <f t="shared" si="22"/>
        <v>-43.744409863232711</v>
      </c>
      <c r="F98">
        <f t="shared" si="23"/>
        <v>60.209014857434298</v>
      </c>
      <c r="G98">
        <f t="shared" ca="1" si="24"/>
        <v>37.866812911568694</v>
      </c>
      <c r="H98">
        <f t="shared" ca="1" si="25"/>
        <v>92.558819711973712</v>
      </c>
      <c r="I98">
        <f t="shared" ca="1" si="26"/>
        <v>100.00515299999995</v>
      </c>
      <c r="J98">
        <f t="shared" ca="1" si="27"/>
        <v>22.250000000000124</v>
      </c>
    </row>
    <row r="99" spans="1:10" x14ac:dyDescent="0.25">
      <c r="A99">
        <f t="shared" si="19"/>
        <v>7.3333333333333334E-2</v>
      </c>
      <c r="B99">
        <f t="shared" si="20"/>
        <v>33.615915751691077</v>
      </c>
      <c r="C99">
        <f t="shared" si="28"/>
        <v>-0.80901699437494468</v>
      </c>
      <c r="D99">
        <f t="shared" si="21"/>
        <v>0.58778525229247691</v>
      </c>
      <c r="E99">
        <f t="shared" si="22"/>
        <v>-27.195847124594472</v>
      </c>
      <c r="F99">
        <f t="shared" si="23"/>
        <v>19.758939521150388</v>
      </c>
      <c r="G99">
        <f t="shared" ca="1" si="24"/>
        <v>37.866812911568658</v>
      </c>
      <c r="H99">
        <f t="shared" ca="1" si="25"/>
        <v>92.55881971197374</v>
      </c>
      <c r="I99">
        <f t="shared" ca="1" si="26"/>
        <v>100.00515299999996</v>
      </c>
      <c r="J99">
        <f t="shared" ca="1" si="27"/>
        <v>22.250000000000096</v>
      </c>
    </row>
    <row r="100" spans="1:10" x14ac:dyDescent="0.25">
      <c r="A100">
        <f t="shared" si="19"/>
        <v>7.4166666666666672E-2</v>
      </c>
      <c r="B100">
        <f>1.5*$B$6*SIN((A100*$C$1)+1.25)</f>
        <v>-170.79752314749274</v>
      </c>
      <c r="C100">
        <f t="shared" si="28"/>
        <v>-0.95105651629515375</v>
      </c>
      <c r="D100">
        <f t="shared" si="21"/>
        <v>0.30901699437494679</v>
      </c>
      <c r="E100">
        <f t="shared" si="22"/>
        <v>162.43809735649532</v>
      </c>
      <c r="F100">
        <f t="shared" si="23"/>
        <v>-52.779337249723611</v>
      </c>
      <c r="G100">
        <f t="shared" ca="1" si="24"/>
        <v>48.647960831469057</v>
      </c>
      <c r="H100">
        <f t="shared" ca="1" si="25"/>
        <v>89.055812404797678</v>
      </c>
      <c r="I100">
        <f t="shared" ca="1" si="26"/>
        <v>101.47690287025252</v>
      </c>
      <c r="J100">
        <f t="shared" ca="1" si="27"/>
        <v>28.646179677831626</v>
      </c>
    </row>
    <row r="101" spans="1:10" x14ac:dyDescent="0.25">
      <c r="A101">
        <f t="shared" si="19"/>
        <v>7.5000000000000011E-2</v>
      </c>
      <c r="B101">
        <f t="shared" ref="B101:B164" si="29">1.5*$B$6*SIN((A101*$C$1)+1.25)</f>
        <v>-201.32234207319101</v>
      </c>
      <c r="C101">
        <f t="shared" si="28"/>
        <v>-1</v>
      </c>
      <c r="D101">
        <f t="shared" si="21"/>
        <v>-2.4500800693827429E-15</v>
      </c>
      <c r="E101">
        <f t="shared" si="22"/>
        <v>201.32234207319101</v>
      </c>
      <c r="F101">
        <f t="shared" si="23"/>
        <v>4.9325585783498013E-13</v>
      </c>
      <c r="G101">
        <f t="shared" ca="1" si="24"/>
        <v>59.096782348307535</v>
      </c>
      <c r="H101">
        <f t="shared" ca="1" si="25"/>
        <v>89.055812404797734</v>
      </c>
      <c r="I101">
        <f t="shared" ca="1" si="26"/>
        <v>106.88015441138621</v>
      </c>
      <c r="J101">
        <f t="shared" ca="1" si="27"/>
        <v>33.567959481189199</v>
      </c>
    </row>
    <row r="102" spans="1:10" x14ac:dyDescent="0.25">
      <c r="A102">
        <f t="shared" si="19"/>
        <v>7.5833333333333336E-2</v>
      </c>
      <c r="B102">
        <f t="shared" si="29"/>
        <v>-212.14032746152756</v>
      </c>
      <c r="C102">
        <f t="shared" si="28"/>
        <v>-0.95105651629515442</v>
      </c>
      <c r="D102">
        <f t="shared" si="21"/>
        <v>-0.30901699437494468</v>
      </c>
      <c r="E102">
        <f t="shared" si="22"/>
        <v>201.75744080127367</v>
      </c>
      <c r="F102">
        <f t="shared" si="23"/>
        <v>65.55496637787779</v>
      </c>
      <c r="G102">
        <f t="shared" ca="1" si="24"/>
        <v>67.217730123558567</v>
      </c>
      <c r="H102">
        <f t="shared" ca="1" si="25"/>
        <v>91.694468289055521</v>
      </c>
      <c r="I102">
        <f t="shared" ca="1" si="26"/>
        <v>113.69300223749993</v>
      </c>
      <c r="J102">
        <f t="shared" ca="1" si="27"/>
        <v>36.243726793528673</v>
      </c>
    </row>
    <row r="103" spans="1:10" x14ac:dyDescent="0.25">
      <c r="A103">
        <f t="shared" si="19"/>
        <v>7.6666666666666675E-2</v>
      </c>
      <c r="B103">
        <f t="shared" si="29"/>
        <v>-202.19253952935625</v>
      </c>
      <c r="C103">
        <f t="shared" si="28"/>
        <v>-0.80901699437494812</v>
      </c>
      <c r="D103">
        <f t="shared" si="21"/>
        <v>-0.58778525229247225</v>
      </c>
      <c r="E103">
        <f t="shared" si="22"/>
        <v>163.57720061507769</v>
      </c>
      <c r="F103">
        <f t="shared" si="23"/>
        <v>118.84579285891833</v>
      </c>
      <c r="G103">
        <f t="shared" ca="1" si="24"/>
        <v>71.904425466464659</v>
      </c>
      <c r="H103">
        <f t="shared" ca="1" si="25"/>
        <v>95.099551771481458</v>
      </c>
      <c r="I103">
        <f t="shared" ca="1" si="26"/>
        <v>119.22319887001461</v>
      </c>
      <c r="J103">
        <f t="shared" ca="1" si="27"/>
        <v>37.092793720267906</v>
      </c>
    </row>
    <row r="104" spans="1:10" x14ac:dyDescent="0.25">
      <c r="A104">
        <f t="shared" si="19"/>
        <v>7.7499999999999999E-2</v>
      </c>
      <c r="B104">
        <f t="shared" si="29"/>
        <v>-172.45273706979202</v>
      </c>
      <c r="C104">
        <f t="shared" si="28"/>
        <v>-0.58778525229247547</v>
      </c>
      <c r="D104">
        <f t="shared" si="21"/>
        <v>-0.80901699437494567</v>
      </c>
      <c r="E104">
        <f t="shared" si="22"/>
        <v>101.36517556709563</v>
      </c>
      <c r="F104">
        <f t="shared" si="23"/>
        <v>139.51719501593593</v>
      </c>
      <c r="G104">
        <f t="shared" ca="1" si="24"/>
        <v>73.362257389477051</v>
      </c>
      <c r="H104">
        <f t="shared" ca="1" si="25"/>
        <v>97.106085273401419</v>
      </c>
      <c r="I104">
        <f t="shared" ca="1" si="26"/>
        <v>121.70296876578232</v>
      </c>
      <c r="J104">
        <f t="shared" ca="1" si="27"/>
        <v>37.070524784179696</v>
      </c>
    </row>
    <row r="105" spans="1:10" x14ac:dyDescent="0.25">
      <c r="A105">
        <f t="shared" si="19"/>
        <v>7.8333333333333338E-2</v>
      </c>
      <c r="B105">
        <f t="shared" si="29"/>
        <v>-125.83205915696431</v>
      </c>
      <c r="C105">
        <f t="shared" si="28"/>
        <v>-0.30901699437494851</v>
      </c>
      <c r="D105">
        <f t="shared" si="21"/>
        <v>-0.9510565162951532</v>
      </c>
      <c r="E105">
        <f t="shared" si="22"/>
        <v>38.884244716695825</v>
      </c>
      <c r="F105">
        <f t="shared" si="23"/>
        <v>119.6733998200681</v>
      </c>
      <c r="G105">
        <f t="shared" ca="1" si="24"/>
        <v>73.029930986415167</v>
      </c>
      <c r="H105">
        <f t="shared" ca="1" si="25"/>
        <v>96.083289773729192</v>
      </c>
      <c r="I105">
        <f t="shared" ca="1" si="26"/>
        <v>120.68707218929033</v>
      </c>
      <c r="J105">
        <f t="shared" ca="1" si="27"/>
        <v>37.237340244530465</v>
      </c>
    </row>
    <row r="106" spans="1:10" x14ac:dyDescent="0.25">
      <c r="A106">
        <f t="shared" si="19"/>
        <v>7.9166666666666677E-2</v>
      </c>
      <c r="B106">
        <f t="shared" si="29"/>
        <v>-66.894062570344147</v>
      </c>
      <c r="C106">
        <f t="shared" si="28"/>
        <v>6.1246580723706145E-16</v>
      </c>
      <c r="D106">
        <f t="shared" si="21"/>
        <v>-1</v>
      </c>
      <c r="E106">
        <f t="shared" si="22"/>
        <v>-4.0970326031512323E-14</v>
      </c>
      <c r="F106">
        <f t="shared" si="23"/>
        <v>66.894062570344147</v>
      </c>
      <c r="G106">
        <f t="shared" ca="1" si="24"/>
        <v>73.029930986415152</v>
      </c>
      <c r="H106">
        <f t="shared" ca="1" si="25"/>
        <v>91.557486966880845</v>
      </c>
      <c r="I106">
        <f t="shared" ca="1" si="26"/>
        <v>117.11594357546335</v>
      </c>
      <c r="J106">
        <f t="shared" ca="1" si="27"/>
        <v>38.577269792764817</v>
      </c>
    </row>
    <row r="107" spans="1:10" x14ac:dyDescent="0.25">
      <c r="A107">
        <f t="shared" si="19"/>
        <v>0.08</v>
      </c>
      <c r="B107">
        <f t="shared" si="29"/>
        <v>-1.4080090609994442</v>
      </c>
      <c r="C107">
        <f t="shared" si="28"/>
        <v>0.30901699437494629</v>
      </c>
      <c r="D107">
        <f t="shared" si="21"/>
        <v>-0.95105651629515398</v>
      </c>
      <c r="E107">
        <f t="shared" si="22"/>
        <v>-0.43509872808273864</v>
      </c>
      <c r="F107">
        <f t="shared" si="23"/>
        <v>1.3390961924661424</v>
      </c>
      <c r="G107">
        <f t="shared" ca="1" si="24"/>
        <v>75.357804728002549</v>
      </c>
      <c r="H107">
        <f t="shared" ca="1" si="25"/>
        <v>84.393028275774654</v>
      </c>
      <c r="I107">
        <f t="shared" ca="1" si="26"/>
        <v>113.1414245755261</v>
      </c>
      <c r="J107">
        <f t="shared" ca="1" si="27"/>
        <v>41.762901120672119</v>
      </c>
    </row>
    <row r="108" spans="1:10" x14ac:dyDescent="0.25">
      <c r="A108">
        <f t="shared" si="19"/>
        <v>8.083333333333334E-2</v>
      </c>
      <c r="B108">
        <f t="shared" si="29"/>
        <v>64.215870185412584</v>
      </c>
      <c r="C108">
        <f t="shared" si="28"/>
        <v>0.58778525229247358</v>
      </c>
      <c r="D108">
        <f t="shared" si="21"/>
        <v>-0.80901699437494712</v>
      </c>
      <c r="E108">
        <f t="shared" si="22"/>
        <v>37.745141458113466</v>
      </c>
      <c r="F108">
        <f t="shared" si="23"/>
        <v>-51.951730288574268</v>
      </c>
      <c r="G108">
        <f t="shared" ca="1" si="24"/>
        <v>81.119930901934936</v>
      </c>
      <c r="H108">
        <f t="shared" ca="1" si="25"/>
        <v>76.462141986500384</v>
      </c>
      <c r="I108">
        <f t="shared" ca="1" si="26"/>
        <v>111.47601691260073</v>
      </c>
      <c r="J108">
        <f t="shared" ca="1" si="27"/>
        <v>46.693047715061645</v>
      </c>
    </row>
    <row r="109" spans="1:10" x14ac:dyDescent="0.25">
      <c r="A109">
        <f t="shared" si="19"/>
        <v>8.1666666666666665E-2</v>
      </c>
      <c r="B109">
        <f t="shared" si="29"/>
        <v>123.55385263979876</v>
      </c>
      <c r="C109">
        <f t="shared" si="28"/>
        <v>0.80901699437494468</v>
      </c>
      <c r="D109">
        <f t="shared" si="21"/>
        <v>-0.58778525229247702</v>
      </c>
      <c r="E109">
        <f t="shared" si="22"/>
        <v>99.957166506094822</v>
      </c>
      <c r="F109">
        <f t="shared" si="23"/>
        <v>-72.623132445591651</v>
      </c>
      <c r="G109">
        <f t="shared" ca="1" si="24"/>
        <v>90.110920495760951</v>
      </c>
      <c r="H109">
        <f t="shared" ca="1" si="25"/>
        <v>69.929805677732077</v>
      </c>
      <c r="I109">
        <f t="shared" ca="1" si="26"/>
        <v>114.06206957055758</v>
      </c>
      <c r="J109">
        <f t="shared" ca="1" si="27"/>
        <v>52.187056347729431</v>
      </c>
    </row>
    <row r="110" spans="1:10" x14ac:dyDescent="0.25">
      <c r="A110">
        <f t="shared" si="19"/>
        <v>8.2500000000000004E-2</v>
      </c>
      <c r="B110">
        <f t="shared" si="29"/>
        <v>170.79752314749229</v>
      </c>
      <c r="C110">
        <f t="shared" si="28"/>
        <v>0.95105651629515264</v>
      </c>
      <c r="D110">
        <f t="shared" si="21"/>
        <v>-0.30901699437495028</v>
      </c>
      <c r="E110">
        <f t="shared" si="22"/>
        <v>162.43809735649469</v>
      </c>
      <c r="F110">
        <f t="shared" si="23"/>
        <v>-52.779337249724065</v>
      </c>
      <c r="G110">
        <f t="shared" ca="1" si="24"/>
        <v>100.89206841566126</v>
      </c>
      <c r="H110">
        <f t="shared" ca="1" si="25"/>
        <v>66.426798370556</v>
      </c>
      <c r="I110">
        <f t="shared" ca="1" si="26"/>
        <v>120.79622929112055</v>
      </c>
      <c r="J110">
        <f t="shared" ca="1" si="27"/>
        <v>56.639306612421237</v>
      </c>
    </row>
    <row r="111" spans="1:10" x14ac:dyDescent="0.25">
      <c r="A111">
        <f t="shared" si="19"/>
        <v>8.3333333333333343E-2</v>
      </c>
      <c r="B111">
        <f t="shared" si="29"/>
        <v>201.32234207319078</v>
      </c>
      <c r="C111">
        <f t="shared" si="28"/>
        <v>1</v>
      </c>
      <c r="D111">
        <f t="shared" si="21"/>
        <v>-1.22514845490862E-15</v>
      </c>
      <c r="E111">
        <f t="shared" si="22"/>
        <v>201.32234207319078</v>
      </c>
      <c r="F111">
        <f t="shared" si="23"/>
        <v>-2.4664975632955436E-13</v>
      </c>
      <c r="G111">
        <f t="shared" ca="1" si="24"/>
        <v>111.34088993249976</v>
      </c>
      <c r="H111">
        <f t="shared" ca="1" si="25"/>
        <v>66.426798370556</v>
      </c>
      <c r="I111">
        <f t="shared" ca="1" si="26"/>
        <v>129.65073587420756</v>
      </c>
      <c r="J111">
        <f t="shared" ca="1" si="27"/>
        <v>59.179385292399125</v>
      </c>
    </row>
    <row r="112" spans="1:10" x14ac:dyDescent="0.25">
      <c r="A112">
        <f t="shared" si="19"/>
        <v>8.4166666666666667E-2</v>
      </c>
      <c r="B112">
        <f t="shared" si="29"/>
        <v>212.14032746152756</v>
      </c>
      <c r="C112">
        <f t="shared" si="28"/>
        <v>0.95105651629515453</v>
      </c>
      <c r="D112">
        <f t="shared" si="21"/>
        <v>0.30901699437494456</v>
      </c>
      <c r="E112">
        <f t="shared" si="22"/>
        <v>201.7574408012737</v>
      </c>
      <c r="F112">
        <f t="shared" si="23"/>
        <v>65.554966377877761</v>
      </c>
      <c r="G112">
        <f t="shared" ca="1" si="24"/>
        <v>119.46183770775083</v>
      </c>
      <c r="H112">
        <f t="shared" ca="1" si="25"/>
        <v>69.065454254813844</v>
      </c>
      <c r="I112">
        <f t="shared" ca="1" si="26"/>
        <v>137.98973744426351</v>
      </c>
      <c r="J112">
        <f t="shared" ca="1" si="27"/>
        <v>59.966151844748019</v>
      </c>
    </row>
    <row r="113" spans="1:10" x14ac:dyDescent="0.25">
      <c r="A113">
        <f t="shared" si="19"/>
        <v>8.5000000000000006E-2</v>
      </c>
      <c r="B113">
        <f t="shared" si="29"/>
        <v>202.19253952935648</v>
      </c>
      <c r="C113">
        <f t="shared" si="28"/>
        <v>0.80901699437495023</v>
      </c>
      <c r="D113">
        <f t="shared" si="21"/>
        <v>0.58778525229246925</v>
      </c>
      <c r="E113">
        <f t="shared" si="22"/>
        <v>163.57720061507828</v>
      </c>
      <c r="F113">
        <f t="shared" si="23"/>
        <v>118.84579285891786</v>
      </c>
      <c r="G113">
        <f t="shared" ca="1" si="24"/>
        <v>124.14853305065697</v>
      </c>
      <c r="H113">
        <f t="shared" ca="1" si="25"/>
        <v>72.470537737239766</v>
      </c>
      <c r="I113">
        <f t="shared" ca="1" si="26"/>
        <v>143.75269423059436</v>
      </c>
      <c r="J113">
        <f t="shared" ca="1" si="27"/>
        <v>59.726156099331298</v>
      </c>
    </row>
    <row r="114" spans="1:10" x14ac:dyDescent="0.25">
      <c r="A114">
        <f t="shared" si="19"/>
        <v>8.5833333333333345E-2</v>
      </c>
      <c r="B114">
        <f t="shared" si="29"/>
        <v>172.45273706979114</v>
      </c>
      <c r="C114">
        <f t="shared" si="28"/>
        <v>0.58778525229246981</v>
      </c>
      <c r="D114">
        <f t="shared" si="21"/>
        <v>0.80901699437494978</v>
      </c>
      <c r="E114">
        <f t="shared" si="22"/>
        <v>101.36517556709414</v>
      </c>
      <c r="F114">
        <f t="shared" si="23"/>
        <v>139.51719501593593</v>
      </c>
      <c r="G114">
        <f t="shared" ca="1" si="24"/>
        <v>125.60636497366926</v>
      </c>
      <c r="H114">
        <f t="shared" ca="1" si="25"/>
        <v>74.477071239159713</v>
      </c>
      <c r="I114">
        <f t="shared" ca="1" si="26"/>
        <v>146.02668613052026</v>
      </c>
      <c r="J114">
        <f t="shared" ca="1" si="27"/>
        <v>59.33459138075451</v>
      </c>
    </row>
    <row r="115" spans="1:10" x14ac:dyDescent="0.25">
      <c r="A115">
        <f t="shared" si="19"/>
        <v>8.666666666666667E-2</v>
      </c>
      <c r="B115">
        <f t="shared" si="29"/>
        <v>125.83205915696432</v>
      </c>
      <c r="C115">
        <f t="shared" si="28"/>
        <v>0.30901699437494862</v>
      </c>
      <c r="D115">
        <f t="shared" si="21"/>
        <v>0.9510565162951532</v>
      </c>
      <c r="E115">
        <f t="shared" si="22"/>
        <v>38.884244716695846</v>
      </c>
      <c r="F115">
        <f t="shared" si="23"/>
        <v>119.67339982006811</v>
      </c>
      <c r="G115">
        <f t="shared" ca="1" si="24"/>
        <v>125.27403857060737</v>
      </c>
      <c r="H115">
        <f t="shared" ca="1" si="25"/>
        <v>73.454275739487471</v>
      </c>
      <c r="I115">
        <f t="shared" ca="1" si="26"/>
        <v>145.22091916870201</v>
      </c>
      <c r="J115">
        <f t="shared" ca="1" si="27"/>
        <v>59.614825474342112</v>
      </c>
    </row>
    <row r="116" spans="1:10" x14ac:dyDescent="0.25">
      <c r="A116">
        <f t="shared" si="19"/>
        <v>8.7500000000000008E-2</v>
      </c>
      <c r="B116">
        <f t="shared" si="29"/>
        <v>66.894062570344175</v>
      </c>
      <c r="C116">
        <f t="shared" si="28"/>
        <v>-4.8995096174619945E-16</v>
      </c>
      <c r="D116">
        <f t="shared" si="21"/>
        <v>1</v>
      </c>
      <c r="E116">
        <f t="shared" si="22"/>
        <v>-3.2774810291450569E-14</v>
      </c>
      <c r="F116">
        <f t="shared" si="23"/>
        <v>66.894062570344175</v>
      </c>
      <c r="G116">
        <f t="shared" ca="1" si="24"/>
        <v>125.27403857060735</v>
      </c>
      <c r="H116">
        <f t="shared" ca="1" si="25"/>
        <v>68.92847293263911</v>
      </c>
      <c r="I116">
        <f t="shared" ca="1" si="26"/>
        <v>142.98503110681054</v>
      </c>
      <c r="J116">
        <f t="shared" ca="1" si="27"/>
        <v>61.179462351138319</v>
      </c>
    </row>
    <row r="117" spans="1:10" x14ac:dyDescent="0.25">
      <c r="A117">
        <f t="shared" si="19"/>
        <v>8.8333333333333333E-2</v>
      </c>
      <c r="B117">
        <f t="shared" si="29"/>
        <v>1.4080090610002238</v>
      </c>
      <c r="C117">
        <f t="shared" si="28"/>
        <v>-0.30901699437494279</v>
      </c>
      <c r="D117">
        <f t="shared" si="21"/>
        <v>0.95105651629515509</v>
      </c>
      <c r="E117">
        <f t="shared" si="22"/>
        <v>-0.43509872808297462</v>
      </c>
      <c r="F117">
        <f t="shared" si="23"/>
        <v>1.3390961924668854</v>
      </c>
      <c r="G117">
        <f t="shared" ca="1" si="24"/>
        <v>127.60191231219474</v>
      </c>
      <c r="H117">
        <f t="shared" ca="1" si="25"/>
        <v>61.764014241532983</v>
      </c>
      <c r="I117">
        <f t="shared" ca="1" si="26"/>
        <v>141.76403451142789</v>
      </c>
      <c r="J117">
        <f t="shared" ca="1" si="27"/>
        <v>64.171312168079083</v>
      </c>
    </row>
    <row r="118" spans="1:10" x14ac:dyDescent="0.25">
      <c r="A118">
        <f t="shared" si="19"/>
        <v>8.9166666666666672E-2</v>
      </c>
      <c r="B118">
        <f t="shared" si="29"/>
        <v>-64.215870185411845</v>
      </c>
      <c r="C118">
        <f t="shared" si="28"/>
        <v>-0.58778525229247058</v>
      </c>
      <c r="D118">
        <f t="shared" si="21"/>
        <v>0.80901699437494923</v>
      </c>
      <c r="E118">
        <f t="shared" si="22"/>
        <v>37.74514145811284</v>
      </c>
      <c r="F118">
        <f t="shared" si="23"/>
        <v>-51.951730288573806</v>
      </c>
      <c r="G118">
        <f t="shared" ca="1" si="24"/>
        <v>133.3640384861271</v>
      </c>
      <c r="H118">
        <f t="shared" ca="1" si="25"/>
        <v>53.833127952258735</v>
      </c>
      <c r="I118">
        <f t="shared" ca="1" si="26"/>
        <v>143.81923524498887</v>
      </c>
      <c r="J118">
        <f t="shared" ca="1" si="27"/>
        <v>68.018262504986225</v>
      </c>
    </row>
    <row r="119" spans="1:10" x14ac:dyDescent="0.25">
      <c r="A119">
        <f t="shared" si="19"/>
        <v>9.0000000000000011E-2</v>
      </c>
      <c r="B119">
        <f t="shared" si="29"/>
        <v>-123.55385263979937</v>
      </c>
      <c r="C119">
        <f t="shared" si="28"/>
        <v>-0.80901699437494667</v>
      </c>
      <c r="D119">
        <f t="shared" si="21"/>
        <v>0.58778525229247425</v>
      </c>
      <c r="E119">
        <f t="shared" si="22"/>
        <v>99.957166506095561</v>
      </c>
      <c r="F119">
        <f t="shared" si="23"/>
        <v>-72.623132445591665</v>
      </c>
      <c r="G119">
        <f t="shared" ca="1" si="24"/>
        <v>142.35502807995317</v>
      </c>
      <c r="H119">
        <f t="shared" ca="1" si="25"/>
        <v>47.300791643490406</v>
      </c>
      <c r="I119">
        <f t="shared" ca="1" si="26"/>
        <v>150.00772949999993</v>
      </c>
      <c r="J119">
        <f t="shared" ca="1" si="27"/>
        <v>71.619724391352904</v>
      </c>
    </row>
    <row r="120" spans="1:10" x14ac:dyDescent="0.25">
      <c r="A120">
        <f t="shared" si="19"/>
        <v>9.0833333333333335E-2</v>
      </c>
      <c r="B120">
        <f t="shared" si="29"/>
        <v>-170.79752314749183</v>
      </c>
      <c r="C120">
        <f t="shared" si="28"/>
        <v>-0.95105651629515153</v>
      </c>
      <c r="D120">
        <f t="shared" si="21"/>
        <v>0.30901699437495378</v>
      </c>
      <c r="E120">
        <f t="shared" si="22"/>
        <v>162.4380973564941</v>
      </c>
      <c r="F120">
        <f t="shared" si="23"/>
        <v>-52.77933724972452</v>
      </c>
      <c r="G120">
        <f t="shared" ca="1" si="24"/>
        <v>142.35502807995312</v>
      </c>
      <c r="H120">
        <f t="shared" ca="1" si="25"/>
        <v>47.300791643490342</v>
      </c>
      <c r="I120">
        <f t="shared" ca="1" si="26"/>
        <v>150.00772949999984</v>
      </c>
      <c r="J120">
        <f t="shared" ca="1" si="27"/>
        <v>71.619724391352918</v>
      </c>
    </row>
    <row r="121" spans="1:10" x14ac:dyDescent="0.25">
      <c r="A121">
        <f t="shared" si="19"/>
        <v>9.1666666666666674E-2</v>
      </c>
      <c r="B121">
        <f t="shared" si="29"/>
        <v>-201.32234207319098</v>
      </c>
      <c r="C121">
        <f t="shared" si="28"/>
        <v>-1</v>
      </c>
      <c r="D121">
        <f t="shared" si="21"/>
        <v>-2.2050503784010189E-15</v>
      </c>
      <c r="E121">
        <f t="shared" si="22"/>
        <v>201.32234207319098</v>
      </c>
      <c r="F121">
        <f t="shared" si="23"/>
        <v>4.4392590656906914E-13</v>
      </c>
      <c r="G121">
        <f t="shared" ca="1" si="24"/>
        <v>142.35502807995312</v>
      </c>
      <c r="H121">
        <f t="shared" ca="1" si="25"/>
        <v>47.300791643490335</v>
      </c>
      <c r="I121">
        <f t="shared" ca="1" si="26"/>
        <v>150.00772949999984</v>
      </c>
      <c r="J121">
        <f t="shared" ca="1" si="27"/>
        <v>71.619724391352932</v>
      </c>
    </row>
    <row r="122" spans="1:10" x14ac:dyDescent="0.25">
      <c r="A122">
        <f t="shared" si="19"/>
        <v>9.2500000000000013E-2</v>
      </c>
      <c r="B122">
        <f t="shared" si="29"/>
        <v>-212.14032746152756</v>
      </c>
      <c r="C122">
        <f t="shared" si="28"/>
        <v>-0.95105651629515231</v>
      </c>
      <c r="D122">
        <f t="shared" si="21"/>
        <v>-0.30901699437495123</v>
      </c>
      <c r="E122">
        <f t="shared" si="22"/>
        <v>201.75744080127325</v>
      </c>
      <c r="F122">
        <f t="shared" si="23"/>
        <v>65.554966377879168</v>
      </c>
      <c r="G122">
        <f t="shared" ca="1" si="24"/>
        <v>142.35502807995306</v>
      </c>
      <c r="H122">
        <f t="shared" ca="1" si="25"/>
        <v>47.300791643490435</v>
      </c>
      <c r="I122">
        <f t="shared" ca="1" si="26"/>
        <v>150.00772949999981</v>
      </c>
      <c r="J122">
        <f t="shared" ca="1" si="27"/>
        <v>71.619724391352875</v>
      </c>
    </row>
    <row r="123" spans="1:10" x14ac:dyDescent="0.25">
      <c r="A123">
        <f t="shared" si="19"/>
        <v>9.3333333333333338E-2</v>
      </c>
      <c r="B123">
        <f t="shared" si="29"/>
        <v>-202.19253952935625</v>
      </c>
      <c r="C123">
        <f t="shared" si="28"/>
        <v>-0.80901699437494823</v>
      </c>
      <c r="D123">
        <f t="shared" si="21"/>
        <v>-0.58778525229247203</v>
      </c>
      <c r="E123">
        <f t="shared" si="22"/>
        <v>163.57720061507771</v>
      </c>
      <c r="F123">
        <f t="shared" si="23"/>
        <v>118.84579285891829</v>
      </c>
      <c r="G123">
        <f t="shared" ca="1" si="24"/>
        <v>142.35502807995306</v>
      </c>
      <c r="H123">
        <f t="shared" ca="1" si="25"/>
        <v>47.300791643490435</v>
      </c>
      <c r="I123">
        <f t="shared" ca="1" si="26"/>
        <v>150.00772949999981</v>
      </c>
      <c r="J123">
        <f t="shared" ca="1" si="27"/>
        <v>71.619724391352875</v>
      </c>
    </row>
    <row r="124" spans="1:10" x14ac:dyDescent="0.25">
      <c r="A124">
        <f t="shared" si="19"/>
        <v>9.4166666666666676E-2</v>
      </c>
      <c r="B124">
        <f t="shared" si="29"/>
        <v>-172.4527370697916</v>
      </c>
      <c r="C124">
        <f t="shared" si="28"/>
        <v>-0.5877852522924728</v>
      </c>
      <c r="D124">
        <f t="shared" si="21"/>
        <v>-0.80901699437494767</v>
      </c>
      <c r="E124">
        <f t="shared" si="22"/>
        <v>101.36517556709494</v>
      </c>
      <c r="F124">
        <f t="shared" si="23"/>
        <v>139.51719501593593</v>
      </c>
      <c r="G124">
        <f t="shared" ca="1" si="24"/>
        <v>142.35502807995303</v>
      </c>
      <c r="H124">
        <f t="shared" ca="1" si="25"/>
        <v>47.300791643490435</v>
      </c>
      <c r="I124">
        <f t="shared" ca="1" si="26"/>
        <v>150.00772949999981</v>
      </c>
      <c r="J124">
        <f t="shared" ca="1" si="27"/>
        <v>71.619724391352875</v>
      </c>
    </row>
    <row r="125" spans="1:10" x14ac:dyDescent="0.25">
      <c r="A125">
        <f t="shared" si="19"/>
        <v>9.5000000000000001E-2</v>
      </c>
      <c r="B125">
        <f t="shared" si="29"/>
        <v>-125.83205915696496</v>
      </c>
      <c r="C125">
        <f t="shared" si="28"/>
        <v>-0.30901699437495211</v>
      </c>
      <c r="D125">
        <f t="shared" si="21"/>
        <v>-0.95105651629515209</v>
      </c>
      <c r="E125">
        <f t="shared" si="22"/>
        <v>38.884244716696486</v>
      </c>
      <c r="F125">
        <f t="shared" si="23"/>
        <v>119.67339982006858</v>
      </c>
      <c r="G125">
        <f t="shared" ca="1" si="24"/>
        <v>142.35502807995306</v>
      </c>
      <c r="H125">
        <f t="shared" ca="1" si="25"/>
        <v>47.30079164349047</v>
      </c>
      <c r="I125">
        <f t="shared" ca="1" si="26"/>
        <v>150.00772949999984</v>
      </c>
      <c r="J125">
        <f t="shared" ca="1" si="27"/>
        <v>71.619724391352861</v>
      </c>
    </row>
    <row r="126" spans="1:10" x14ac:dyDescent="0.25">
      <c r="A126">
        <f t="shared" si="19"/>
        <v>9.583333333333334E-2</v>
      </c>
      <c r="B126">
        <f t="shared" si="29"/>
        <v>-66.894062570344914</v>
      </c>
      <c r="C126">
        <f t="shared" si="28"/>
        <v>-3.1852775625451635E-15</v>
      </c>
      <c r="D126">
        <f t="shared" si="21"/>
        <v>-1</v>
      </c>
      <c r="E126">
        <f t="shared" si="22"/>
        <v>2.1307615657281189E-13</v>
      </c>
      <c r="F126">
        <f t="shared" si="23"/>
        <v>66.894062570344914</v>
      </c>
      <c r="G126">
        <f t="shared" ca="1" si="24"/>
        <v>142.35502807995309</v>
      </c>
      <c r="H126">
        <f t="shared" ca="1" si="25"/>
        <v>47.30079164349052</v>
      </c>
      <c r="I126">
        <f t="shared" ca="1" si="26"/>
        <v>150.0077294999999</v>
      </c>
      <c r="J126">
        <f t="shared" ca="1" si="27"/>
        <v>71.619724391352847</v>
      </c>
    </row>
    <row r="127" spans="1:10" x14ac:dyDescent="0.25">
      <c r="A127">
        <f t="shared" si="19"/>
        <v>9.6666666666666679E-2</v>
      </c>
      <c r="B127">
        <f t="shared" si="29"/>
        <v>-1.4080090609994962</v>
      </c>
      <c r="C127">
        <f t="shared" si="28"/>
        <v>0.30901699437494606</v>
      </c>
      <c r="D127">
        <f t="shared" si="21"/>
        <v>-0.95105651629515398</v>
      </c>
      <c r="E127">
        <f t="shared" si="22"/>
        <v>-0.4350987280827544</v>
      </c>
      <c r="F127">
        <f t="shared" si="23"/>
        <v>1.3390961924661917</v>
      </c>
      <c r="G127">
        <f t="shared" ca="1" si="24"/>
        <v>142.35502807995309</v>
      </c>
      <c r="H127">
        <f t="shared" ca="1" si="25"/>
        <v>47.30079164349052</v>
      </c>
      <c r="I127">
        <f t="shared" ca="1" si="26"/>
        <v>150.0077294999999</v>
      </c>
      <c r="J127">
        <f t="shared" ca="1" si="27"/>
        <v>71.619724391352847</v>
      </c>
    </row>
    <row r="128" spans="1:10" x14ac:dyDescent="0.25">
      <c r="A128">
        <f t="shared" si="19"/>
        <v>9.7500000000000003E-2</v>
      </c>
      <c r="B128">
        <f t="shared" si="29"/>
        <v>64.215870185412527</v>
      </c>
      <c r="C128">
        <f t="shared" si="28"/>
        <v>0.58778525229247336</v>
      </c>
      <c r="D128">
        <f t="shared" si="21"/>
        <v>-0.80901699437494723</v>
      </c>
      <c r="E128">
        <f t="shared" si="22"/>
        <v>37.745141458113423</v>
      </c>
      <c r="F128">
        <f t="shared" si="23"/>
        <v>-51.951730288574225</v>
      </c>
      <c r="G128">
        <f t="shared" ca="1" si="24"/>
        <v>142.35502807995309</v>
      </c>
      <c r="H128">
        <f t="shared" ca="1" si="25"/>
        <v>47.30079164349052</v>
      </c>
      <c r="I128">
        <f t="shared" ca="1" si="26"/>
        <v>150.0077294999999</v>
      </c>
      <c r="J128">
        <f t="shared" ca="1" si="27"/>
        <v>71.619724391352847</v>
      </c>
    </row>
    <row r="129" spans="1:10" x14ac:dyDescent="0.25">
      <c r="A129">
        <f t="shared" si="19"/>
        <v>9.8333333333333342E-2</v>
      </c>
      <c r="B129">
        <f t="shared" si="29"/>
        <v>123.55385263979996</v>
      </c>
      <c r="C129">
        <f t="shared" si="28"/>
        <v>0.80901699437494867</v>
      </c>
      <c r="D129">
        <f t="shared" si="21"/>
        <v>-0.58778525229247147</v>
      </c>
      <c r="E129">
        <f t="shared" si="22"/>
        <v>99.957166506096272</v>
      </c>
      <c r="F129">
        <f t="shared" si="23"/>
        <v>-72.623132445591665</v>
      </c>
      <c r="G129">
        <f t="shared" ca="1" si="24"/>
        <v>142.35502807995317</v>
      </c>
      <c r="H129">
        <f t="shared" ca="1" si="25"/>
        <v>47.30079164349052</v>
      </c>
      <c r="I129">
        <f t="shared" ca="1" si="26"/>
        <v>150.00772949999998</v>
      </c>
      <c r="J129">
        <f t="shared" ca="1" si="27"/>
        <v>71.619724391352861</v>
      </c>
    </row>
    <row r="130" spans="1:10" x14ac:dyDescent="0.25">
      <c r="A130">
        <f t="shared" si="19"/>
        <v>9.9166666666666667E-2</v>
      </c>
      <c r="B130">
        <f t="shared" si="29"/>
        <v>170.79752314749226</v>
      </c>
      <c r="C130">
        <f t="shared" si="28"/>
        <v>0.95105651629515253</v>
      </c>
      <c r="D130">
        <f t="shared" si="21"/>
        <v>-0.3090169943749505</v>
      </c>
      <c r="E130">
        <f t="shared" si="22"/>
        <v>162.43809735649467</v>
      </c>
      <c r="F130">
        <f t="shared" si="23"/>
        <v>-52.779337249724094</v>
      </c>
      <c r="G130">
        <f t="shared" ca="1" si="24"/>
        <v>142.35502807995317</v>
      </c>
      <c r="H130">
        <f t="shared" ca="1" si="25"/>
        <v>47.30079164349052</v>
      </c>
      <c r="I130">
        <f t="shared" ca="1" si="26"/>
        <v>150.00772949999998</v>
      </c>
      <c r="J130">
        <f t="shared" ca="1" si="27"/>
        <v>71.619724391352861</v>
      </c>
    </row>
    <row r="131" spans="1:10" x14ac:dyDescent="0.25">
      <c r="A131">
        <f t="shared" si="19"/>
        <v>0.1</v>
      </c>
      <c r="B131">
        <f t="shared" si="29"/>
        <v>201.32234207319075</v>
      </c>
      <c r="C131">
        <f t="shared" si="28"/>
        <v>1</v>
      </c>
      <c r="D131">
        <f t="shared" si="21"/>
        <v>-1.470178145890344E-15</v>
      </c>
      <c r="E131">
        <f t="shared" si="22"/>
        <v>201.32234207319075</v>
      </c>
      <c r="F131">
        <f t="shared" si="23"/>
        <v>-2.9597970759546515E-13</v>
      </c>
      <c r="G131">
        <f t="shared" ca="1" si="24"/>
        <v>142.35502807995314</v>
      </c>
      <c r="H131">
        <f t="shared" ca="1" si="25"/>
        <v>47.300791643490513</v>
      </c>
      <c r="I131">
        <f t="shared" ca="1" si="26"/>
        <v>150.00772949999993</v>
      </c>
      <c r="J131">
        <f t="shared" ca="1" si="27"/>
        <v>71.619724391352861</v>
      </c>
    </row>
    <row r="132" spans="1:10" x14ac:dyDescent="0.25">
      <c r="A132">
        <f t="shared" si="19"/>
        <v>0.10083333333333334</v>
      </c>
      <c r="B132">
        <f t="shared" si="29"/>
        <v>212.14032746152756</v>
      </c>
      <c r="C132">
        <f t="shared" si="28"/>
        <v>0.95105651629515353</v>
      </c>
      <c r="D132">
        <f t="shared" si="21"/>
        <v>0.30901699437494773</v>
      </c>
      <c r="E132">
        <f t="shared" si="22"/>
        <v>201.7574408012735</v>
      </c>
      <c r="F132">
        <f t="shared" si="23"/>
        <v>65.554966377878429</v>
      </c>
      <c r="G132">
        <f t="shared" ca="1" si="24"/>
        <v>142.35502807995314</v>
      </c>
      <c r="H132">
        <f t="shared" ca="1" si="25"/>
        <v>47.300791643490562</v>
      </c>
      <c r="I132">
        <f t="shared" ca="1" si="26"/>
        <v>150.00772949999995</v>
      </c>
      <c r="J132">
        <f t="shared" ca="1" si="27"/>
        <v>71.619724391352847</v>
      </c>
    </row>
    <row r="133" spans="1:10" x14ac:dyDescent="0.25">
      <c r="A133">
        <f t="shared" si="19"/>
        <v>0.10166666666666667</v>
      </c>
      <c r="B133">
        <f t="shared" si="29"/>
        <v>202.19253952935648</v>
      </c>
      <c r="C133">
        <f t="shared" si="28"/>
        <v>0.80901699437495034</v>
      </c>
      <c r="D133">
        <f t="shared" si="21"/>
        <v>0.58778525229246903</v>
      </c>
      <c r="E133">
        <f t="shared" si="22"/>
        <v>163.57720061507831</v>
      </c>
      <c r="F133">
        <f t="shared" si="23"/>
        <v>118.84579285891782</v>
      </c>
      <c r="G133">
        <f t="shared" ca="1" si="24"/>
        <v>142.35502807995314</v>
      </c>
      <c r="H133">
        <f t="shared" ca="1" si="25"/>
        <v>47.300791643490562</v>
      </c>
      <c r="I133">
        <f t="shared" ca="1" si="26"/>
        <v>150.00772949999995</v>
      </c>
      <c r="J133">
        <f t="shared" ca="1" si="27"/>
        <v>71.619724391352847</v>
      </c>
    </row>
    <row r="134" spans="1:10" x14ac:dyDescent="0.25">
      <c r="A134">
        <f t="shared" si="19"/>
        <v>0.10250000000000001</v>
      </c>
      <c r="B134">
        <f t="shared" si="29"/>
        <v>172.45273706979208</v>
      </c>
      <c r="C134">
        <f t="shared" si="28"/>
        <v>0.5877852522924758</v>
      </c>
      <c r="D134">
        <f t="shared" si="21"/>
        <v>0.80901699437494545</v>
      </c>
      <c r="E134">
        <f t="shared" si="22"/>
        <v>101.36517556709573</v>
      </c>
      <c r="F134">
        <f t="shared" si="23"/>
        <v>139.51719501593593</v>
      </c>
      <c r="G134">
        <f t="shared" ca="1" si="24"/>
        <v>142.35502807995326</v>
      </c>
      <c r="H134">
        <f t="shared" ca="1" si="25"/>
        <v>47.300791643490562</v>
      </c>
      <c r="I134">
        <f t="shared" ca="1" si="26"/>
        <v>150.00772950000007</v>
      </c>
      <c r="J134">
        <f t="shared" ca="1" si="27"/>
        <v>71.619724391352847</v>
      </c>
    </row>
    <row r="135" spans="1:10" x14ac:dyDescent="0.25">
      <c r="A135">
        <f t="shared" si="19"/>
        <v>0.10333333333333335</v>
      </c>
      <c r="B135">
        <f t="shared" si="29"/>
        <v>125.83205915696438</v>
      </c>
      <c r="C135">
        <f t="shared" si="28"/>
        <v>0.30901699437494889</v>
      </c>
      <c r="D135">
        <f t="shared" si="21"/>
        <v>0.95105651629515309</v>
      </c>
      <c r="E135">
        <f t="shared" si="22"/>
        <v>38.884244716695896</v>
      </c>
      <c r="F135">
        <f t="shared" si="23"/>
        <v>119.67339982006816</v>
      </c>
      <c r="G135">
        <f t="shared" ca="1" si="24"/>
        <v>142.35502807995329</v>
      </c>
      <c r="H135">
        <f t="shared" ca="1" si="25"/>
        <v>47.30079164349057</v>
      </c>
      <c r="I135">
        <f t="shared" ca="1" si="26"/>
        <v>150.00772950000007</v>
      </c>
      <c r="J135">
        <f t="shared" ca="1" si="27"/>
        <v>71.619724391352861</v>
      </c>
    </row>
    <row r="136" spans="1:10" x14ac:dyDescent="0.25">
      <c r="A136">
        <f t="shared" si="19"/>
        <v>0.10416666666666667</v>
      </c>
      <c r="B136">
        <f t="shared" si="29"/>
        <v>66.894062570344232</v>
      </c>
      <c r="C136">
        <f t="shared" si="28"/>
        <v>-2.4492127076447545E-16</v>
      </c>
      <c r="D136">
        <f t="shared" si="21"/>
        <v>1</v>
      </c>
      <c r="E136">
        <f t="shared" si="22"/>
        <v>-1.6383778811327042E-14</v>
      </c>
      <c r="F136">
        <f t="shared" si="23"/>
        <v>66.894062570344232</v>
      </c>
      <c r="G136">
        <f t="shared" ca="1" si="24"/>
        <v>142.35502807995329</v>
      </c>
      <c r="H136">
        <f t="shared" ca="1" si="25"/>
        <v>47.30079164349057</v>
      </c>
      <c r="I136">
        <f t="shared" ca="1" si="26"/>
        <v>150.00772950000007</v>
      </c>
      <c r="J136">
        <f t="shared" ca="1" si="27"/>
        <v>71.619724391352861</v>
      </c>
    </row>
    <row r="137" spans="1:10" x14ac:dyDescent="0.25">
      <c r="A137">
        <f t="shared" si="19"/>
        <v>0.10500000000000001</v>
      </c>
      <c r="B137">
        <f t="shared" si="29"/>
        <v>1.4080090609987685</v>
      </c>
      <c r="C137">
        <f t="shared" si="28"/>
        <v>-0.30901699437494934</v>
      </c>
      <c r="D137">
        <f t="shared" si="21"/>
        <v>0.95105651629515298</v>
      </c>
      <c r="E137">
        <f t="shared" si="22"/>
        <v>-0.43509872808253414</v>
      </c>
      <c r="F137">
        <f t="shared" si="23"/>
        <v>1.3390961924654983</v>
      </c>
      <c r="G137">
        <f t="shared" ca="1" si="24"/>
        <v>142.35502807995331</v>
      </c>
      <c r="H137">
        <f t="shared" ca="1" si="25"/>
        <v>47.30079164349047</v>
      </c>
      <c r="I137">
        <f t="shared" ca="1" si="26"/>
        <v>150.00772950000007</v>
      </c>
      <c r="J137">
        <f t="shared" ca="1" si="27"/>
        <v>71.619724391352904</v>
      </c>
    </row>
    <row r="138" spans="1:10" x14ac:dyDescent="0.25">
      <c r="A138">
        <f t="shared" si="19"/>
        <v>0.10583333333333333</v>
      </c>
      <c r="B138">
        <f t="shared" si="29"/>
        <v>-64.215870185411788</v>
      </c>
      <c r="C138">
        <f t="shared" si="28"/>
        <v>-0.58778525229247047</v>
      </c>
      <c r="D138">
        <f t="shared" si="21"/>
        <v>0.80901699437494934</v>
      </c>
      <c r="E138">
        <f t="shared" si="22"/>
        <v>37.745141458112798</v>
      </c>
      <c r="F138">
        <f t="shared" si="23"/>
        <v>-51.951730288573764</v>
      </c>
      <c r="G138">
        <f t="shared" ca="1" si="24"/>
        <v>142.35502807995331</v>
      </c>
      <c r="H138">
        <f t="shared" ca="1" si="25"/>
        <v>47.30079164349047</v>
      </c>
      <c r="I138">
        <f t="shared" ca="1" si="26"/>
        <v>150.00772950000007</v>
      </c>
      <c r="J138">
        <f t="shared" ca="1" si="27"/>
        <v>71.619724391352904</v>
      </c>
    </row>
    <row r="139" spans="1:10" x14ac:dyDescent="0.25">
      <c r="A139">
        <f t="shared" si="19"/>
        <v>0.10666666666666667</v>
      </c>
      <c r="B139">
        <f t="shared" si="29"/>
        <v>-123.55385263979932</v>
      </c>
      <c r="C139">
        <f t="shared" si="28"/>
        <v>-0.80901699437494645</v>
      </c>
      <c r="D139">
        <f t="shared" si="21"/>
        <v>0.58778525229247436</v>
      </c>
      <c r="E139">
        <f t="shared" si="22"/>
        <v>99.95716650609549</v>
      </c>
      <c r="F139">
        <f t="shared" si="23"/>
        <v>-72.623132445591636</v>
      </c>
      <c r="G139">
        <f t="shared" ca="1" si="24"/>
        <v>142.35502807995331</v>
      </c>
      <c r="H139">
        <f t="shared" ca="1" si="25"/>
        <v>47.30079164349047</v>
      </c>
      <c r="I139">
        <f t="shared" ca="1" si="26"/>
        <v>150.00772950000007</v>
      </c>
      <c r="J139">
        <f t="shared" ca="1" si="27"/>
        <v>71.619724391352904</v>
      </c>
    </row>
    <row r="140" spans="1:10" x14ac:dyDescent="0.25">
      <c r="A140">
        <f t="shared" ref="A140:A203" si="30">(ROW($A140)-ROW($A$11))*$B$4+$B$5</f>
        <v>0.10750000000000001</v>
      </c>
      <c r="B140">
        <f t="shared" si="29"/>
        <v>-170.79752314749268</v>
      </c>
      <c r="C140">
        <f t="shared" si="28"/>
        <v>-0.95105651629515364</v>
      </c>
      <c r="D140">
        <f t="shared" ref="D140:D203" si="31">SIN(($A140-$B$5)*$C$1)</f>
        <v>0.30901699437494723</v>
      </c>
      <c r="E140">
        <f t="shared" si="22"/>
        <v>162.43809735649526</v>
      </c>
      <c r="F140">
        <f t="shared" si="23"/>
        <v>-52.779337249723667</v>
      </c>
      <c r="G140">
        <f t="shared" ca="1" si="24"/>
        <v>142.3550280799534</v>
      </c>
      <c r="H140">
        <f t="shared" ca="1" si="25"/>
        <v>47.300791643490534</v>
      </c>
      <c r="I140">
        <f t="shared" ca="1" si="26"/>
        <v>150.00772950000018</v>
      </c>
      <c r="J140">
        <f t="shared" ca="1" si="27"/>
        <v>71.619724391352889</v>
      </c>
    </row>
    <row r="141" spans="1:10" x14ac:dyDescent="0.25">
      <c r="A141">
        <f t="shared" si="30"/>
        <v>0.10833333333333334</v>
      </c>
      <c r="B141">
        <f t="shared" si="29"/>
        <v>-201.32234207319053</v>
      </c>
      <c r="C141">
        <f t="shared" si="28"/>
        <v>-1</v>
      </c>
      <c r="D141">
        <f t="shared" si="31"/>
        <v>5.1454066701817069E-15</v>
      </c>
      <c r="E141">
        <f t="shared" si="22"/>
        <v>201.32234207319053</v>
      </c>
      <c r="F141">
        <f t="shared" si="23"/>
        <v>-1.0358853217599978E-12</v>
      </c>
      <c r="G141">
        <f t="shared" ca="1" si="24"/>
        <v>142.35502807995337</v>
      </c>
      <c r="H141">
        <f t="shared" ca="1" si="25"/>
        <v>47.300791643490435</v>
      </c>
      <c r="I141">
        <f t="shared" ca="1" si="26"/>
        <v>150.00772950000012</v>
      </c>
      <c r="J141">
        <f t="shared" ca="1" si="27"/>
        <v>71.619724391352918</v>
      </c>
    </row>
    <row r="142" spans="1:10" x14ac:dyDescent="0.25">
      <c r="A142">
        <f t="shared" si="30"/>
        <v>0.10916666666666668</v>
      </c>
      <c r="B142">
        <f t="shared" si="29"/>
        <v>-212.14032746152756</v>
      </c>
      <c r="C142">
        <f t="shared" si="28"/>
        <v>-0.95105651629515464</v>
      </c>
      <c r="D142">
        <f t="shared" si="31"/>
        <v>-0.30901699437494423</v>
      </c>
      <c r="E142">
        <f t="shared" si="22"/>
        <v>201.75744080127373</v>
      </c>
      <c r="F142">
        <f t="shared" si="23"/>
        <v>65.55496637787769</v>
      </c>
      <c r="G142">
        <f t="shared" ca="1" si="24"/>
        <v>142.3550280799534</v>
      </c>
      <c r="H142">
        <f t="shared" ca="1" si="25"/>
        <v>47.300791643490328</v>
      </c>
      <c r="I142">
        <f t="shared" ca="1" si="26"/>
        <v>150.00772950000012</v>
      </c>
      <c r="J142">
        <f t="shared" ca="1" si="27"/>
        <v>71.61972439135296</v>
      </c>
    </row>
    <row r="143" spans="1:10" x14ac:dyDescent="0.25">
      <c r="A143">
        <f t="shared" si="30"/>
        <v>0.11</v>
      </c>
      <c r="B143">
        <f t="shared" si="29"/>
        <v>-202.19253952935628</v>
      </c>
      <c r="C143">
        <f t="shared" si="28"/>
        <v>-0.80901699437494834</v>
      </c>
      <c r="D143">
        <f t="shared" si="31"/>
        <v>-0.5877852522924718</v>
      </c>
      <c r="E143">
        <f t="shared" si="22"/>
        <v>163.57720061507774</v>
      </c>
      <c r="F143">
        <f t="shared" si="23"/>
        <v>118.84579285891826</v>
      </c>
      <c r="G143">
        <f t="shared" ca="1" si="24"/>
        <v>142.3550280799534</v>
      </c>
      <c r="H143">
        <f t="shared" ca="1" si="25"/>
        <v>47.300791643490321</v>
      </c>
      <c r="I143">
        <f t="shared" ca="1" si="26"/>
        <v>150.00772950000012</v>
      </c>
      <c r="J143">
        <f t="shared" ca="1" si="27"/>
        <v>71.61972439135296</v>
      </c>
    </row>
    <row r="144" spans="1:10" x14ac:dyDescent="0.25">
      <c r="A144">
        <f t="shared" si="30"/>
        <v>0.11083333333333334</v>
      </c>
      <c r="B144">
        <f t="shared" si="29"/>
        <v>-172.45273706979165</v>
      </c>
      <c r="C144">
        <f t="shared" si="28"/>
        <v>-0.58778525229247303</v>
      </c>
      <c r="D144">
        <f t="shared" si="31"/>
        <v>-0.80901699437494756</v>
      </c>
      <c r="E144">
        <f t="shared" si="22"/>
        <v>101.36517556709501</v>
      </c>
      <c r="F144">
        <f t="shared" si="23"/>
        <v>139.51719501593595</v>
      </c>
      <c r="G144">
        <f t="shared" ca="1" si="24"/>
        <v>142.35502807995343</v>
      </c>
      <c r="H144">
        <f t="shared" ca="1" si="25"/>
        <v>47.300791643490335</v>
      </c>
      <c r="I144">
        <f t="shared" ca="1" si="26"/>
        <v>150.00772950000015</v>
      </c>
      <c r="J144">
        <f t="shared" ca="1" si="27"/>
        <v>71.61972439135296</v>
      </c>
    </row>
    <row r="145" spans="1:10" x14ac:dyDescent="0.25">
      <c r="A145">
        <f t="shared" si="30"/>
        <v>0.11166666666666668</v>
      </c>
      <c r="B145">
        <f t="shared" si="29"/>
        <v>-125.83205915696378</v>
      </c>
      <c r="C145">
        <f t="shared" si="28"/>
        <v>-0.30901699437494562</v>
      </c>
      <c r="D145">
        <f t="shared" si="31"/>
        <v>-0.9510565162951542</v>
      </c>
      <c r="E145">
        <f t="shared" si="22"/>
        <v>38.884244716695299</v>
      </c>
      <c r="F145">
        <f t="shared" si="23"/>
        <v>119.67339982006773</v>
      </c>
      <c r="G145">
        <f t="shared" ca="1" si="24"/>
        <v>142.35502807995331</v>
      </c>
      <c r="H145">
        <f t="shared" ca="1" si="25"/>
        <v>47.300791643490271</v>
      </c>
      <c r="I145">
        <f t="shared" ca="1" si="26"/>
        <v>150.00772950000001</v>
      </c>
      <c r="J145">
        <f t="shared" ca="1" si="27"/>
        <v>71.61972439135296</v>
      </c>
    </row>
    <row r="146" spans="1:10" x14ac:dyDescent="0.25">
      <c r="A146">
        <f t="shared" si="30"/>
        <v>0.1125</v>
      </c>
      <c r="B146">
        <f t="shared" si="29"/>
        <v>-66.894062570344957</v>
      </c>
      <c r="C146">
        <f t="shared" si="28"/>
        <v>-3.4303072535268875E-15</v>
      </c>
      <c r="D146">
        <f t="shared" si="31"/>
        <v>-1</v>
      </c>
      <c r="E146">
        <f t="shared" si="22"/>
        <v>2.2946718805293578E-13</v>
      </c>
      <c r="F146">
        <f t="shared" si="23"/>
        <v>66.894062570344957</v>
      </c>
      <c r="G146">
        <f t="shared" ca="1" si="24"/>
        <v>142.35502807995331</v>
      </c>
      <c r="H146">
        <f t="shared" ca="1" si="25"/>
        <v>47.300791643490278</v>
      </c>
      <c r="I146">
        <f t="shared" ca="1" si="26"/>
        <v>150.00772950000001</v>
      </c>
      <c r="J146">
        <f t="shared" ca="1" si="27"/>
        <v>71.61972439135296</v>
      </c>
    </row>
    <row r="147" spans="1:10" x14ac:dyDescent="0.25">
      <c r="A147">
        <f t="shared" si="30"/>
        <v>0.11333333333333334</v>
      </c>
      <c r="B147">
        <f t="shared" si="29"/>
        <v>-1.4080090609995481</v>
      </c>
      <c r="C147">
        <f t="shared" si="28"/>
        <v>0.30901699437494584</v>
      </c>
      <c r="D147">
        <f t="shared" si="31"/>
        <v>-0.95105651629515409</v>
      </c>
      <c r="E147">
        <f t="shared" si="22"/>
        <v>-0.43509872808277017</v>
      </c>
      <c r="F147">
        <f t="shared" si="23"/>
        <v>1.3390961924662415</v>
      </c>
      <c r="G147">
        <f t="shared" ca="1" si="24"/>
        <v>142.35502807995334</v>
      </c>
      <c r="H147">
        <f t="shared" ca="1" si="25"/>
        <v>47.300791643490285</v>
      </c>
      <c r="I147">
        <f t="shared" ca="1" si="26"/>
        <v>150.00772950000007</v>
      </c>
      <c r="J147">
        <f t="shared" ca="1" si="27"/>
        <v>71.61972439135296</v>
      </c>
    </row>
    <row r="148" spans="1:10" x14ac:dyDescent="0.25">
      <c r="A148">
        <f t="shared" si="30"/>
        <v>0.11416666666666668</v>
      </c>
      <c r="B148">
        <f t="shared" si="29"/>
        <v>64.215870185412484</v>
      </c>
      <c r="C148">
        <f t="shared" si="28"/>
        <v>0.58778525229247325</v>
      </c>
      <c r="D148">
        <f t="shared" si="31"/>
        <v>-0.80901699437494734</v>
      </c>
      <c r="E148">
        <f t="shared" si="22"/>
        <v>37.745141458113388</v>
      </c>
      <c r="F148">
        <f t="shared" si="23"/>
        <v>-51.951730288574197</v>
      </c>
      <c r="G148">
        <f t="shared" ca="1" si="24"/>
        <v>142.35502807995334</v>
      </c>
      <c r="H148">
        <f t="shared" ca="1" si="25"/>
        <v>47.300791643490285</v>
      </c>
      <c r="I148">
        <f t="shared" ca="1" si="26"/>
        <v>150.00772950000007</v>
      </c>
      <c r="J148">
        <f t="shared" ca="1" si="27"/>
        <v>71.61972439135296</v>
      </c>
    </row>
    <row r="149" spans="1:10" x14ac:dyDescent="0.25">
      <c r="A149">
        <f t="shared" si="30"/>
        <v>0.115</v>
      </c>
      <c r="B149">
        <f t="shared" si="29"/>
        <v>123.55385263979869</v>
      </c>
      <c r="C149">
        <f t="shared" si="28"/>
        <v>0.80901699437494434</v>
      </c>
      <c r="D149">
        <f t="shared" si="31"/>
        <v>-0.58778525229247736</v>
      </c>
      <c r="E149">
        <f t="shared" si="22"/>
        <v>99.957166506094723</v>
      </c>
      <c r="F149">
        <f t="shared" si="23"/>
        <v>-72.623132445591636</v>
      </c>
      <c r="G149">
        <f t="shared" ca="1" si="24"/>
        <v>142.35502807995323</v>
      </c>
      <c r="H149">
        <f t="shared" ca="1" si="25"/>
        <v>47.300791643490285</v>
      </c>
      <c r="I149">
        <f t="shared" ca="1" si="26"/>
        <v>150.00772949999995</v>
      </c>
      <c r="J149">
        <f t="shared" ca="1" si="27"/>
        <v>71.61972439135296</v>
      </c>
    </row>
    <row r="150" spans="1:10" x14ac:dyDescent="0.25">
      <c r="A150">
        <f t="shared" si="30"/>
        <v>0.11583333333333334</v>
      </c>
      <c r="B150">
        <f t="shared" si="29"/>
        <v>170.79752314749223</v>
      </c>
      <c r="C150">
        <f t="shared" si="28"/>
        <v>0.95105651629515253</v>
      </c>
      <c r="D150">
        <f t="shared" si="31"/>
        <v>-0.30901699437495073</v>
      </c>
      <c r="E150">
        <f t="shared" si="22"/>
        <v>162.43809735649464</v>
      </c>
      <c r="F150">
        <f t="shared" si="23"/>
        <v>-52.779337249724122</v>
      </c>
      <c r="G150">
        <f t="shared" ca="1" si="24"/>
        <v>142.35502807995323</v>
      </c>
      <c r="H150">
        <f t="shared" ca="1" si="25"/>
        <v>47.300791643490292</v>
      </c>
      <c r="I150">
        <f t="shared" ca="1" si="26"/>
        <v>150.00772949999995</v>
      </c>
      <c r="J150">
        <f t="shared" ca="1" si="27"/>
        <v>71.61972439135296</v>
      </c>
    </row>
    <row r="151" spans="1:10" x14ac:dyDescent="0.25">
      <c r="A151">
        <f t="shared" si="30"/>
        <v>0.11666666666666667</v>
      </c>
      <c r="B151">
        <f t="shared" si="29"/>
        <v>201.32234207319073</v>
      </c>
      <c r="C151">
        <f t="shared" si="28"/>
        <v>1</v>
      </c>
      <c r="D151">
        <f t="shared" si="31"/>
        <v>-1.715207836872068E-15</v>
      </c>
      <c r="E151">
        <f t="shared" si="22"/>
        <v>201.32234207319073</v>
      </c>
      <c r="F151">
        <f t="shared" si="23"/>
        <v>-3.45309658861376E-13</v>
      </c>
      <c r="G151">
        <f t="shared" ca="1" si="24"/>
        <v>142.3550280799532</v>
      </c>
      <c r="H151">
        <f t="shared" ca="1" si="25"/>
        <v>47.300791643490285</v>
      </c>
      <c r="I151">
        <f t="shared" ca="1" si="26"/>
        <v>150.00772949999993</v>
      </c>
      <c r="J151">
        <f t="shared" ca="1" si="27"/>
        <v>71.61972439135296</v>
      </c>
    </row>
    <row r="152" spans="1:10" x14ac:dyDescent="0.25">
      <c r="A152">
        <f t="shared" si="30"/>
        <v>0.11750000000000001</v>
      </c>
      <c r="B152">
        <f t="shared" si="29"/>
        <v>212.14032746152756</v>
      </c>
      <c r="C152">
        <f t="shared" si="28"/>
        <v>0.95105651629515353</v>
      </c>
      <c r="D152">
        <f t="shared" si="31"/>
        <v>0.30901699437494745</v>
      </c>
      <c r="E152">
        <f t="shared" si="22"/>
        <v>201.7574408012735</v>
      </c>
      <c r="F152">
        <f t="shared" si="23"/>
        <v>65.554966377878372</v>
      </c>
      <c r="G152">
        <f t="shared" ca="1" si="24"/>
        <v>142.35502807995323</v>
      </c>
      <c r="H152">
        <f t="shared" ca="1" si="25"/>
        <v>47.300791643490285</v>
      </c>
      <c r="I152">
        <f t="shared" ca="1" si="26"/>
        <v>150.00772949999995</v>
      </c>
      <c r="J152">
        <f t="shared" ca="1" si="27"/>
        <v>71.61972439135296</v>
      </c>
    </row>
    <row r="153" spans="1:10" x14ac:dyDescent="0.25">
      <c r="A153">
        <f t="shared" si="30"/>
        <v>0.11833333333333335</v>
      </c>
      <c r="B153">
        <f t="shared" si="29"/>
        <v>202.19253952935605</v>
      </c>
      <c r="C153">
        <f t="shared" si="28"/>
        <v>0.80901699437494634</v>
      </c>
      <c r="D153">
        <f t="shared" si="31"/>
        <v>0.58778525229247458</v>
      </c>
      <c r="E153">
        <f t="shared" si="22"/>
        <v>163.57720061507717</v>
      </c>
      <c r="F153">
        <f t="shared" si="23"/>
        <v>118.84579285891868</v>
      </c>
      <c r="G153">
        <f t="shared" ca="1" si="24"/>
        <v>142.35502807995314</v>
      </c>
      <c r="H153">
        <f t="shared" ca="1" si="25"/>
        <v>47.300791643490349</v>
      </c>
      <c r="I153">
        <f t="shared" ca="1" si="26"/>
        <v>150.00772949999987</v>
      </c>
      <c r="J153">
        <f t="shared" ca="1" si="27"/>
        <v>71.619724391352932</v>
      </c>
    </row>
    <row r="154" spans="1:10" x14ac:dyDescent="0.25">
      <c r="A154">
        <f t="shared" si="30"/>
        <v>0.11916666666666667</v>
      </c>
      <c r="B154">
        <f t="shared" si="29"/>
        <v>172.45273706979211</v>
      </c>
      <c r="C154">
        <f t="shared" si="28"/>
        <v>0.58778525229247602</v>
      </c>
      <c r="D154">
        <f t="shared" si="31"/>
        <v>0.80901699437494534</v>
      </c>
      <c r="E154">
        <f t="shared" ref="E154:E217" si="32">$B154*C154</f>
        <v>101.36517556709579</v>
      </c>
      <c r="F154">
        <f t="shared" ref="F154:F217" si="33">$B154*D154</f>
        <v>139.51719501593593</v>
      </c>
      <c r="G154">
        <f t="shared" ref="G154:G217" ca="1" si="34">IF((ROW($A154)-ROW($A$11))&lt;$B$2-1,"",(1.4142/$B$2)*SUM(OFFSET(E154,-$B$2+1,0,$B$2,1)))</f>
        <v>142.35502807995312</v>
      </c>
      <c r="H154">
        <f t="shared" ref="H154:H217" ca="1" si="35">IF((ROW($A154)-ROW($A$11))&lt;$B$2-1,"",(1.4142/$B$2)*SUM(OFFSET(F154,-$B$2+1,0,$B$2,1)))</f>
        <v>47.300791643490342</v>
      </c>
      <c r="I154">
        <f t="shared" ref="I154:I217" ca="1" si="36">IF(G154="","",SQRT(G154^2+H154^2))</f>
        <v>150.00772949999984</v>
      </c>
      <c r="J154">
        <f t="shared" ref="J154:J217" ca="1" si="37">IF(G154="","",ATAN2(H154,G154)*180/PI())</f>
        <v>71.619724391352918</v>
      </c>
    </row>
    <row r="155" spans="1:10" x14ac:dyDescent="0.25">
      <c r="A155">
        <f t="shared" si="30"/>
        <v>0.12000000000000001</v>
      </c>
      <c r="B155">
        <f t="shared" si="29"/>
        <v>125.83205915696442</v>
      </c>
      <c r="C155">
        <f t="shared" ref="C155:C218" si="38">COS(($A155-$B$5)*$C$1)</f>
        <v>0.30901699437494912</v>
      </c>
      <c r="D155">
        <f t="shared" si="31"/>
        <v>0.95105651629515298</v>
      </c>
      <c r="E155">
        <f t="shared" si="32"/>
        <v>38.884244716695939</v>
      </c>
      <c r="F155">
        <f t="shared" si="33"/>
        <v>119.67339982006818</v>
      </c>
      <c r="G155">
        <f t="shared" ca="1" si="34"/>
        <v>142.35502807995312</v>
      </c>
      <c r="H155">
        <f t="shared" ca="1" si="35"/>
        <v>47.300791643490335</v>
      </c>
      <c r="I155">
        <f t="shared" ca="1" si="36"/>
        <v>150.00772949999984</v>
      </c>
      <c r="J155">
        <f t="shared" ca="1" si="37"/>
        <v>71.619724391352932</v>
      </c>
    </row>
    <row r="156" spans="1:10" x14ac:dyDescent="0.25">
      <c r="A156">
        <f t="shared" si="30"/>
        <v>0.12083333333333333</v>
      </c>
      <c r="B156">
        <f t="shared" si="29"/>
        <v>66.894062570345696</v>
      </c>
      <c r="C156">
        <f t="shared" si="38"/>
        <v>7.1055357778182504E-15</v>
      </c>
      <c r="D156">
        <f t="shared" si="31"/>
        <v>1</v>
      </c>
      <c r="E156">
        <f t="shared" si="32"/>
        <v>4.7531815491720401E-13</v>
      </c>
      <c r="F156">
        <f t="shared" si="33"/>
        <v>66.894062570345696</v>
      </c>
      <c r="G156">
        <f t="shared" ca="1" si="34"/>
        <v>142.35502807995314</v>
      </c>
      <c r="H156">
        <f t="shared" ca="1" si="35"/>
        <v>47.300791643490442</v>
      </c>
      <c r="I156">
        <f t="shared" ca="1" si="36"/>
        <v>150.0077294999999</v>
      </c>
      <c r="J156">
        <f t="shared" ca="1" si="37"/>
        <v>71.619724391352889</v>
      </c>
    </row>
    <row r="157" spans="1:10" x14ac:dyDescent="0.25">
      <c r="A157">
        <f t="shared" si="30"/>
        <v>0.12166666666666667</v>
      </c>
      <c r="B157">
        <f t="shared" si="29"/>
        <v>1.4080090610003277</v>
      </c>
      <c r="C157">
        <f t="shared" si="38"/>
        <v>-0.30901699437494234</v>
      </c>
      <c r="D157">
        <f t="shared" si="31"/>
        <v>0.9510565162951552</v>
      </c>
      <c r="E157">
        <f t="shared" si="32"/>
        <v>-0.43509872808300615</v>
      </c>
      <c r="F157">
        <f t="shared" si="33"/>
        <v>1.3390961924669844</v>
      </c>
      <c r="G157">
        <f t="shared" ca="1" si="34"/>
        <v>142.35502807995314</v>
      </c>
      <c r="H157">
        <f t="shared" ca="1" si="35"/>
        <v>47.300791643490534</v>
      </c>
      <c r="I157">
        <f t="shared" ca="1" si="36"/>
        <v>150.00772949999993</v>
      </c>
      <c r="J157">
        <f t="shared" ca="1" si="37"/>
        <v>71.619724391352847</v>
      </c>
    </row>
    <row r="158" spans="1:10" x14ac:dyDescent="0.25">
      <c r="A158">
        <f t="shared" si="30"/>
        <v>0.12250000000000001</v>
      </c>
      <c r="B158">
        <f t="shared" si="29"/>
        <v>-64.215870185411745</v>
      </c>
      <c r="C158">
        <f t="shared" si="38"/>
        <v>-0.58778525229247025</v>
      </c>
      <c r="D158">
        <f t="shared" si="31"/>
        <v>0.80901699437494956</v>
      </c>
      <c r="E158">
        <f t="shared" si="32"/>
        <v>37.745141458112762</v>
      </c>
      <c r="F158">
        <f t="shared" si="33"/>
        <v>-51.951730288573742</v>
      </c>
      <c r="G158">
        <f t="shared" ca="1" si="34"/>
        <v>142.35502807995314</v>
      </c>
      <c r="H158">
        <f t="shared" ca="1" si="35"/>
        <v>47.300791643490541</v>
      </c>
      <c r="I158">
        <f t="shared" ca="1" si="36"/>
        <v>150.00772949999993</v>
      </c>
      <c r="J158">
        <f t="shared" ca="1" si="37"/>
        <v>71.619724391352847</v>
      </c>
    </row>
    <row r="159" spans="1:10" x14ac:dyDescent="0.25">
      <c r="A159">
        <f t="shared" si="30"/>
        <v>0.12333333333333334</v>
      </c>
      <c r="B159">
        <f t="shared" si="29"/>
        <v>-123.55385263979927</v>
      </c>
      <c r="C159">
        <f t="shared" si="38"/>
        <v>-0.80901699437494634</v>
      </c>
      <c r="D159">
        <f t="shared" si="31"/>
        <v>0.58778525229247458</v>
      </c>
      <c r="E159">
        <f t="shared" si="32"/>
        <v>99.957166506095433</v>
      </c>
      <c r="F159">
        <f t="shared" si="33"/>
        <v>-72.623132445591636</v>
      </c>
      <c r="G159">
        <f t="shared" ca="1" si="34"/>
        <v>142.35502807995312</v>
      </c>
      <c r="H159">
        <f t="shared" ca="1" si="35"/>
        <v>47.300791643490541</v>
      </c>
      <c r="I159">
        <f t="shared" ca="1" si="36"/>
        <v>150.0077294999999</v>
      </c>
      <c r="J159">
        <f t="shared" ca="1" si="37"/>
        <v>71.619724391352847</v>
      </c>
    </row>
    <row r="160" spans="1:10" x14ac:dyDescent="0.25">
      <c r="A160">
        <f t="shared" si="30"/>
        <v>0.12416666666666668</v>
      </c>
      <c r="B160">
        <f t="shared" si="29"/>
        <v>-170.79752314749265</v>
      </c>
      <c r="C160">
        <f t="shared" si="38"/>
        <v>-0.95105651629515353</v>
      </c>
      <c r="D160">
        <f t="shared" si="31"/>
        <v>0.30901699437494745</v>
      </c>
      <c r="E160">
        <f t="shared" si="32"/>
        <v>162.43809735649521</v>
      </c>
      <c r="F160">
        <f t="shared" si="33"/>
        <v>-52.779337249723696</v>
      </c>
      <c r="G160">
        <f t="shared" ca="1" si="34"/>
        <v>142.35502807995312</v>
      </c>
      <c r="H160">
        <f t="shared" ca="1" si="35"/>
        <v>47.300791643490534</v>
      </c>
      <c r="I160">
        <f t="shared" ca="1" si="36"/>
        <v>150.0077294999999</v>
      </c>
      <c r="J160">
        <f t="shared" ca="1" si="37"/>
        <v>71.619724391352847</v>
      </c>
    </row>
    <row r="161" spans="1:10" x14ac:dyDescent="0.25">
      <c r="A161">
        <f t="shared" si="30"/>
        <v>0.125</v>
      </c>
      <c r="B161">
        <f t="shared" si="29"/>
        <v>-201.3223420731905</v>
      </c>
      <c r="C161">
        <f t="shared" si="38"/>
        <v>-1</v>
      </c>
      <c r="D161">
        <f t="shared" si="31"/>
        <v>5.3904363611634309E-15</v>
      </c>
      <c r="E161">
        <f t="shared" si="32"/>
        <v>201.3223420731905</v>
      </c>
      <c r="F161">
        <f t="shared" si="33"/>
        <v>-1.0852152730259084E-12</v>
      </c>
      <c r="G161">
        <f t="shared" ca="1" si="34"/>
        <v>142.35502807995312</v>
      </c>
      <c r="H161">
        <f t="shared" ca="1" si="35"/>
        <v>47.300791643490534</v>
      </c>
      <c r="I161">
        <f t="shared" ca="1" si="36"/>
        <v>150.0077294999999</v>
      </c>
      <c r="J161">
        <f t="shared" ca="1" si="37"/>
        <v>71.619724391352847</v>
      </c>
    </row>
    <row r="162" spans="1:10" x14ac:dyDescent="0.25">
      <c r="A162">
        <f t="shared" si="30"/>
        <v>0.12583333333333335</v>
      </c>
      <c r="B162">
        <f t="shared" si="29"/>
        <v>-212.14032746152756</v>
      </c>
      <c r="C162">
        <f t="shared" si="38"/>
        <v>-0.95105651629515253</v>
      </c>
      <c r="D162">
        <f t="shared" si="31"/>
        <v>-0.30901699437495073</v>
      </c>
      <c r="E162">
        <f t="shared" si="32"/>
        <v>201.75744080127328</v>
      </c>
      <c r="F162">
        <f t="shared" si="33"/>
        <v>65.554966377879069</v>
      </c>
      <c r="G162">
        <f t="shared" ca="1" si="34"/>
        <v>142.35502807995312</v>
      </c>
      <c r="H162">
        <f t="shared" ca="1" si="35"/>
        <v>47.300791643490633</v>
      </c>
      <c r="I162">
        <f t="shared" ca="1" si="36"/>
        <v>150.00772949999995</v>
      </c>
      <c r="J162">
        <f t="shared" ca="1" si="37"/>
        <v>71.619724391352818</v>
      </c>
    </row>
    <row r="163" spans="1:10" x14ac:dyDescent="0.25">
      <c r="A163">
        <f t="shared" si="30"/>
        <v>0.12666666666666668</v>
      </c>
      <c r="B163">
        <f t="shared" si="29"/>
        <v>-202.19253952935631</v>
      </c>
      <c r="C163">
        <f t="shared" si="38"/>
        <v>-0.80901699437494856</v>
      </c>
      <c r="D163">
        <f t="shared" si="31"/>
        <v>-0.58778525229247158</v>
      </c>
      <c r="E163">
        <f t="shared" si="32"/>
        <v>163.57720061507783</v>
      </c>
      <c r="F163">
        <f t="shared" si="33"/>
        <v>118.84579285891823</v>
      </c>
      <c r="G163">
        <f t="shared" ca="1" si="34"/>
        <v>142.35502807995312</v>
      </c>
      <c r="H163">
        <f t="shared" ca="1" si="35"/>
        <v>47.300791643490633</v>
      </c>
      <c r="I163">
        <f t="shared" ca="1" si="36"/>
        <v>150.00772949999995</v>
      </c>
      <c r="J163">
        <f t="shared" ca="1" si="37"/>
        <v>71.619724391352818</v>
      </c>
    </row>
    <row r="164" spans="1:10" x14ac:dyDescent="0.25">
      <c r="A164">
        <f t="shared" si="30"/>
        <v>0.1275</v>
      </c>
      <c r="B164">
        <f t="shared" si="29"/>
        <v>-172.45273706979253</v>
      </c>
      <c r="C164">
        <f t="shared" si="38"/>
        <v>-0.58778525229247891</v>
      </c>
      <c r="D164">
        <f t="shared" si="31"/>
        <v>-0.80901699437494323</v>
      </c>
      <c r="E164">
        <f t="shared" si="32"/>
        <v>101.36517556709653</v>
      </c>
      <c r="F164">
        <f t="shared" si="33"/>
        <v>139.5171950159359</v>
      </c>
      <c r="G164">
        <f t="shared" ca="1" si="34"/>
        <v>142.35502807995317</v>
      </c>
      <c r="H164">
        <f t="shared" ca="1" si="35"/>
        <v>47.300791643490626</v>
      </c>
      <c r="I164">
        <f t="shared" ca="1" si="36"/>
        <v>150.00772949999998</v>
      </c>
      <c r="J164">
        <f t="shared" ca="1" si="37"/>
        <v>71.619724391352833</v>
      </c>
    </row>
    <row r="165" spans="1:10" x14ac:dyDescent="0.25">
      <c r="A165">
        <f t="shared" si="30"/>
        <v>0.12833333333333335</v>
      </c>
      <c r="B165">
        <f t="shared" ref="B165:B228" si="39">1.5*$B$6*SIN((A165*$C$1)+1.25)</f>
        <v>-125.83205915696382</v>
      </c>
      <c r="C165">
        <f t="shared" si="38"/>
        <v>-0.30901699437494584</v>
      </c>
      <c r="D165">
        <f t="shared" si="31"/>
        <v>-0.95105651629515409</v>
      </c>
      <c r="E165">
        <f t="shared" si="32"/>
        <v>38.884244716695342</v>
      </c>
      <c r="F165">
        <f t="shared" si="33"/>
        <v>119.67339982006776</v>
      </c>
      <c r="G165">
        <f t="shared" ca="1" si="34"/>
        <v>142.35502807995317</v>
      </c>
      <c r="H165">
        <f t="shared" ca="1" si="35"/>
        <v>47.300791643490626</v>
      </c>
      <c r="I165">
        <f t="shared" ca="1" si="36"/>
        <v>150.00772949999998</v>
      </c>
      <c r="J165">
        <f t="shared" ca="1" si="37"/>
        <v>71.619724391352833</v>
      </c>
    </row>
    <row r="166" spans="1:10" x14ac:dyDescent="0.25">
      <c r="A166">
        <f t="shared" si="30"/>
        <v>0.12916666666666668</v>
      </c>
      <c r="B166">
        <f t="shared" si="39"/>
        <v>-66.894062570345014</v>
      </c>
      <c r="C166">
        <f t="shared" si="38"/>
        <v>-3.6753369445086115E-15</v>
      </c>
      <c r="D166">
        <f t="shared" si="31"/>
        <v>-1</v>
      </c>
      <c r="E166">
        <f t="shared" si="32"/>
        <v>2.4585821953305969E-13</v>
      </c>
      <c r="F166">
        <f t="shared" si="33"/>
        <v>66.894062570345014</v>
      </c>
      <c r="G166">
        <f t="shared" ca="1" si="34"/>
        <v>142.35502807995317</v>
      </c>
      <c r="H166">
        <f t="shared" ca="1" si="35"/>
        <v>47.300791643490633</v>
      </c>
      <c r="I166">
        <f t="shared" ca="1" si="36"/>
        <v>150.00772950000001</v>
      </c>
      <c r="J166">
        <f t="shared" ca="1" si="37"/>
        <v>71.619724391352833</v>
      </c>
    </row>
    <row r="167" spans="1:10" x14ac:dyDescent="0.25">
      <c r="A167">
        <f t="shared" si="30"/>
        <v>0.13</v>
      </c>
      <c r="B167">
        <f t="shared" si="39"/>
        <v>-1.4080090609996003</v>
      </c>
      <c r="C167">
        <f t="shared" si="38"/>
        <v>0.30901699437494562</v>
      </c>
      <c r="D167">
        <f t="shared" si="31"/>
        <v>-0.9510565162951542</v>
      </c>
      <c r="E167">
        <f t="shared" si="32"/>
        <v>-0.43509872808278593</v>
      </c>
      <c r="F167">
        <f t="shared" si="33"/>
        <v>1.3390961924662912</v>
      </c>
      <c r="G167">
        <f t="shared" ca="1" si="34"/>
        <v>142.35502807995317</v>
      </c>
      <c r="H167">
        <f t="shared" ca="1" si="35"/>
        <v>47.300791643490633</v>
      </c>
      <c r="I167">
        <f t="shared" ca="1" si="36"/>
        <v>150.00772950000001</v>
      </c>
      <c r="J167">
        <f t="shared" ca="1" si="37"/>
        <v>71.619724391352833</v>
      </c>
    </row>
    <row r="168" spans="1:10" x14ac:dyDescent="0.25">
      <c r="A168">
        <f t="shared" si="30"/>
        <v>0.13083333333333333</v>
      </c>
      <c r="B168">
        <f t="shared" si="39"/>
        <v>64.215870185411006</v>
      </c>
      <c r="C168">
        <f t="shared" si="38"/>
        <v>0.58778525229246725</v>
      </c>
      <c r="D168">
        <f t="shared" si="31"/>
        <v>-0.80901699437495167</v>
      </c>
      <c r="E168">
        <f t="shared" si="32"/>
        <v>37.745141458112137</v>
      </c>
      <c r="F168">
        <f t="shared" si="33"/>
        <v>-51.95173028857328</v>
      </c>
      <c r="G168">
        <f t="shared" ca="1" si="34"/>
        <v>142.35502807995309</v>
      </c>
      <c r="H168">
        <f t="shared" ca="1" si="35"/>
        <v>47.300791643490705</v>
      </c>
      <c r="I168">
        <f t="shared" ca="1" si="36"/>
        <v>150.00772949999995</v>
      </c>
      <c r="J168">
        <f t="shared" ca="1" si="37"/>
        <v>71.61972439135279</v>
      </c>
    </row>
    <row r="169" spans="1:10" x14ac:dyDescent="0.25">
      <c r="A169">
        <f t="shared" si="30"/>
        <v>0.13166666666666668</v>
      </c>
      <c r="B169">
        <f t="shared" si="39"/>
        <v>123.55385263979987</v>
      </c>
      <c r="C169">
        <f t="shared" si="38"/>
        <v>0.80901699437494834</v>
      </c>
      <c r="D169">
        <f t="shared" si="31"/>
        <v>-0.5877852522924718</v>
      </c>
      <c r="E169">
        <f t="shared" si="32"/>
        <v>99.957166506096172</v>
      </c>
      <c r="F169">
        <f t="shared" si="33"/>
        <v>-72.623132445591651</v>
      </c>
      <c r="G169">
        <f t="shared" ca="1" si="34"/>
        <v>142.35502807995317</v>
      </c>
      <c r="H169">
        <f t="shared" ca="1" si="35"/>
        <v>47.300791643490705</v>
      </c>
      <c r="I169">
        <f t="shared" ca="1" si="36"/>
        <v>150.00772950000001</v>
      </c>
      <c r="J169">
        <f t="shared" ca="1" si="37"/>
        <v>71.619724391352804</v>
      </c>
    </row>
    <row r="170" spans="1:10" x14ac:dyDescent="0.25">
      <c r="A170">
        <f t="shared" si="30"/>
        <v>0.13250000000000001</v>
      </c>
      <c r="B170">
        <f t="shared" si="39"/>
        <v>170.79752314749217</v>
      </c>
      <c r="C170">
        <f t="shared" si="38"/>
        <v>0.95105651629515242</v>
      </c>
      <c r="D170">
        <f t="shared" si="31"/>
        <v>-0.30901699437495095</v>
      </c>
      <c r="E170">
        <f t="shared" si="32"/>
        <v>162.43809735649455</v>
      </c>
      <c r="F170">
        <f t="shared" si="33"/>
        <v>-52.779337249724144</v>
      </c>
      <c r="G170">
        <f t="shared" ca="1" si="34"/>
        <v>142.35502807995317</v>
      </c>
      <c r="H170">
        <f t="shared" ca="1" si="35"/>
        <v>47.300791643490697</v>
      </c>
      <c r="I170">
        <f t="shared" ca="1" si="36"/>
        <v>150.00772950000001</v>
      </c>
      <c r="J170">
        <f t="shared" ca="1" si="37"/>
        <v>71.619724391352804</v>
      </c>
    </row>
    <row r="171" spans="1:10" x14ac:dyDescent="0.25">
      <c r="A171">
        <f t="shared" si="30"/>
        <v>0.13333333333333333</v>
      </c>
      <c r="B171">
        <f t="shared" si="39"/>
        <v>201.32234207319024</v>
      </c>
      <c r="C171">
        <f t="shared" si="38"/>
        <v>1</v>
      </c>
      <c r="D171">
        <f t="shared" si="31"/>
        <v>-9.0656648854547939E-15</v>
      </c>
      <c r="E171">
        <f t="shared" si="32"/>
        <v>201.32234207319024</v>
      </c>
      <c r="F171">
        <f t="shared" si="33"/>
        <v>-1.8251208871904389E-12</v>
      </c>
      <c r="G171">
        <f t="shared" ca="1" si="34"/>
        <v>142.35502807995314</v>
      </c>
      <c r="H171">
        <f t="shared" ca="1" si="35"/>
        <v>47.300791643490598</v>
      </c>
      <c r="I171">
        <f t="shared" ca="1" si="36"/>
        <v>150.00772949999995</v>
      </c>
      <c r="J171">
        <f t="shared" ca="1" si="37"/>
        <v>71.619724391352833</v>
      </c>
    </row>
    <row r="172" spans="1:10" x14ac:dyDescent="0.25">
      <c r="A172">
        <f t="shared" si="30"/>
        <v>0.13416666666666668</v>
      </c>
      <c r="B172">
        <f t="shared" si="39"/>
        <v>212.14032746152756</v>
      </c>
      <c r="C172">
        <f t="shared" si="38"/>
        <v>0.95105651629515364</v>
      </c>
      <c r="D172">
        <f t="shared" si="31"/>
        <v>0.30901699437494723</v>
      </c>
      <c r="E172">
        <f t="shared" si="32"/>
        <v>201.7574408012735</v>
      </c>
      <c r="F172">
        <f t="shared" si="33"/>
        <v>65.55496637787833</v>
      </c>
      <c r="G172">
        <f t="shared" ca="1" si="34"/>
        <v>142.35502807995314</v>
      </c>
      <c r="H172">
        <f t="shared" ca="1" si="35"/>
        <v>47.300791643490598</v>
      </c>
      <c r="I172">
        <f t="shared" ca="1" si="36"/>
        <v>150.00772949999995</v>
      </c>
      <c r="J172">
        <f t="shared" ca="1" si="37"/>
        <v>71.619724391352833</v>
      </c>
    </row>
    <row r="173" spans="1:10" x14ac:dyDescent="0.25">
      <c r="A173">
        <f t="shared" si="30"/>
        <v>0.13500000000000001</v>
      </c>
      <c r="B173">
        <f t="shared" si="39"/>
        <v>202.19253952935654</v>
      </c>
      <c r="C173">
        <f t="shared" si="38"/>
        <v>0.80901699437495067</v>
      </c>
      <c r="D173">
        <f t="shared" si="31"/>
        <v>0.5877852522924687</v>
      </c>
      <c r="E173">
        <f t="shared" si="32"/>
        <v>163.57720061507843</v>
      </c>
      <c r="F173">
        <f t="shared" si="33"/>
        <v>118.84579285891778</v>
      </c>
      <c r="G173">
        <f t="shared" ca="1" si="34"/>
        <v>142.35502807995326</v>
      </c>
      <c r="H173">
        <f t="shared" ca="1" si="35"/>
        <v>47.300791643490527</v>
      </c>
      <c r="I173">
        <f t="shared" ca="1" si="36"/>
        <v>150.00772950000004</v>
      </c>
      <c r="J173">
        <f t="shared" ca="1" si="37"/>
        <v>71.619724391352875</v>
      </c>
    </row>
    <row r="174" spans="1:10" x14ac:dyDescent="0.25">
      <c r="A174">
        <f t="shared" si="30"/>
        <v>0.13583333333333333</v>
      </c>
      <c r="B174">
        <f t="shared" si="39"/>
        <v>172.45273706979211</v>
      </c>
      <c r="C174">
        <f t="shared" si="38"/>
        <v>0.58778525229247613</v>
      </c>
      <c r="D174">
        <f t="shared" si="31"/>
        <v>0.80901699437494523</v>
      </c>
      <c r="E174">
        <f t="shared" si="32"/>
        <v>101.3651755670958</v>
      </c>
      <c r="F174">
        <f t="shared" si="33"/>
        <v>139.5171950159359</v>
      </c>
      <c r="G174">
        <f t="shared" ca="1" si="34"/>
        <v>142.35502807995326</v>
      </c>
      <c r="H174">
        <f t="shared" ca="1" si="35"/>
        <v>47.300791643490527</v>
      </c>
      <c r="I174">
        <f t="shared" ca="1" si="36"/>
        <v>150.00772950000004</v>
      </c>
      <c r="J174">
        <f t="shared" ca="1" si="37"/>
        <v>71.619724391352875</v>
      </c>
    </row>
    <row r="175" spans="1:10" x14ac:dyDescent="0.25">
      <c r="A175">
        <f t="shared" si="30"/>
        <v>0.13666666666666669</v>
      </c>
      <c r="B175">
        <f t="shared" si="39"/>
        <v>125.83205915696445</v>
      </c>
      <c r="C175">
        <f t="shared" si="38"/>
        <v>0.30901699437494934</v>
      </c>
      <c r="D175">
        <f t="shared" si="31"/>
        <v>0.95105651629515298</v>
      </c>
      <c r="E175">
        <f t="shared" si="32"/>
        <v>38.884244716695974</v>
      </c>
      <c r="F175">
        <f t="shared" si="33"/>
        <v>119.67339982006821</v>
      </c>
      <c r="G175">
        <f t="shared" ca="1" si="34"/>
        <v>142.35502807995326</v>
      </c>
      <c r="H175">
        <f t="shared" ca="1" si="35"/>
        <v>47.300791643490527</v>
      </c>
      <c r="I175">
        <f t="shared" ca="1" si="36"/>
        <v>150.00772950000004</v>
      </c>
      <c r="J175">
        <f t="shared" ca="1" si="37"/>
        <v>71.619724391352875</v>
      </c>
    </row>
    <row r="176" spans="1:10" x14ac:dyDescent="0.25">
      <c r="A176">
        <f t="shared" si="30"/>
        <v>0.13750000000000001</v>
      </c>
      <c r="B176">
        <f t="shared" si="39"/>
        <v>66.894062570344317</v>
      </c>
      <c r="C176">
        <f t="shared" si="38"/>
        <v>2.4513811119897255E-16</v>
      </c>
      <c r="D176">
        <f t="shared" si="31"/>
        <v>1</v>
      </c>
      <c r="E176">
        <f t="shared" si="32"/>
        <v>1.6398284148920093E-14</v>
      </c>
      <c r="F176">
        <f t="shared" si="33"/>
        <v>66.894062570344317</v>
      </c>
      <c r="G176">
        <f t="shared" ca="1" si="34"/>
        <v>142.35502807995323</v>
      </c>
      <c r="H176">
        <f t="shared" ca="1" si="35"/>
        <v>47.300791643490435</v>
      </c>
      <c r="I176">
        <f t="shared" ca="1" si="36"/>
        <v>150.00772949999998</v>
      </c>
      <c r="J176">
        <f t="shared" ca="1" si="37"/>
        <v>71.619724391352904</v>
      </c>
    </row>
    <row r="177" spans="1:10" x14ac:dyDescent="0.25">
      <c r="A177">
        <f t="shared" si="30"/>
        <v>0.13833333333333334</v>
      </c>
      <c r="B177">
        <f t="shared" si="39"/>
        <v>1.4080090610003799</v>
      </c>
      <c r="C177">
        <f t="shared" si="38"/>
        <v>-0.30901699437494212</v>
      </c>
      <c r="D177">
        <f t="shared" si="31"/>
        <v>0.95105651629515531</v>
      </c>
      <c r="E177">
        <f t="shared" si="32"/>
        <v>-0.43509872808302197</v>
      </c>
      <c r="F177">
        <f t="shared" si="33"/>
        <v>1.3390961924670342</v>
      </c>
      <c r="G177">
        <f t="shared" ca="1" si="34"/>
        <v>142.35502807995323</v>
      </c>
      <c r="H177">
        <f t="shared" ca="1" si="35"/>
        <v>47.300791643490442</v>
      </c>
      <c r="I177">
        <f t="shared" ca="1" si="36"/>
        <v>150.00772949999998</v>
      </c>
      <c r="J177">
        <f t="shared" ca="1" si="37"/>
        <v>71.619724391352904</v>
      </c>
    </row>
    <row r="178" spans="1:10" x14ac:dyDescent="0.25">
      <c r="A178">
        <f t="shared" si="30"/>
        <v>0.13916666666666669</v>
      </c>
      <c r="B178">
        <f t="shared" si="39"/>
        <v>-64.215870185413138</v>
      </c>
      <c r="C178">
        <f t="shared" si="38"/>
        <v>-0.5877852522924758</v>
      </c>
      <c r="D178">
        <f t="shared" si="31"/>
        <v>0.80901699437494545</v>
      </c>
      <c r="E178">
        <f t="shared" si="32"/>
        <v>37.745141458113935</v>
      </c>
      <c r="F178">
        <f t="shared" si="33"/>
        <v>-51.951730288574609</v>
      </c>
      <c r="G178">
        <f t="shared" ca="1" si="34"/>
        <v>142.35502807995329</v>
      </c>
      <c r="H178">
        <f t="shared" ca="1" si="35"/>
        <v>47.300791643490378</v>
      </c>
      <c r="I178">
        <f t="shared" ca="1" si="36"/>
        <v>150.00772950000001</v>
      </c>
      <c r="J178">
        <f t="shared" ca="1" si="37"/>
        <v>71.619724391352932</v>
      </c>
    </row>
    <row r="179" spans="1:10" x14ac:dyDescent="0.25">
      <c r="A179">
        <f t="shared" si="30"/>
        <v>0.14000000000000001</v>
      </c>
      <c r="B179">
        <f t="shared" si="39"/>
        <v>-123.55385263979923</v>
      </c>
      <c r="C179">
        <f t="shared" si="38"/>
        <v>-0.80901699437494623</v>
      </c>
      <c r="D179">
        <f t="shared" si="31"/>
        <v>0.5877852522924748</v>
      </c>
      <c r="E179">
        <f t="shared" si="32"/>
        <v>99.95716650609539</v>
      </c>
      <c r="F179">
        <f t="shared" si="33"/>
        <v>-72.623132445591651</v>
      </c>
      <c r="G179">
        <f t="shared" ca="1" si="34"/>
        <v>142.35502807995329</v>
      </c>
      <c r="H179">
        <f t="shared" ca="1" si="35"/>
        <v>47.300791643490378</v>
      </c>
      <c r="I179">
        <f t="shared" ca="1" si="36"/>
        <v>150.00772950000001</v>
      </c>
      <c r="J179">
        <f t="shared" ca="1" si="37"/>
        <v>71.619724391352932</v>
      </c>
    </row>
    <row r="180" spans="1:10" x14ac:dyDescent="0.25">
      <c r="A180">
        <f t="shared" si="30"/>
        <v>0.14083333333333334</v>
      </c>
      <c r="B180">
        <f t="shared" si="39"/>
        <v>-170.79752314749175</v>
      </c>
      <c r="C180">
        <f t="shared" si="38"/>
        <v>-0.95105651629515131</v>
      </c>
      <c r="D180">
        <f t="shared" si="31"/>
        <v>0.30901699437495445</v>
      </c>
      <c r="E180">
        <f t="shared" si="32"/>
        <v>162.43809735649396</v>
      </c>
      <c r="F180">
        <f t="shared" si="33"/>
        <v>-52.779337249724605</v>
      </c>
      <c r="G180">
        <f t="shared" ca="1" si="34"/>
        <v>142.3550280799532</v>
      </c>
      <c r="H180">
        <f t="shared" ca="1" si="35"/>
        <v>47.3007916434903</v>
      </c>
      <c r="I180">
        <f t="shared" ca="1" si="36"/>
        <v>150.00772949999993</v>
      </c>
      <c r="J180">
        <f t="shared" ca="1" si="37"/>
        <v>71.619724391352946</v>
      </c>
    </row>
    <row r="181" spans="1:10" x14ac:dyDescent="0.25">
      <c r="A181">
        <f t="shared" si="30"/>
        <v>0.14166666666666666</v>
      </c>
      <c r="B181">
        <f t="shared" si="39"/>
        <v>-201.32234207319047</v>
      </c>
      <c r="C181">
        <f t="shared" si="38"/>
        <v>-1</v>
      </c>
      <c r="D181">
        <f t="shared" si="31"/>
        <v>5.6354660521451549E-15</v>
      </c>
      <c r="E181">
        <f t="shared" si="32"/>
        <v>201.32234207319047</v>
      </c>
      <c r="F181">
        <f t="shared" si="33"/>
        <v>-1.1345452242918192E-12</v>
      </c>
      <c r="G181">
        <f t="shared" ca="1" si="34"/>
        <v>142.3550280799532</v>
      </c>
      <c r="H181">
        <f t="shared" ca="1" si="35"/>
        <v>47.3007916434903</v>
      </c>
      <c r="I181">
        <f t="shared" ca="1" si="36"/>
        <v>150.00772949999993</v>
      </c>
      <c r="J181">
        <f t="shared" ca="1" si="37"/>
        <v>71.619724391352946</v>
      </c>
    </row>
    <row r="182" spans="1:10" x14ac:dyDescent="0.25">
      <c r="A182">
        <f t="shared" si="30"/>
        <v>0.14250000000000002</v>
      </c>
      <c r="B182">
        <f t="shared" si="39"/>
        <v>-212.14032746152756</v>
      </c>
      <c r="C182">
        <f t="shared" si="38"/>
        <v>-0.95105651629515253</v>
      </c>
      <c r="D182">
        <f t="shared" si="31"/>
        <v>-0.3090169943749505</v>
      </c>
      <c r="E182">
        <f t="shared" si="32"/>
        <v>201.75744080127328</v>
      </c>
      <c r="F182">
        <f t="shared" si="33"/>
        <v>65.554966377879026</v>
      </c>
      <c r="G182">
        <f t="shared" ca="1" si="34"/>
        <v>142.3550280799532</v>
      </c>
      <c r="H182">
        <f t="shared" ca="1" si="35"/>
        <v>47.3007916434903</v>
      </c>
      <c r="I182">
        <f t="shared" ca="1" si="36"/>
        <v>150.00772949999993</v>
      </c>
      <c r="J182">
        <f t="shared" ca="1" si="37"/>
        <v>71.619724391352946</v>
      </c>
    </row>
    <row r="183" spans="1:10" x14ac:dyDescent="0.25">
      <c r="A183">
        <f t="shared" si="30"/>
        <v>0.14333333333333334</v>
      </c>
      <c r="B183">
        <f t="shared" si="39"/>
        <v>-202.19253952935631</v>
      </c>
      <c r="C183">
        <f t="shared" si="38"/>
        <v>-0.80901699437494867</v>
      </c>
      <c r="D183">
        <f t="shared" si="31"/>
        <v>-0.58778525229247147</v>
      </c>
      <c r="E183">
        <f t="shared" si="32"/>
        <v>163.57720061507783</v>
      </c>
      <c r="F183">
        <f t="shared" si="33"/>
        <v>118.84579285891822</v>
      </c>
      <c r="G183">
        <f t="shared" ca="1" si="34"/>
        <v>142.3550280799532</v>
      </c>
      <c r="H183">
        <f t="shared" ca="1" si="35"/>
        <v>47.3007916434903</v>
      </c>
      <c r="I183">
        <f t="shared" ca="1" si="36"/>
        <v>150.00772949999993</v>
      </c>
      <c r="J183">
        <f t="shared" ca="1" si="37"/>
        <v>71.619724391352946</v>
      </c>
    </row>
    <row r="184" spans="1:10" x14ac:dyDescent="0.25">
      <c r="A184">
        <f t="shared" si="30"/>
        <v>0.14416666666666667</v>
      </c>
      <c r="B184">
        <f t="shared" si="39"/>
        <v>-172.45273706979256</v>
      </c>
      <c r="C184">
        <f t="shared" si="38"/>
        <v>-0.58778525229247913</v>
      </c>
      <c r="D184">
        <f t="shared" si="31"/>
        <v>-0.80901699437494301</v>
      </c>
      <c r="E184">
        <f t="shared" si="32"/>
        <v>101.36517556709659</v>
      </c>
      <c r="F184">
        <f t="shared" si="33"/>
        <v>139.5171950159359</v>
      </c>
      <c r="G184">
        <f t="shared" ca="1" si="34"/>
        <v>142.35502807995323</v>
      </c>
      <c r="H184">
        <f t="shared" ca="1" si="35"/>
        <v>47.3007916434903</v>
      </c>
      <c r="I184">
        <f t="shared" ca="1" si="36"/>
        <v>150.00772949999995</v>
      </c>
      <c r="J184">
        <f t="shared" ca="1" si="37"/>
        <v>71.61972439135296</v>
      </c>
    </row>
    <row r="185" spans="1:10" x14ac:dyDescent="0.25">
      <c r="A185">
        <f t="shared" si="30"/>
        <v>0.14500000000000002</v>
      </c>
      <c r="B185">
        <f t="shared" si="39"/>
        <v>-125.83205915696388</v>
      </c>
      <c r="C185">
        <f t="shared" si="38"/>
        <v>-0.30901699437494606</v>
      </c>
      <c r="D185">
        <f t="shared" si="31"/>
        <v>-0.95105651629515398</v>
      </c>
      <c r="E185">
        <f t="shared" si="32"/>
        <v>38.884244716695385</v>
      </c>
      <c r="F185">
        <f t="shared" si="33"/>
        <v>119.6733998200678</v>
      </c>
      <c r="G185">
        <f t="shared" ca="1" si="34"/>
        <v>142.3550280799532</v>
      </c>
      <c r="H185">
        <f t="shared" ca="1" si="35"/>
        <v>47.3007916434903</v>
      </c>
      <c r="I185">
        <f t="shared" ca="1" si="36"/>
        <v>150.00772949999993</v>
      </c>
      <c r="J185">
        <f t="shared" ca="1" si="37"/>
        <v>71.619724391352946</v>
      </c>
    </row>
    <row r="186" spans="1:10" x14ac:dyDescent="0.25">
      <c r="A186">
        <f t="shared" si="30"/>
        <v>0.14583333333333334</v>
      </c>
      <c r="B186">
        <f t="shared" si="39"/>
        <v>-66.894062570345071</v>
      </c>
      <c r="C186">
        <f t="shared" si="38"/>
        <v>-3.9203666354903355E-15</v>
      </c>
      <c r="D186">
        <f t="shared" si="31"/>
        <v>-1</v>
      </c>
      <c r="E186">
        <f t="shared" si="32"/>
        <v>2.622492510131837E-13</v>
      </c>
      <c r="F186">
        <f t="shared" si="33"/>
        <v>66.894062570345071</v>
      </c>
      <c r="G186">
        <f t="shared" ca="1" si="34"/>
        <v>142.3550280799532</v>
      </c>
      <c r="H186">
        <f t="shared" ca="1" si="35"/>
        <v>47.300791643490314</v>
      </c>
      <c r="I186">
        <f t="shared" ca="1" si="36"/>
        <v>150.00772949999993</v>
      </c>
      <c r="J186">
        <f t="shared" ca="1" si="37"/>
        <v>71.619724391352946</v>
      </c>
    </row>
    <row r="187" spans="1:10" x14ac:dyDescent="0.25">
      <c r="A187">
        <f t="shared" si="30"/>
        <v>0.14666666666666667</v>
      </c>
      <c r="B187">
        <f t="shared" si="39"/>
        <v>-1.4080090610011595</v>
      </c>
      <c r="C187">
        <f t="shared" si="38"/>
        <v>0.30901699437493862</v>
      </c>
      <c r="D187">
        <f t="shared" si="31"/>
        <v>-0.95105651629515642</v>
      </c>
      <c r="E187">
        <f t="shared" si="32"/>
        <v>-0.43509872808325795</v>
      </c>
      <c r="F187">
        <f t="shared" si="33"/>
        <v>1.3390961924677771</v>
      </c>
      <c r="G187">
        <f t="shared" ca="1" si="34"/>
        <v>142.35502807995317</v>
      </c>
      <c r="H187">
        <f t="shared" ca="1" si="35"/>
        <v>47.300791643490413</v>
      </c>
      <c r="I187">
        <f t="shared" ca="1" si="36"/>
        <v>150.00772949999993</v>
      </c>
      <c r="J187">
        <f t="shared" ca="1" si="37"/>
        <v>71.619724391352904</v>
      </c>
    </row>
    <row r="188" spans="1:10" x14ac:dyDescent="0.25">
      <c r="A188">
        <f t="shared" si="30"/>
        <v>0.14750000000000002</v>
      </c>
      <c r="B188">
        <f t="shared" si="39"/>
        <v>64.215870185412385</v>
      </c>
      <c r="C188">
        <f t="shared" si="38"/>
        <v>0.5877852522924728</v>
      </c>
      <c r="D188">
        <f t="shared" si="31"/>
        <v>-0.80901699437494767</v>
      </c>
      <c r="E188">
        <f t="shared" si="32"/>
        <v>37.745141458113302</v>
      </c>
      <c r="F188">
        <f t="shared" si="33"/>
        <v>-51.95173028857414</v>
      </c>
      <c r="G188">
        <f t="shared" ca="1" si="34"/>
        <v>142.35502807995326</v>
      </c>
      <c r="H188">
        <f t="shared" ca="1" si="35"/>
        <v>47.300791643490349</v>
      </c>
      <c r="I188">
        <f t="shared" ca="1" si="36"/>
        <v>150.00772949999998</v>
      </c>
      <c r="J188">
        <f t="shared" ca="1" si="37"/>
        <v>71.619724391352946</v>
      </c>
    </row>
    <row r="189" spans="1:10" x14ac:dyDescent="0.25">
      <c r="A189">
        <f t="shared" si="30"/>
        <v>0.14833333333333334</v>
      </c>
      <c r="B189">
        <f t="shared" si="39"/>
        <v>123.55385263979981</v>
      </c>
      <c r="C189">
        <f t="shared" si="38"/>
        <v>0.80901699437494823</v>
      </c>
      <c r="D189">
        <f t="shared" si="31"/>
        <v>-0.58778525229247203</v>
      </c>
      <c r="E189">
        <f t="shared" si="32"/>
        <v>99.957166506096115</v>
      </c>
      <c r="F189">
        <f t="shared" si="33"/>
        <v>-72.623132445591651</v>
      </c>
      <c r="G189">
        <f t="shared" ca="1" si="34"/>
        <v>142.35502807995326</v>
      </c>
      <c r="H189">
        <f t="shared" ca="1" si="35"/>
        <v>47.300791643490349</v>
      </c>
      <c r="I189">
        <f t="shared" ca="1" si="36"/>
        <v>150.00772949999998</v>
      </c>
      <c r="J189">
        <f t="shared" ca="1" si="37"/>
        <v>71.619724391352946</v>
      </c>
    </row>
    <row r="190" spans="1:10" x14ac:dyDescent="0.25">
      <c r="A190">
        <f t="shared" si="30"/>
        <v>0.14916666666666667</v>
      </c>
      <c r="B190">
        <f t="shared" si="39"/>
        <v>170.79752314749214</v>
      </c>
      <c r="C190">
        <f t="shared" si="38"/>
        <v>0.95105651629515231</v>
      </c>
      <c r="D190">
        <f t="shared" si="31"/>
        <v>-0.30901699437495123</v>
      </c>
      <c r="E190">
        <f t="shared" si="32"/>
        <v>162.43809735649452</v>
      </c>
      <c r="F190">
        <f t="shared" si="33"/>
        <v>-52.779337249724179</v>
      </c>
      <c r="G190">
        <f t="shared" ca="1" si="34"/>
        <v>142.35502807995326</v>
      </c>
      <c r="H190">
        <f t="shared" ca="1" si="35"/>
        <v>47.300791643490349</v>
      </c>
      <c r="I190">
        <f t="shared" ca="1" si="36"/>
        <v>150.00772949999998</v>
      </c>
      <c r="J190">
        <f t="shared" ca="1" si="37"/>
        <v>71.619724391352946</v>
      </c>
    </row>
    <row r="191" spans="1:10" x14ac:dyDescent="0.25">
      <c r="A191">
        <f t="shared" si="30"/>
        <v>0.15000000000000002</v>
      </c>
      <c r="B191">
        <f t="shared" si="39"/>
        <v>201.32234207319118</v>
      </c>
      <c r="C191">
        <f t="shared" si="38"/>
        <v>1</v>
      </c>
      <c r="D191">
        <f t="shared" si="31"/>
        <v>4.9001601387654858E-15</v>
      </c>
      <c r="E191">
        <f t="shared" si="32"/>
        <v>201.32234207319118</v>
      </c>
      <c r="F191">
        <f t="shared" si="33"/>
        <v>9.8651171566996107E-13</v>
      </c>
      <c r="G191">
        <f t="shared" ca="1" si="34"/>
        <v>142.35502807995334</v>
      </c>
      <c r="H191">
        <f t="shared" ca="1" si="35"/>
        <v>47.300791643490555</v>
      </c>
      <c r="I191">
        <f t="shared" ca="1" si="36"/>
        <v>150.00772950000015</v>
      </c>
      <c r="J191">
        <f t="shared" ca="1" si="37"/>
        <v>71.619724391352875</v>
      </c>
    </row>
    <row r="192" spans="1:10" x14ac:dyDescent="0.25">
      <c r="A192">
        <f t="shared" si="30"/>
        <v>0.15083333333333335</v>
      </c>
      <c r="B192">
        <f t="shared" si="39"/>
        <v>212.14032746152756</v>
      </c>
      <c r="C192">
        <f t="shared" si="38"/>
        <v>0.95105651629515375</v>
      </c>
      <c r="D192">
        <f t="shared" si="31"/>
        <v>0.30901699437494701</v>
      </c>
      <c r="E192">
        <f t="shared" si="32"/>
        <v>201.75744080127353</v>
      </c>
      <c r="F192">
        <f t="shared" si="33"/>
        <v>65.554966377878273</v>
      </c>
      <c r="G192">
        <f t="shared" ca="1" si="34"/>
        <v>142.35502807995334</v>
      </c>
      <c r="H192">
        <f t="shared" ca="1" si="35"/>
        <v>47.300791643490541</v>
      </c>
      <c r="I192">
        <f t="shared" ca="1" si="36"/>
        <v>150.00772950000012</v>
      </c>
      <c r="J192">
        <f t="shared" ca="1" si="37"/>
        <v>71.619724391352875</v>
      </c>
    </row>
    <row r="193" spans="1:10" x14ac:dyDescent="0.25">
      <c r="A193">
        <f t="shared" si="30"/>
        <v>0.15166666666666667</v>
      </c>
      <c r="B193">
        <f t="shared" si="39"/>
        <v>202.19253952935654</v>
      </c>
      <c r="C193">
        <f t="shared" si="38"/>
        <v>0.80901699437495078</v>
      </c>
      <c r="D193">
        <f t="shared" si="31"/>
        <v>0.58778525229246847</v>
      </c>
      <c r="E193">
        <f t="shared" si="32"/>
        <v>163.57720061507845</v>
      </c>
      <c r="F193">
        <f t="shared" si="33"/>
        <v>118.84579285891773</v>
      </c>
      <c r="G193">
        <f t="shared" ca="1" si="34"/>
        <v>142.35502807995337</v>
      </c>
      <c r="H193">
        <f t="shared" ca="1" si="35"/>
        <v>47.300791643490541</v>
      </c>
      <c r="I193">
        <f t="shared" ca="1" si="36"/>
        <v>150.00772950000015</v>
      </c>
      <c r="J193">
        <f t="shared" ca="1" si="37"/>
        <v>71.619724391352875</v>
      </c>
    </row>
    <row r="194" spans="1:10" x14ac:dyDescent="0.25">
      <c r="A194">
        <f t="shared" si="30"/>
        <v>0.1525</v>
      </c>
      <c r="B194">
        <f t="shared" si="39"/>
        <v>172.45273706979305</v>
      </c>
      <c r="C194">
        <f t="shared" si="38"/>
        <v>0.58778525229248213</v>
      </c>
      <c r="D194">
        <f t="shared" si="31"/>
        <v>0.8090169943749409</v>
      </c>
      <c r="E194">
        <f t="shared" si="32"/>
        <v>101.3651755670974</v>
      </c>
      <c r="F194">
        <f t="shared" si="33"/>
        <v>139.51719501593593</v>
      </c>
      <c r="G194">
        <f t="shared" ca="1" si="34"/>
        <v>142.35502807995343</v>
      </c>
      <c r="H194">
        <f t="shared" ca="1" si="35"/>
        <v>47.300791643490541</v>
      </c>
      <c r="I194">
        <f t="shared" ca="1" si="36"/>
        <v>150.00772950000021</v>
      </c>
      <c r="J194">
        <f t="shared" ca="1" si="37"/>
        <v>71.619724391352889</v>
      </c>
    </row>
    <row r="195" spans="1:10" x14ac:dyDescent="0.25">
      <c r="A195">
        <f t="shared" si="30"/>
        <v>0.15333333333333335</v>
      </c>
      <c r="B195">
        <f t="shared" si="39"/>
        <v>125.83205915696449</v>
      </c>
      <c r="C195">
        <f t="shared" si="38"/>
        <v>0.30901699437494956</v>
      </c>
      <c r="D195">
        <f t="shared" si="31"/>
        <v>0.95105651629515287</v>
      </c>
      <c r="E195">
        <f t="shared" si="32"/>
        <v>38.884244716696017</v>
      </c>
      <c r="F195">
        <f t="shared" si="33"/>
        <v>119.67339982006824</v>
      </c>
      <c r="G195">
        <f t="shared" ca="1" si="34"/>
        <v>142.35502807995346</v>
      </c>
      <c r="H195">
        <f t="shared" ca="1" si="35"/>
        <v>47.300791643490541</v>
      </c>
      <c r="I195">
        <f t="shared" ca="1" si="36"/>
        <v>150.00772950000024</v>
      </c>
      <c r="J195">
        <f t="shared" ca="1" si="37"/>
        <v>71.619724391352889</v>
      </c>
    </row>
    <row r="196" spans="1:10" x14ac:dyDescent="0.25">
      <c r="A196">
        <f t="shared" si="30"/>
        <v>0.15416666666666667</v>
      </c>
      <c r="B196">
        <f t="shared" si="39"/>
        <v>66.894062570344374</v>
      </c>
      <c r="C196">
        <f t="shared" si="38"/>
        <v>4.9016780218069655E-16</v>
      </c>
      <c r="D196">
        <f t="shared" si="31"/>
        <v>1</v>
      </c>
      <c r="E196">
        <f t="shared" si="32"/>
        <v>3.2789315629043702E-14</v>
      </c>
      <c r="F196">
        <f t="shared" si="33"/>
        <v>66.894062570344374</v>
      </c>
      <c r="G196">
        <f t="shared" ca="1" si="34"/>
        <v>142.35502807995346</v>
      </c>
      <c r="H196">
        <f t="shared" ca="1" si="35"/>
        <v>47.300791643490541</v>
      </c>
      <c r="I196">
        <f t="shared" ca="1" si="36"/>
        <v>150.00772950000024</v>
      </c>
      <c r="J196">
        <f t="shared" ca="1" si="37"/>
        <v>71.619724391352889</v>
      </c>
    </row>
    <row r="197" spans="1:10" x14ac:dyDescent="0.25">
      <c r="A197">
        <f t="shared" si="30"/>
        <v>0.155</v>
      </c>
      <c r="B197">
        <f t="shared" si="39"/>
        <v>1.4080090610004319</v>
      </c>
      <c r="C197">
        <f t="shared" si="38"/>
        <v>-0.3090169943749419</v>
      </c>
      <c r="D197">
        <f t="shared" si="31"/>
        <v>0.95105651629515542</v>
      </c>
      <c r="E197">
        <f t="shared" si="32"/>
        <v>-0.43509872808303768</v>
      </c>
      <c r="F197">
        <f t="shared" si="33"/>
        <v>1.3390961924670837</v>
      </c>
      <c r="G197">
        <f t="shared" ca="1" si="34"/>
        <v>142.35502807995348</v>
      </c>
      <c r="H197">
        <f t="shared" ca="1" si="35"/>
        <v>47.300791643490555</v>
      </c>
      <c r="I197">
        <f t="shared" ca="1" si="36"/>
        <v>150.00772950000027</v>
      </c>
      <c r="J197">
        <f t="shared" ca="1" si="37"/>
        <v>71.619724391352889</v>
      </c>
    </row>
    <row r="198" spans="1:10" x14ac:dyDescent="0.25">
      <c r="A198">
        <f t="shared" si="30"/>
        <v>0.15583333333333335</v>
      </c>
      <c r="B198">
        <f t="shared" si="39"/>
        <v>-64.215870185413081</v>
      </c>
      <c r="C198">
        <f t="shared" si="38"/>
        <v>-0.58778525229247558</v>
      </c>
      <c r="D198">
        <f t="shared" si="31"/>
        <v>0.80901699437494567</v>
      </c>
      <c r="E198">
        <f t="shared" si="32"/>
        <v>37.745141458113892</v>
      </c>
      <c r="F198">
        <f t="shared" si="33"/>
        <v>-51.951730288574574</v>
      </c>
      <c r="G198">
        <f t="shared" ca="1" si="34"/>
        <v>142.35502807995346</v>
      </c>
      <c r="H198">
        <f t="shared" ca="1" si="35"/>
        <v>47.300791643490541</v>
      </c>
      <c r="I198">
        <f t="shared" ca="1" si="36"/>
        <v>150.00772950000024</v>
      </c>
      <c r="J198">
        <f t="shared" ca="1" si="37"/>
        <v>71.619724391352889</v>
      </c>
    </row>
    <row r="199" spans="1:10" x14ac:dyDescent="0.25">
      <c r="A199">
        <f t="shared" si="30"/>
        <v>0.15666666666666668</v>
      </c>
      <c r="B199">
        <f t="shared" si="39"/>
        <v>-123.55385263979917</v>
      </c>
      <c r="C199">
        <f t="shared" si="38"/>
        <v>-0.80901699437494612</v>
      </c>
      <c r="D199">
        <f t="shared" si="31"/>
        <v>0.58778525229247502</v>
      </c>
      <c r="E199">
        <f t="shared" si="32"/>
        <v>99.957166506095334</v>
      </c>
      <c r="F199">
        <f t="shared" si="33"/>
        <v>-72.623132445591636</v>
      </c>
      <c r="G199">
        <f t="shared" ca="1" si="34"/>
        <v>142.35502807995343</v>
      </c>
      <c r="H199">
        <f t="shared" ca="1" si="35"/>
        <v>47.300791643490541</v>
      </c>
      <c r="I199">
        <f t="shared" ca="1" si="36"/>
        <v>150.00772950000021</v>
      </c>
      <c r="J199">
        <f t="shared" ca="1" si="37"/>
        <v>71.619724391352889</v>
      </c>
    </row>
    <row r="200" spans="1:10" x14ac:dyDescent="0.25">
      <c r="A200">
        <f t="shared" si="30"/>
        <v>0.1575</v>
      </c>
      <c r="B200">
        <f t="shared" si="39"/>
        <v>-170.79752314749169</v>
      </c>
      <c r="C200">
        <f t="shared" si="38"/>
        <v>-0.9510565162951512</v>
      </c>
      <c r="D200">
        <f t="shared" si="31"/>
        <v>0.30901699437495467</v>
      </c>
      <c r="E200">
        <f t="shared" si="32"/>
        <v>162.4380973564939</v>
      </c>
      <c r="F200">
        <f t="shared" si="33"/>
        <v>-52.779337249724627</v>
      </c>
      <c r="G200">
        <f t="shared" ca="1" si="34"/>
        <v>142.35502807995343</v>
      </c>
      <c r="H200">
        <f t="shared" ca="1" si="35"/>
        <v>47.300791643490541</v>
      </c>
      <c r="I200">
        <f t="shared" ca="1" si="36"/>
        <v>150.00772950000021</v>
      </c>
      <c r="J200">
        <f t="shared" ca="1" si="37"/>
        <v>71.619724391352889</v>
      </c>
    </row>
    <row r="201" spans="1:10" x14ac:dyDescent="0.25">
      <c r="A201">
        <f t="shared" si="30"/>
        <v>0.15833333333333335</v>
      </c>
      <c r="B201">
        <f t="shared" si="39"/>
        <v>-201.32234207319092</v>
      </c>
      <c r="C201">
        <f t="shared" si="38"/>
        <v>-1</v>
      </c>
      <c r="D201">
        <f t="shared" si="31"/>
        <v>-1.2249316144741229E-15</v>
      </c>
      <c r="E201">
        <f t="shared" si="32"/>
        <v>201.32234207319092</v>
      </c>
      <c r="F201">
        <f t="shared" si="33"/>
        <v>2.4660610150542541E-13</v>
      </c>
      <c r="G201">
        <f t="shared" ca="1" si="34"/>
        <v>142.35502807995346</v>
      </c>
      <c r="H201">
        <f t="shared" ca="1" si="35"/>
        <v>47.300791643490641</v>
      </c>
      <c r="I201">
        <f t="shared" ca="1" si="36"/>
        <v>150.00772950000027</v>
      </c>
      <c r="J201">
        <f t="shared" ca="1" si="37"/>
        <v>71.619724391352847</v>
      </c>
    </row>
    <row r="202" spans="1:10" x14ac:dyDescent="0.25">
      <c r="A202">
        <f t="shared" si="30"/>
        <v>0.15916666666666668</v>
      </c>
      <c r="B202">
        <f t="shared" si="39"/>
        <v>-212.14032746152756</v>
      </c>
      <c r="C202">
        <f t="shared" si="38"/>
        <v>-0.95105651629515486</v>
      </c>
      <c r="D202">
        <f t="shared" si="31"/>
        <v>-0.30901699437494351</v>
      </c>
      <c r="E202">
        <f t="shared" si="32"/>
        <v>201.75744080127379</v>
      </c>
      <c r="F202">
        <f t="shared" si="33"/>
        <v>65.554966377877534</v>
      </c>
      <c r="G202">
        <f t="shared" ca="1" si="34"/>
        <v>142.35502807995351</v>
      </c>
      <c r="H202">
        <f t="shared" ca="1" si="35"/>
        <v>47.300791643490534</v>
      </c>
      <c r="I202">
        <f t="shared" ca="1" si="36"/>
        <v>150.00772950000029</v>
      </c>
      <c r="J202">
        <f t="shared" ca="1" si="37"/>
        <v>71.619724391352904</v>
      </c>
    </row>
    <row r="203" spans="1:10" x14ac:dyDescent="0.25">
      <c r="A203">
        <f t="shared" si="30"/>
        <v>0.16</v>
      </c>
      <c r="B203">
        <f t="shared" si="39"/>
        <v>-202.19253952935634</v>
      </c>
      <c r="C203">
        <f t="shared" si="38"/>
        <v>-0.80901699437494878</v>
      </c>
      <c r="D203">
        <f t="shared" si="31"/>
        <v>-0.58778525229247125</v>
      </c>
      <c r="E203">
        <f t="shared" si="32"/>
        <v>163.57720061507789</v>
      </c>
      <c r="F203">
        <f t="shared" si="33"/>
        <v>118.84579285891819</v>
      </c>
      <c r="G203">
        <f t="shared" ca="1" si="34"/>
        <v>142.35502807995351</v>
      </c>
      <c r="H203">
        <f t="shared" ca="1" si="35"/>
        <v>47.300791643490534</v>
      </c>
      <c r="I203">
        <f t="shared" ca="1" si="36"/>
        <v>150.00772950000029</v>
      </c>
      <c r="J203">
        <f t="shared" ca="1" si="37"/>
        <v>71.619724391352904</v>
      </c>
    </row>
    <row r="204" spans="1:10" x14ac:dyDescent="0.25">
      <c r="A204">
        <f t="shared" ref="A204:A267" si="40">(ROW($A204)-ROW($A$11))*$B$4+$B$5</f>
        <v>0.16083333333333336</v>
      </c>
      <c r="B204">
        <f t="shared" si="39"/>
        <v>-172.45273706979171</v>
      </c>
      <c r="C204">
        <f t="shared" si="38"/>
        <v>-0.58778525229247358</v>
      </c>
      <c r="D204">
        <f t="shared" ref="D204:D267" si="41">SIN(($A204-$B$5)*$C$1)</f>
        <v>-0.80901699437494712</v>
      </c>
      <c r="E204">
        <f t="shared" si="32"/>
        <v>101.36517556709514</v>
      </c>
      <c r="F204">
        <f t="shared" si="33"/>
        <v>139.51719501593593</v>
      </c>
      <c r="G204">
        <f t="shared" ca="1" si="34"/>
        <v>142.3550280799534</v>
      </c>
      <c r="H204">
        <f t="shared" ca="1" si="35"/>
        <v>47.300791643490541</v>
      </c>
      <c r="I204">
        <f t="shared" ca="1" si="36"/>
        <v>150.00772950000018</v>
      </c>
      <c r="J204">
        <f t="shared" ca="1" si="37"/>
        <v>71.619724391352875</v>
      </c>
    </row>
    <row r="205" spans="1:10" x14ac:dyDescent="0.25">
      <c r="A205">
        <f t="shared" si="40"/>
        <v>0.16166666666666668</v>
      </c>
      <c r="B205">
        <f t="shared" si="39"/>
        <v>-125.83205915696389</v>
      </c>
      <c r="C205">
        <f t="shared" si="38"/>
        <v>-0.30901699437494629</v>
      </c>
      <c r="D205">
        <f t="shared" si="41"/>
        <v>-0.95105651629515398</v>
      </c>
      <c r="E205">
        <f t="shared" si="32"/>
        <v>38.88424471669542</v>
      </c>
      <c r="F205">
        <f t="shared" si="33"/>
        <v>119.67339982006781</v>
      </c>
      <c r="G205">
        <f t="shared" ca="1" si="34"/>
        <v>142.35502807995337</v>
      </c>
      <c r="H205">
        <f t="shared" ca="1" si="35"/>
        <v>47.300791643490555</v>
      </c>
      <c r="I205">
        <f t="shared" ca="1" si="36"/>
        <v>150.00772950000015</v>
      </c>
      <c r="J205">
        <f t="shared" ca="1" si="37"/>
        <v>71.619724391352875</v>
      </c>
    </row>
    <row r="206" spans="1:10" x14ac:dyDescent="0.25">
      <c r="A206">
        <f t="shared" si="40"/>
        <v>0.16250000000000001</v>
      </c>
      <c r="B206">
        <f t="shared" si="39"/>
        <v>-66.894062570345113</v>
      </c>
      <c r="C206">
        <f t="shared" si="38"/>
        <v>-4.1653963264720595E-15</v>
      </c>
      <c r="D206">
        <f t="shared" si="41"/>
        <v>-1</v>
      </c>
      <c r="E206">
        <f t="shared" si="32"/>
        <v>2.7864028249330762E-13</v>
      </c>
      <c r="F206">
        <f t="shared" si="33"/>
        <v>66.894062570345113</v>
      </c>
      <c r="G206">
        <f t="shared" ca="1" si="34"/>
        <v>142.35502807995337</v>
      </c>
      <c r="H206">
        <f t="shared" ca="1" si="35"/>
        <v>47.300791643490555</v>
      </c>
      <c r="I206">
        <f t="shared" ca="1" si="36"/>
        <v>150.00772950000015</v>
      </c>
      <c r="J206">
        <f t="shared" ca="1" si="37"/>
        <v>71.619724391352875</v>
      </c>
    </row>
    <row r="207" spans="1:10" x14ac:dyDescent="0.25">
      <c r="A207">
        <f t="shared" si="40"/>
        <v>0.16333333333333333</v>
      </c>
      <c r="B207">
        <f t="shared" si="39"/>
        <v>-1.4080090610012117</v>
      </c>
      <c r="C207">
        <f t="shared" si="38"/>
        <v>0.3090169943749384</v>
      </c>
      <c r="D207">
        <f t="shared" si="41"/>
        <v>-0.95105651629515653</v>
      </c>
      <c r="E207">
        <f t="shared" si="32"/>
        <v>-0.43509872808327377</v>
      </c>
      <c r="F207">
        <f t="shared" si="33"/>
        <v>1.3390961924678269</v>
      </c>
      <c r="G207">
        <f t="shared" ca="1" si="34"/>
        <v>142.35502807995337</v>
      </c>
      <c r="H207">
        <f t="shared" ca="1" si="35"/>
        <v>47.300791643490562</v>
      </c>
      <c r="I207">
        <f t="shared" ca="1" si="36"/>
        <v>150.00772950000015</v>
      </c>
      <c r="J207">
        <f t="shared" ca="1" si="37"/>
        <v>71.619724391352875</v>
      </c>
    </row>
    <row r="208" spans="1:10" x14ac:dyDescent="0.25">
      <c r="A208">
        <f t="shared" si="40"/>
        <v>0.16416666666666668</v>
      </c>
      <c r="B208">
        <f t="shared" si="39"/>
        <v>64.215870185412328</v>
      </c>
      <c r="C208">
        <f t="shared" si="38"/>
        <v>0.58778525229247258</v>
      </c>
      <c r="D208">
        <f t="shared" si="41"/>
        <v>-0.80901699437494778</v>
      </c>
      <c r="E208">
        <f t="shared" si="32"/>
        <v>37.745141458113252</v>
      </c>
      <c r="F208">
        <f t="shared" si="33"/>
        <v>-51.951730288574105</v>
      </c>
      <c r="G208">
        <f t="shared" ca="1" si="34"/>
        <v>142.35502807995337</v>
      </c>
      <c r="H208">
        <f t="shared" ca="1" si="35"/>
        <v>47.300791643490562</v>
      </c>
      <c r="I208">
        <f t="shared" ca="1" si="36"/>
        <v>150.00772950000015</v>
      </c>
      <c r="J208">
        <f t="shared" ca="1" si="37"/>
        <v>71.619724391352875</v>
      </c>
    </row>
    <row r="209" spans="1:10" x14ac:dyDescent="0.25">
      <c r="A209">
        <f t="shared" si="40"/>
        <v>0.16500000000000001</v>
      </c>
      <c r="B209">
        <f t="shared" si="39"/>
        <v>123.55385263979855</v>
      </c>
      <c r="C209">
        <f t="shared" si="38"/>
        <v>0.8090169943749439</v>
      </c>
      <c r="D209">
        <f t="shared" si="41"/>
        <v>-0.58778525229247791</v>
      </c>
      <c r="E209">
        <f t="shared" si="32"/>
        <v>99.957166506094552</v>
      </c>
      <c r="F209">
        <f t="shared" si="33"/>
        <v>-72.623132445591622</v>
      </c>
      <c r="G209">
        <f t="shared" ca="1" si="34"/>
        <v>142.35502807995326</v>
      </c>
      <c r="H209">
        <f t="shared" ca="1" si="35"/>
        <v>47.300791643490562</v>
      </c>
      <c r="I209">
        <f t="shared" ca="1" si="36"/>
        <v>150.00772950000007</v>
      </c>
      <c r="J209">
        <f t="shared" ca="1" si="37"/>
        <v>71.619724391352847</v>
      </c>
    </row>
    <row r="210" spans="1:10" x14ac:dyDescent="0.25">
      <c r="A210">
        <f t="shared" si="40"/>
        <v>0.16583333333333333</v>
      </c>
      <c r="B210">
        <f t="shared" si="39"/>
        <v>170.79752314749214</v>
      </c>
      <c r="C210">
        <f t="shared" si="38"/>
        <v>0.95105651629515231</v>
      </c>
      <c r="D210">
        <f t="shared" si="41"/>
        <v>-0.30901699437495145</v>
      </c>
      <c r="E210">
        <f t="shared" si="32"/>
        <v>162.43809735649452</v>
      </c>
      <c r="F210">
        <f t="shared" si="33"/>
        <v>-52.779337249724222</v>
      </c>
      <c r="G210">
        <f t="shared" ca="1" si="34"/>
        <v>142.35502807995329</v>
      </c>
      <c r="H210">
        <f t="shared" ca="1" si="35"/>
        <v>47.300791643490562</v>
      </c>
      <c r="I210">
        <f t="shared" ca="1" si="36"/>
        <v>150.00772950000007</v>
      </c>
      <c r="J210">
        <f t="shared" ca="1" si="37"/>
        <v>71.619724391352861</v>
      </c>
    </row>
    <row r="211" spans="1:10" x14ac:dyDescent="0.25">
      <c r="A211">
        <f t="shared" si="40"/>
        <v>0.16666666666666669</v>
      </c>
      <c r="B211">
        <f t="shared" si="39"/>
        <v>201.32234207319067</v>
      </c>
      <c r="C211">
        <f t="shared" si="38"/>
        <v>1</v>
      </c>
      <c r="D211">
        <f t="shared" si="41"/>
        <v>-2.45029690981724E-15</v>
      </c>
      <c r="E211">
        <f t="shared" si="32"/>
        <v>201.32234207319067</v>
      </c>
      <c r="F211">
        <f t="shared" si="33"/>
        <v>-4.9329951265910842E-13</v>
      </c>
      <c r="G211">
        <f t="shared" ca="1" si="34"/>
        <v>142.35502807995326</v>
      </c>
      <c r="H211">
        <f t="shared" ca="1" si="35"/>
        <v>47.300791643490456</v>
      </c>
      <c r="I211">
        <f t="shared" ca="1" si="36"/>
        <v>150.00772950000001</v>
      </c>
      <c r="J211">
        <f t="shared" ca="1" si="37"/>
        <v>71.619724391352904</v>
      </c>
    </row>
    <row r="212" spans="1:10" x14ac:dyDescent="0.25">
      <c r="A212">
        <f t="shared" si="40"/>
        <v>0.16750000000000001</v>
      </c>
      <c r="B212">
        <f t="shared" si="39"/>
        <v>212.14032746152756</v>
      </c>
      <c r="C212">
        <f t="shared" si="38"/>
        <v>0.95105651629515375</v>
      </c>
      <c r="D212">
        <f t="shared" si="41"/>
        <v>0.30901699437494679</v>
      </c>
      <c r="E212">
        <f t="shared" si="32"/>
        <v>201.75744080127353</v>
      </c>
      <c r="F212">
        <f t="shared" si="33"/>
        <v>65.55496637787823</v>
      </c>
      <c r="G212">
        <f t="shared" ca="1" si="34"/>
        <v>142.35502807995326</v>
      </c>
      <c r="H212">
        <f t="shared" ca="1" si="35"/>
        <v>47.300791643490456</v>
      </c>
      <c r="I212">
        <f t="shared" ca="1" si="36"/>
        <v>150.00772950000001</v>
      </c>
      <c r="J212">
        <f t="shared" ca="1" si="37"/>
        <v>71.619724391352904</v>
      </c>
    </row>
    <row r="213" spans="1:10" x14ac:dyDescent="0.25">
      <c r="A213">
        <f t="shared" si="40"/>
        <v>0.16833333333333333</v>
      </c>
      <c r="B213">
        <f t="shared" si="39"/>
        <v>202.19253952935702</v>
      </c>
      <c r="C213">
        <f t="shared" si="38"/>
        <v>0.809016994374951</v>
      </c>
      <c r="D213">
        <f t="shared" si="41"/>
        <v>0.58778525229246825</v>
      </c>
      <c r="E213">
        <f t="shared" si="32"/>
        <v>163.57720061507888</v>
      </c>
      <c r="F213">
        <f t="shared" si="33"/>
        <v>118.84579285891797</v>
      </c>
      <c r="G213">
        <f t="shared" ca="1" si="34"/>
        <v>142.35502807995329</v>
      </c>
      <c r="H213">
        <f t="shared" ca="1" si="35"/>
        <v>47.300791643490463</v>
      </c>
      <c r="I213">
        <f t="shared" ca="1" si="36"/>
        <v>150.00772950000004</v>
      </c>
      <c r="J213">
        <f t="shared" ca="1" si="37"/>
        <v>71.619724391352904</v>
      </c>
    </row>
    <row r="214" spans="1:10" x14ac:dyDescent="0.25">
      <c r="A214">
        <f t="shared" si="40"/>
        <v>0.16916666666666669</v>
      </c>
      <c r="B214">
        <f t="shared" si="39"/>
        <v>172.45273706979128</v>
      </c>
      <c r="C214">
        <f t="shared" si="38"/>
        <v>0.58778525229247081</v>
      </c>
      <c r="D214">
        <f t="shared" si="41"/>
        <v>0.80901699437494912</v>
      </c>
      <c r="E214">
        <f t="shared" si="32"/>
        <v>101.3651755670944</v>
      </c>
      <c r="F214">
        <f t="shared" si="33"/>
        <v>139.51719501593593</v>
      </c>
      <c r="G214">
        <f t="shared" ca="1" si="34"/>
        <v>142.35502807995309</v>
      </c>
      <c r="H214">
        <f t="shared" ca="1" si="35"/>
        <v>47.30079164349047</v>
      </c>
      <c r="I214">
        <f t="shared" ca="1" si="36"/>
        <v>150.00772949999987</v>
      </c>
      <c r="J214">
        <f t="shared" ca="1" si="37"/>
        <v>71.619724391352875</v>
      </c>
    </row>
    <row r="215" spans="1:10" x14ac:dyDescent="0.25">
      <c r="A215">
        <f t="shared" si="40"/>
        <v>0.17</v>
      </c>
      <c r="B215">
        <f t="shared" si="39"/>
        <v>125.83205915696576</v>
      </c>
      <c r="C215">
        <f t="shared" si="38"/>
        <v>0.30901699437495656</v>
      </c>
      <c r="D215">
        <f t="shared" si="41"/>
        <v>0.95105651629515064</v>
      </c>
      <c r="E215">
        <f t="shared" si="32"/>
        <v>38.884244716697289</v>
      </c>
      <c r="F215">
        <f t="shared" si="33"/>
        <v>119.67339982006916</v>
      </c>
      <c r="G215">
        <f t="shared" ca="1" si="34"/>
        <v>142.35502807995317</v>
      </c>
      <c r="H215">
        <f t="shared" ca="1" si="35"/>
        <v>47.300791643490527</v>
      </c>
      <c r="I215">
        <f t="shared" ca="1" si="36"/>
        <v>150.00772949999998</v>
      </c>
      <c r="J215">
        <f t="shared" ca="1" si="37"/>
        <v>71.619724391352861</v>
      </c>
    </row>
    <row r="216" spans="1:10" x14ac:dyDescent="0.25">
      <c r="A216">
        <f t="shared" si="40"/>
        <v>0.17083333333333334</v>
      </c>
      <c r="B216">
        <f t="shared" si="39"/>
        <v>66.894062570345852</v>
      </c>
      <c r="C216">
        <f t="shared" si="38"/>
        <v>7.8406248507634224E-15</v>
      </c>
      <c r="D216">
        <f t="shared" si="41"/>
        <v>1</v>
      </c>
      <c r="E216">
        <f t="shared" si="32"/>
        <v>5.2449124935757696E-13</v>
      </c>
      <c r="F216">
        <f t="shared" si="33"/>
        <v>66.894062570345852</v>
      </c>
      <c r="G216">
        <f t="shared" ca="1" si="34"/>
        <v>142.3550280799532</v>
      </c>
      <c r="H216">
        <f t="shared" ca="1" si="35"/>
        <v>47.300791643490641</v>
      </c>
      <c r="I216">
        <f t="shared" ca="1" si="36"/>
        <v>150.00772950000004</v>
      </c>
      <c r="J216">
        <f t="shared" ca="1" si="37"/>
        <v>71.619724391352833</v>
      </c>
    </row>
    <row r="217" spans="1:10" x14ac:dyDescent="0.25">
      <c r="A217">
        <f t="shared" si="40"/>
        <v>0.17166666666666669</v>
      </c>
      <c r="B217">
        <f t="shared" si="39"/>
        <v>1.4080090609974691</v>
      </c>
      <c r="C217">
        <f t="shared" si="38"/>
        <v>-0.30901699437495517</v>
      </c>
      <c r="D217">
        <f t="shared" si="41"/>
        <v>0.95105651629515109</v>
      </c>
      <c r="E217">
        <f t="shared" si="32"/>
        <v>-0.43509872808214084</v>
      </c>
      <c r="F217">
        <f t="shared" si="33"/>
        <v>1.3390961924642599</v>
      </c>
      <c r="G217">
        <f t="shared" ca="1" si="34"/>
        <v>142.35502807995329</v>
      </c>
      <c r="H217">
        <f t="shared" ca="1" si="35"/>
        <v>47.300791643490435</v>
      </c>
      <c r="I217">
        <f t="shared" ca="1" si="36"/>
        <v>150.00772950000004</v>
      </c>
      <c r="J217">
        <f t="shared" ca="1" si="37"/>
        <v>71.619724391352904</v>
      </c>
    </row>
    <row r="218" spans="1:10" x14ac:dyDescent="0.25">
      <c r="A218">
        <f t="shared" si="40"/>
        <v>0.17250000000000001</v>
      </c>
      <c r="B218">
        <f t="shared" si="39"/>
        <v>-64.215870185411589</v>
      </c>
      <c r="C218">
        <f t="shared" si="38"/>
        <v>-0.5877852522924697</v>
      </c>
      <c r="D218">
        <f t="shared" si="41"/>
        <v>0.80901699437495</v>
      </c>
      <c r="E218">
        <f t="shared" ref="E218:E281" si="42">$B218*C218</f>
        <v>37.745141458112634</v>
      </c>
      <c r="F218">
        <f t="shared" ref="F218:F281" si="43">$B218*D218</f>
        <v>-51.95173028857365</v>
      </c>
      <c r="G218">
        <f t="shared" ref="G218:G281" ca="1" si="44">IF((ROW($A218)-ROW($A$11))&lt;$B$2-1,"",(1.4142/$B$2)*SUM(OFFSET(E218,-$B$2+1,0,$B$2,1)))</f>
        <v>142.35502807995317</v>
      </c>
      <c r="H218">
        <f t="shared" ref="H218:H281" ca="1" si="45">IF((ROW($A218)-ROW($A$11))&lt;$B$2-1,"",(1.4142/$B$2)*SUM(OFFSET(F218,-$B$2+1,0,$B$2,1)))</f>
        <v>47.300791643490484</v>
      </c>
      <c r="I218">
        <f t="shared" ref="I218:I281" ca="1" si="46">IF(G218="","",SQRT(G218^2+H218^2))</f>
        <v>150.00772949999995</v>
      </c>
      <c r="J218">
        <f t="shared" ref="J218:J281" ca="1" si="47">IF(G218="","",ATAN2(H218,G218)*180/PI())</f>
        <v>71.619724391352875</v>
      </c>
    </row>
    <row r="219" spans="1:10" x14ac:dyDescent="0.25">
      <c r="A219">
        <f t="shared" si="40"/>
        <v>0.17333333333333334</v>
      </c>
      <c r="B219">
        <f t="shared" si="39"/>
        <v>-123.55385263979916</v>
      </c>
      <c r="C219">
        <f t="shared" ref="C219:C282" si="48">COS(($A219-$B$5)*$C$1)</f>
        <v>-0.8090169943749459</v>
      </c>
      <c r="D219">
        <f t="shared" si="41"/>
        <v>0.58778525229247514</v>
      </c>
      <c r="E219">
        <f t="shared" si="42"/>
        <v>99.957166506095291</v>
      </c>
      <c r="F219">
        <f t="shared" si="43"/>
        <v>-72.623132445591651</v>
      </c>
      <c r="G219">
        <f t="shared" ca="1" si="44"/>
        <v>142.35502807995317</v>
      </c>
      <c r="H219">
        <f t="shared" ca="1" si="45"/>
        <v>47.300791643490506</v>
      </c>
      <c r="I219">
        <f t="shared" ca="1" si="46"/>
        <v>150.00772949999995</v>
      </c>
      <c r="J219">
        <f t="shared" ca="1" si="47"/>
        <v>71.619724391352861</v>
      </c>
    </row>
    <row r="220" spans="1:10" x14ac:dyDescent="0.25">
      <c r="A220">
        <f t="shared" si="40"/>
        <v>0.17416666666666666</v>
      </c>
      <c r="B220">
        <f t="shared" si="39"/>
        <v>-170.79752314749078</v>
      </c>
      <c r="C220">
        <f t="shared" si="48"/>
        <v>-0.95105651629514898</v>
      </c>
      <c r="D220">
        <f t="shared" si="41"/>
        <v>0.30901699437496166</v>
      </c>
      <c r="E220">
        <f t="shared" si="42"/>
        <v>162.43809735649265</v>
      </c>
      <c r="F220">
        <f t="shared" si="43"/>
        <v>-52.779337249725543</v>
      </c>
      <c r="G220">
        <f t="shared" ca="1" si="44"/>
        <v>142.35502807995309</v>
      </c>
      <c r="H220">
        <f t="shared" ca="1" si="45"/>
        <v>47.30079164349042</v>
      </c>
      <c r="I220">
        <f t="shared" ca="1" si="46"/>
        <v>150.00772949999984</v>
      </c>
      <c r="J220">
        <f t="shared" ca="1" si="47"/>
        <v>71.619724391352889</v>
      </c>
    </row>
    <row r="221" spans="1:10" x14ac:dyDescent="0.25">
      <c r="A221">
        <f t="shared" si="40"/>
        <v>0.17500000000000002</v>
      </c>
      <c r="B221">
        <f t="shared" si="39"/>
        <v>-201.32234207319092</v>
      </c>
      <c r="C221">
        <f t="shared" si="48"/>
        <v>-1</v>
      </c>
      <c r="D221">
        <f t="shared" si="41"/>
        <v>-9.7990192349239891E-16</v>
      </c>
      <c r="E221">
        <f t="shared" si="42"/>
        <v>201.32234207319092</v>
      </c>
      <c r="F221">
        <f t="shared" si="43"/>
        <v>1.972761502395145E-13</v>
      </c>
      <c r="G221">
        <f t="shared" ca="1" si="44"/>
        <v>142.35502807995309</v>
      </c>
      <c r="H221">
        <f t="shared" ca="1" si="45"/>
        <v>47.30079164349042</v>
      </c>
      <c r="I221">
        <f t="shared" ca="1" si="46"/>
        <v>150.00772949999984</v>
      </c>
      <c r="J221">
        <f t="shared" ca="1" si="47"/>
        <v>71.619724391352889</v>
      </c>
    </row>
    <row r="222" spans="1:10" x14ac:dyDescent="0.25">
      <c r="A222">
        <f t="shared" si="40"/>
        <v>0.17583333333333334</v>
      </c>
      <c r="B222">
        <f t="shared" si="39"/>
        <v>-212.14032746152753</v>
      </c>
      <c r="C222">
        <f t="shared" si="48"/>
        <v>-0.95105651629515708</v>
      </c>
      <c r="D222">
        <f t="shared" si="41"/>
        <v>-0.30901699437493652</v>
      </c>
      <c r="E222">
        <f t="shared" si="42"/>
        <v>201.75744080127421</v>
      </c>
      <c r="F222">
        <f t="shared" si="43"/>
        <v>65.554966377876042</v>
      </c>
      <c r="G222">
        <f t="shared" ca="1" si="44"/>
        <v>142.35502807995312</v>
      </c>
      <c r="H222">
        <f t="shared" ca="1" si="45"/>
        <v>47.300791643490321</v>
      </c>
      <c r="I222">
        <f t="shared" ca="1" si="46"/>
        <v>150.00772949999984</v>
      </c>
      <c r="J222">
        <f t="shared" ca="1" si="47"/>
        <v>71.619724391352932</v>
      </c>
    </row>
    <row r="223" spans="1:10" x14ac:dyDescent="0.25">
      <c r="A223">
        <f t="shared" si="40"/>
        <v>0.17666666666666667</v>
      </c>
      <c r="B223">
        <f t="shared" si="39"/>
        <v>-202.19253952935679</v>
      </c>
      <c r="C223">
        <f t="shared" si="48"/>
        <v>-0.80901699437495311</v>
      </c>
      <c r="D223">
        <f t="shared" si="41"/>
        <v>-0.58778525229246525</v>
      </c>
      <c r="E223">
        <f t="shared" si="42"/>
        <v>163.57720061507914</v>
      </c>
      <c r="F223">
        <f t="shared" si="43"/>
        <v>118.84579285891724</v>
      </c>
      <c r="G223">
        <f t="shared" ca="1" si="44"/>
        <v>142.3550280799532</v>
      </c>
      <c r="H223">
        <f t="shared" ca="1" si="45"/>
        <v>47.30079164349025</v>
      </c>
      <c r="I223">
        <f t="shared" ca="1" si="46"/>
        <v>150.0077294999999</v>
      </c>
      <c r="J223">
        <f t="shared" ca="1" si="47"/>
        <v>71.61972439135296</v>
      </c>
    </row>
    <row r="224" spans="1:10" x14ac:dyDescent="0.25">
      <c r="A224">
        <f t="shared" si="40"/>
        <v>0.17750000000000002</v>
      </c>
      <c r="B224">
        <f t="shared" si="39"/>
        <v>-172.45273706979086</v>
      </c>
      <c r="C224">
        <f t="shared" si="48"/>
        <v>-0.58778525229246803</v>
      </c>
      <c r="D224">
        <f t="shared" si="41"/>
        <v>-0.80901699437495111</v>
      </c>
      <c r="E224">
        <f t="shared" si="42"/>
        <v>101.36517556709367</v>
      </c>
      <c r="F224">
        <f t="shared" si="43"/>
        <v>139.51719501593593</v>
      </c>
      <c r="G224">
        <f t="shared" ca="1" si="44"/>
        <v>142.35502807995312</v>
      </c>
      <c r="H224">
        <f t="shared" ca="1" si="45"/>
        <v>47.300791643490257</v>
      </c>
      <c r="I224">
        <f t="shared" ca="1" si="46"/>
        <v>150.00772949999981</v>
      </c>
      <c r="J224">
        <f t="shared" ca="1" si="47"/>
        <v>71.61972439135296</v>
      </c>
    </row>
    <row r="225" spans="1:10" x14ac:dyDescent="0.25">
      <c r="A225">
        <f t="shared" si="40"/>
        <v>0.17833333333333334</v>
      </c>
      <c r="B225">
        <f t="shared" si="39"/>
        <v>-125.83205915696517</v>
      </c>
      <c r="C225">
        <f t="shared" si="48"/>
        <v>-0.30901699437495328</v>
      </c>
      <c r="D225">
        <f t="shared" si="41"/>
        <v>-0.95105651629515164</v>
      </c>
      <c r="E225">
        <f t="shared" si="42"/>
        <v>38.884244716696692</v>
      </c>
      <c r="F225">
        <f t="shared" si="43"/>
        <v>119.67339982006874</v>
      </c>
      <c r="G225">
        <f t="shared" ca="1" si="44"/>
        <v>142.35502807995317</v>
      </c>
      <c r="H225">
        <f t="shared" ca="1" si="45"/>
        <v>47.300791643490328</v>
      </c>
      <c r="I225">
        <f t="shared" ca="1" si="46"/>
        <v>150.0077294999999</v>
      </c>
      <c r="J225">
        <f t="shared" ca="1" si="47"/>
        <v>71.619724391352932</v>
      </c>
    </row>
    <row r="226" spans="1:10" x14ac:dyDescent="0.25">
      <c r="A226">
        <f t="shared" si="40"/>
        <v>0.17916666666666667</v>
      </c>
      <c r="B226">
        <f t="shared" si="39"/>
        <v>-66.894062570345156</v>
      </c>
      <c r="C226">
        <f t="shared" si="48"/>
        <v>-4.4104260174537835E-15</v>
      </c>
      <c r="D226">
        <f t="shared" si="41"/>
        <v>-1</v>
      </c>
      <c r="E226">
        <f t="shared" si="42"/>
        <v>2.9503131397343158E-13</v>
      </c>
      <c r="F226">
        <f t="shared" si="43"/>
        <v>66.894062570345156</v>
      </c>
      <c r="G226">
        <f t="shared" ca="1" si="44"/>
        <v>142.35502807995317</v>
      </c>
      <c r="H226">
        <f t="shared" ca="1" si="45"/>
        <v>47.300791643490328</v>
      </c>
      <c r="I226">
        <f t="shared" ca="1" si="46"/>
        <v>150.0077294999999</v>
      </c>
      <c r="J226">
        <f t="shared" ca="1" si="47"/>
        <v>71.619724391352932</v>
      </c>
    </row>
    <row r="227" spans="1:10" x14ac:dyDescent="0.25">
      <c r="A227">
        <f t="shared" si="40"/>
        <v>0.18000000000000002</v>
      </c>
      <c r="B227">
        <f t="shared" si="39"/>
        <v>-1.4080090609997562</v>
      </c>
      <c r="C227">
        <f t="shared" si="48"/>
        <v>0.3090169943749449</v>
      </c>
      <c r="D227">
        <f t="shared" si="41"/>
        <v>-0.95105651629515442</v>
      </c>
      <c r="E227">
        <f t="shared" si="42"/>
        <v>-0.43509872808283312</v>
      </c>
      <c r="F227">
        <f t="shared" si="43"/>
        <v>1.3390961924664397</v>
      </c>
      <c r="G227">
        <f t="shared" ca="1" si="44"/>
        <v>142.35502807995323</v>
      </c>
      <c r="H227">
        <f t="shared" ca="1" si="45"/>
        <v>47.300791643490228</v>
      </c>
      <c r="I227">
        <f t="shared" ca="1" si="46"/>
        <v>150.00772949999993</v>
      </c>
      <c r="J227">
        <f t="shared" ca="1" si="47"/>
        <v>71.619724391352975</v>
      </c>
    </row>
    <row r="228" spans="1:10" x14ac:dyDescent="0.25">
      <c r="A228">
        <f t="shared" si="40"/>
        <v>0.18083333333333335</v>
      </c>
      <c r="B228">
        <f t="shared" si="39"/>
        <v>64.215870185412285</v>
      </c>
      <c r="C228">
        <f t="shared" si="48"/>
        <v>0.58778525229247247</v>
      </c>
      <c r="D228">
        <f t="shared" si="41"/>
        <v>-0.8090169943749479</v>
      </c>
      <c r="E228">
        <f t="shared" si="42"/>
        <v>37.745141458113224</v>
      </c>
      <c r="F228">
        <f t="shared" si="43"/>
        <v>-51.951730288574076</v>
      </c>
      <c r="G228">
        <f t="shared" ca="1" si="44"/>
        <v>142.35502807995323</v>
      </c>
      <c r="H228">
        <f t="shared" ca="1" si="45"/>
        <v>47.300791643490228</v>
      </c>
      <c r="I228">
        <f t="shared" ca="1" si="46"/>
        <v>150.00772949999993</v>
      </c>
      <c r="J228">
        <f t="shared" ca="1" si="47"/>
        <v>71.619724391352975</v>
      </c>
    </row>
    <row r="229" spans="1:10" x14ac:dyDescent="0.25">
      <c r="A229">
        <f t="shared" si="40"/>
        <v>0.18166666666666667</v>
      </c>
      <c r="B229">
        <f t="shared" ref="B229:B292" si="49">1.5*$B$6*SIN((A229*$C$1)+1.25)</f>
        <v>123.5538526397973</v>
      </c>
      <c r="C229">
        <f t="shared" si="48"/>
        <v>0.80901699437493957</v>
      </c>
      <c r="D229">
        <f t="shared" si="41"/>
        <v>-0.58778525229248391</v>
      </c>
      <c r="E229">
        <f t="shared" si="42"/>
        <v>99.957166506093003</v>
      </c>
      <c r="F229">
        <f t="shared" si="43"/>
        <v>-72.623132445591636</v>
      </c>
      <c r="G229">
        <f t="shared" ca="1" si="44"/>
        <v>142.35502807995312</v>
      </c>
      <c r="H229">
        <f t="shared" ca="1" si="45"/>
        <v>47.300791643490228</v>
      </c>
      <c r="I229">
        <f t="shared" ca="1" si="46"/>
        <v>150.00772949999981</v>
      </c>
      <c r="J229">
        <f t="shared" ca="1" si="47"/>
        <v>71.61972439135296</v>
      </c>
    </row>
    <row r="230" spans="1:10" x14ac:dyDescent="0.25">
      <c r="A230">
        <f t="shared" si="40"/>
        <v>0.18250000000000002</v>
      </c>
      <c r="B230">
        <f t="shared" si="49"/>
        <v>170.79752314749297</v>
      </c>
      <c r="C230">
        <f t="shared" si="48"/>
        <v>0.95105651629515442</v>
      </c>
      <c r="D230">
        <f t="shared" si="41"/>
        <v>-0.3090169943749449</v>
      </c>
      <c r="E230">
        <f t="shared" si="42"/>
        <v>162.43809735649566</v>
      </c>
      <c r="F230">
        <f t="shared" si="43"/>
        <v>-52.779337249723355</v>
      </c>
      <c r="G230">
        <f t="shared" ca="1" si="44"/>
        <v>142.3550280799532</v>
      </c>
      <c r="H230">
        <f t="shared" ca="1" si="45"/>
        <v>47.300791643490292</v>
      </c>
      <c r="I230">
        <f t="shared" ca="1" si="46"/>
        <v>150.00772949999993</v>
      </c>
      <c r="J230">
        <f t="shared" ca="1" si="47"/>
        <v>71.61972439135296</v>
      </c>
    </row>
    <row r="231" spans="1:10" x14ac:dyDescent="0.25">
      <c r="A231">
        <f t="shared" si="40"/>
        <v>0.18333333333333335</v>
      </c>
      <c r="B231">
        <f t="shared" si="49"/>
        <v>201.32234207319115</v>
      </c>
      <c r="C231">
        <f t="shared" si="48"/>
        <v>1</v>
      </c>
      <c r="D231">
        <f t="shared" si="41"/>
        <v>4.4101007568020378E-15</v>
      </c>
      <c r="E231">
        <f t="shared" si="42"/>
        <v>201.32234207319115</v>
      </c>
      <c r="F231">
        <f t="shared" si="43"/>
        <v>8.8785181313813908E-13</v>
      </c>
      <c r="G231">
        <f t="shared" ca="1" si="44"/>
        <v>142.35502807995323</v>
      </c>
      <c r="H231">
        <f t="shared" ca="1" si="45"/>
        <v>47.300791643490392</v>
      </c>
      <c r="I231">
        <f t="shared" ca="1" si="46"/>
        <v>150.00772949999998</v>
      </c>
      <c r="J231">
        <f t="shared" ca="1" si="47"/>
        <v>71.619724391352918</v>
      </c>
    </row>
    <row r="232" spans="1:10" x14ac:dyDescent="0.25">
      <c r="A232">
        <f t="shared" si="40"/>
        <v>0.18416666666666667</v>
      </c>
      <c r="B232">
        <f t="shared" si="49"/>
        <v>212.14032746152753</v>
      </c>
      <c r="C232">
        <f t="shared" si="48"/>
        <v>0.95105651629515608</v>
      </c>
      <c r="D232">
        <f t="shared" si="41"/>
        <v>0.30901699437493979</v>
      </c>
      <c r="E232">
        <f t="shared" si="42"/>
        <v>201.75744080127402</v>
      </c>
      <c r="F232">
        <f t="shared" si="43"/>
        <v>65.554966377876738</v>
      </c>
      <c r="G232">
        <f t="shared" ca="1" si="44"/>
        <v>142.35502807995326</v>
      </c>
      <c r="H232">
        <f t="shared" ca="1" si="45"/>
        <v>47.300791643490292</v>
      </c>
      <c r="I232">
        <f t="shared" ca="1" si="46"/>
        <v>150.00772949999998</v>
      </c>
      <c r="J232">
        <f t="shared" ca="1" si="47"/>
        <v>71.61972439135296</v>
      </c>
    </row>
    <row r="233" spans="1:10" x14ac:dyDescent="0.25">
      <c r="A233">
        <f t="shared" si="40"/>
        <v>0.18500000000000003</v>
      </c>
      <c r="B233">
        <f t="shared" si="49"/>
        <v>202.19253952935566</v>
      </c>
      <c r="C233">
        <f t="shared" si="48"/>
        <v>0.80901699437494279</v>
      </c>
      <c r="D233">
        <f t="shared" si="41"/>
        <v>0.58778525229247958</v>
      </c>
      <c r="E233">
        <f t="shared" si="42"/>
        <v>163.57720061507612</v>
      </c>
      <c r="F233">
        <f t="shared" si="43"/>
        <v>118.84579285891947</v>
      </c>
      <c r="G233">
        <f t="shared" ca="1" si="44"/>
        <v>142.35502807995306</v>
      </c>
      <c r="H233">
        <f t="shared" ca="1" si="45"/>
        <v>47.300791643490392</v>
      </c>
      <c r="I233">
        <f t="shared" ca="1" si="46"/>
        <v>150.00772949999981</v>
      </c>
      <c r="J233">
        <f t="shared" ca="1" si="47"/>
        <v>71.619724391352889</v>
      </c>
    </row>
    <row r="234" spans="1:10" x14ac:dyDescent="0.25">
      <c r="A234">
        <f t="shared" si="40"/>
        <v>0.18583333333333335</v>
      </c>
      <c r="B234">
        <f t="shared" si="49"/>
        <v>172.45273706979222</v>
      </c>
      <c r="C234">
        <f t="shared" si="48"/>
        <v>0.5877852522924768</v>
      </c>
      <c r="D234">
        <f t="shared" si="41"/>
        <v>0.80901699437494479</v>
      </c>
      <c r="E234">
        <f t="shared" si="42"/>
        <v>101.36517556709599</v>
      </c>
      <c r="F234">
        <f t="shared" si="43"/>
        <v>139.51719501593593</v>
      </c>
      <c r="G234">
        <f t="shared" ca="1" si="44"/>
        <v>142.35502807995317</v>
      </c>
      <c r="H234">
        <f t="shared" ca="1" si="45"/>
        <v>47.300791643490385</v>
      </c>
      <c r="I234">
        <f t="shared" ca="1" si="46"/>
        <v>150.00772949999993</v>
      </c>
      <c r="J234">
        <f t="shared" ca="1" si="47"/>
        <v>71.619724391352918</v>
      </c>
    </row>
    <row r="235" spans="1:10" x14ac:dyDescent="0.25">
      <c r="A235">
        <f t="shared" si="40"/>
        <v>0.18666666666666668</v>
      </c>
      <c r="B235">
        <f t="shared" si="49"/>
        <v>125.83205915696458</v>
      </c>
      <c r="C235">
        <f t="shared" si="48"/>
        <v>0.30901699437495006</v>
      </c>
      <c r="D235">
        <f t="shared" si="41"/>
        <v>0.95105651629515275</v>
      </c>
      <c r="E235">
        <f t="shared" si="42"/>
        <v>38.884244716696102</v>
      </c>
      <c r="F235">
        <f t="shared" si="43"/>
        <v>119.67339982006831</v>
      </c>
      <c r="G235">
        <f t="shared" ca="1" si="44"/>
        <v>142.35502807995312</v>
      </c>
      <c r="H235">
        <f t="shared" ca="1" si="45"/>
        <v>47.300791643490328</v>
      </c>
      <c r="I235">
        <f t="shared" ca="1" si="46"/>
        <v>150.00772949999984</v>
      </c>
      <c r="J235">
        <f t="shared" ca="1" si="47"/>
        <v>71.619724391352932</v>
      </c>
    </row>
    <row r="236" spans="1:10" x14ac:dyDescent="0.25">
      <c r="A236">
        <f t="shared" si="40"/>
        <v>0.1875</v>
      </c>
      <c r="B236">
        <f t="shared" si="49"/>
        <v>66.894062570347344</v>
      </c>
      <c r="C236">
        <f t="shared" si="48"/>
        <v>1.5191081899346148E-14</v>
      </c>
      <c r="D236">
        <f t="shared" si="41"/>
        <v>1</v>
      </c>
      <c r="E236">
        <f t="shared" si="42"/>
        <v>1.0161931830861323E-12</v>
      </c>
      <c r="F236">
        <f t="shared" si="43"/>
        <v>66.894062570347344</v>
      </c>
      <c r="G236">
        <f t="shared" ca="1" si="44"/>
        <v>142.35502807995312</v>
      </c>
      <c r="H236">
        <f t="shared" ca="1" si="45"/>
        <v>47.300791643490442</v>
      </c>
      <c r="I236">
        <f t="shared" ca="1" si="46"/>
        <v>150.0077294999999</v>
      </c>
      <c r="J236">
        <f t="shared" ca="1" si="47"/>
        <v>71.619724391352889</v>
      </c>
    </row>
    <row r="237" spans="1:10" x14ac:dyDescent="0.25">
      <c r="A237">
        <f t="shared" si="40"/>
        <v>0.18833333333333335</v>
      </c>
      <c r="B237">
        <f t="shared" si="49"/>
        <v>1.4080090609990286</v>
      </c>
      <c r="C237">
        <f t="shared" si="48"/>
        <v>-0.30901699437494817</v>
      </c>
      <c r="D237">
        <f t="shared" si="41"/>
        <v>0.95105651629515331</v>
      </c>
      <c r="E237">
        <f t="shared" si="42"/>
        <v>-0.43509872808261285</v>
      </c>
      <c r="F237">
        <f t="shared" si="43"/>
        <v>1.3390961924657461</v>
      </c>
      <c r="G237">
        <f t="shared" ca="1" si="44"/>
        <v>142.35502807995309</v>
      </c>
      <c r="H237">
        <f t="shared" ca="1" si="45"/>
        <v>47.300791643490541</v>
      </c>
      <c r="I237">
        <f t="shared" ca="1" si="46"/>
        <v>150.0077294999999</v>
      </c>
      <c r="J237">
        <f t="shared" ca="1" si="47"/>
        <v>71.619724391352847</v>
      </c>
    </row>
    <row r="238" spans="1:10" x14ac:dyDescent="0.25">
      <c r="A238">
        <f t="shared" si="40"/>
        <v>0.18916666666666668</v>
      </c>
      <c r="B238">
        <f t="shared" si="49"/>
        <v>-64.215870185412982</v>
      </c>
      <c r="C238">
        <f t="shared" si="48"/>
        <v>-0.58778525229247514</v>
      </c>
      <c r="D238">
        <f t="shared" si="41"/>
        <v>0.8090169943749459</v>
      </c>
      <c r="E238">
        <f t="shared" si="42"/>
        <v>37.7451414581138</v>
      </c>
      <c r="F238">
        <f t="shared" si="43"/>
        <v>-51.95173028857451</v>
      </c>
      <c r="G238">
        <f t="shared" ca="1" si="44"/>
        <v>142.35502807995317</v>
      </c>
      <c r="H238">
        <f t="shared" ca="1" si="45"/>
        <v>47.300791643490477</v>
      </c>
      <c r="I238">
        <f t="shared" ca="1" si="46"/>
        <v>150.00772949999995</v>
      </c>
      <c r="J238">
        <f t="shared" ca="1" si="47"/>
        <v>71.619724391352875</v>
      </c>
    </row>
    <row r="239" spans="1:10" x14ac:dyDescent="0.25">
      <c r="A239">
        <f t="shared" si="40"/>
        <v>0.19</v>
      </c>
      <c r="B239">
        <f t="shared" si="49"/>
        <v>-123.55385263979788</v>
      </c>
      <c r="C239">
        <f t="shared" si="48"/>
        <v>-0.80901699437494157</v>
      </c>
      <c r="D239">
        <f t="shared" si="41"/>
        <v>0.58778525229248113</v>
      </c>
      <c r="E239">
        <f t="shared" si="42"/>
        <v>99.957166506093728</v>
      </c>
      <c r="F239">
        <f t="shared" si="43"/>
        <v>-72.623132445591636</v>
      </c>
      <c r="G239">
        <f t="shared" ca="1" si="44"/>
        <v>142.35502807995303</v>
      </c>
      <c r="H239">
        <f t="shared" ca="1" si="45"/>
        <v>47.300791643490484</v>
      </c>
      <c r="I239">
        <f t="shared" ca="1" si="46"/>
        <v>150.00772949999981</v>
      </c>
      <c r="J239">
        <f t="shared" ca="1" si="47"/>
        <v>71.619724391352861</v>
      </c>
    </row>
    <row r="240" spans="1:10" x14ac:dyDescent="0.25">
      <c r="A240">
        <f t="shared" si="40"/>
        <v>0.19083333333333335</v>
      </c>
      <c r="B240">
        <f t="shared" si="49"/>
        <v>-170.79752314749342</v>
      </c>
      <c r="C240">
        <f t="shared" si="48"/>
        <v>-0.95105651629515542</v>
      </c>
      <c r="D240">
        <f t="shared" si="41"/>
        <v>0.30901699437494162</v>
      </c>
      <c r="E240">
        <f t="shared" si="42"/>
        <v>162.43809735649626</v>
      </c>
      <c r="F240">
        <f t="shared" si="43"/>
        <v>-52.779337249722936</v>
      </c>
      <c r="G240">
        <f t="shared" ca="1" si="44"/>
        <v>142.35502807995329</v>
      </c>
      <c r="H240">
        <f t="shared" ca="1" si="45"/>
        <v>47.300791643490662</v>
      </c>
      <c r="I240">
        <f t="shared" ca="1" si="46"/>
        <v>150.0077295000001</v>
      </c>
      <c r="J240">
        <f t="shared" ca="1" si="47"/>
        <v>71.619724391352833</v>
      </c>
    </row>
    <row r="241" spans="1:10" x14ac:dyDescent="0.25">
      <c r="A241">
        <f t="shared" si="40"/>
        <v>0.19166666666666668</v>
      </c>
      <c r="B241">
        <f t="shared" si="49"/>
        <v>-201.32234207319041</v>
      </c>
      <c r="C241">
        <f t="shared" si="48"/>
        <v>-1</v>
      </c>
      <c r="D241">
        <f t="shared" si="41"/>
        <v>6.370555125090327E-15</v>
      </c>
      <c r="E241">
        <f t="shared" si="42"/>
        <v>201.32234207319041</v>
      </c>
      <c r="F241">
        <f t="shared" si="43"/>
        <v>-1.2825350780895512E-12</v>
      </c>
      <c r="G241">
        <f t="shared" ca="1" si="44"/>
        <v>142.35502807995326</v>
      </c>
      <c r="H241">
        <f t="shared" ca="1" si="45"/>
        <v>47.300791643490562</v>
      </c>
      <c r="I241">
        <f t="shared" ca="1" si="46"/>
        <v>150.00772950000007</v>
      </c>
      <c r="J241">
        <f t="shared" ca="1" si="47"/>
        <v>71.619724391352847</v>
      </c>
    </row>
    <row r="242" spans="1:10" x14ac:dyDescent="0.25">
      <c r="A242">
        <f t="shared" si="40"/>
        <v>0.1925</v>
      </c>
      <c r="B242">
        <f t="shared" si="49"/>
        <v>-212.14032746152756</v>
      </c>
      <c r="C242">
        <f t="shared" si="48"/>
        <v>-0.95105651629515497</v>
      </c>
      <c r="D242">
        <f t="shared" si="41"/>
        <v>-0.30901699437494307</v>
      </c>
      <c r="E242">
        <f t="shared" si="42"/>
        <v>201.75744080127379</v>
      </c>
      <c r="F242">
        <f t="shared" si="43"/>
        <v>65.554966377877449</v>
      </c>
      <c r="G242">
        <f t="shared" ca="1" si="44"/>
        <v>142.35502807995323</v>
      </c>
      <c r="H242">
        <f t="shared" ca="1" si="45"/>
        <v>47.300791643490662</v>
      </c>
      <c r="I242">
        <f t="shared" ca="1" si="46"/>
        <v>150.00772950000007</v>
      </c>
      <c r="J242">
        <f t="shared" ca="1" si="47"/>
        <v>71.619724391352818</v>
      </c>
    </row>
    <row r="243" spans="1:10" x14ac:dyDescent="0.25">
      <c r="A243">
        <f t="shared" si="40"/>
        <v>0.19333333333333336</v>
      </c>
      <c r="B243">
        <f t="shared" si="49"/>
        <v>-202.19253952935634</v>
      </c>
      <c r="C243">
        <f t="shared" si="48"/>
        <v>-0.80901699437494912</v>
      </c>
      <c r="D243">
        <f t="shared" si="41"/>
        <v>-0.58778525229247081</v>
      </c>
      <c r="E243">
        <f t="shared" si="42"/>
        <v>163.57720061507794</v>
      </c>
      <c r="F243">
        <f t="shared" si="43"/>
        <v>118.84579285891809</v>
      </c>
      <c r="G243">
        <f t="shared" ca="1" si="44"/>
        <v>142.35502807995314</v>
      </c>
      <c r="H243">
        <f t="shared" ca="1" si="45"/>
        <v>47.300791643490726</v>
      </c>
      <c r="I243">
        <f t="shared" ca="1" si="46"/>
        <v>150.00772949999998</v>
      </c>
      <c r="J243">
        <f t="shared" ca="1" si="47"/>
        <v>71.61972439135279</v>
      </c>
    </row>
    <row r="244" spans="1:10" x14ac:dyDescent="0.25">
      <c r="A244">
        <f t="shared" si="40"/>
        <v>0.19416666666666668</v>
      </c>
      <c r="B244">
        <f t="shared" si="49"/>
        <v>-172.45273706979179</v>
      </c>
      <c r="C244">
        <f t="shared" si="48"/>
        <v>-0.58778525229247403</v>
      </c>
      <c r="D244">
        <f t="shared" si="41"/>
        <v>-0.80901699437494679</v>
      </c>
      <c r="E244">
        <f t="shared" si="42"/>
        <v>101.36517556709526</v>
      </c>
      <c r="F244">
        <f t="shared" si="43"/>
        <v>139.51719501593593</v>
      </c>
      <c r="G244">
        <f t="shared" ca="1" si="44"/>
        <v>142.35502807995326</v>
      </c>
      <c r="H244">
        <f t="shared" ca="1" si="45"/>
        <v>47.300791643490719</v>
      </c>
      <c r="I244">
        <f t="shared" ca="1" si="46"/>
        <v>150.0077295000001</v>
      </c>
      <c r="J244">
        <f t="shared" ca="1" si="47"/>
        <v>71.619724391352804</v>
      </c>
    </row>
    <row r="245" spans="1:10" x14ac:dyDescent="0.25">
      <c r="A245">
        <f t="shared" si="40"/>
        <v>0.19500000000000001</v>
      </c>
      <c r="B245">
        <f t="shared" si="49"/>
        <v>-125.83205915696399</v>
      </c>
      <c r="C245">
        <f t="shared" si="48"/>
        <v>-0.30901699437494679</v>
      </c>
      <c r="D245">
        <f t="shared" si="41"/>
        <v>-0.95105651629515375</v>
      </c>
      <c r="E245">
        <f t="shared" si="42"/>
        <v>38.884244716695513</v>
      </c>
      <c r="F245">
        <f t="shared" si="43"/>
        <v>119.67339982006787</v>
      </c>
      <c r="G245">
        <f t="shared" ca="1" si="44"/>
        <v>142.3550280799532</v>
      </c>
      <c r="H245">
        <f t="shared" ca="1" si="45"/>
        <v>47.300791643490662</v>
      </c>
      <c r="I245">
        <f t="shared" ca="1" si="46"/>
        <v>150.00772950000004</v>
      </c>
      <c r="J245">
        <f t="shared" ca="1" si="47"/>
        <v>71.619724391352818</v>
      </c>
    </row>
    <row r="246" spans="1:10" x14ac:dyDescent="0.25">
      <c r="A246">
        <f t="shared" si="40"/>
        <v>0.19583333333333336</v>
      </c>
      <c r="B246">
        <f t="shared" si="49"/>
        <v>-66.894062570343777</v>
      </c>
      <c r="C246">
        <f t="shared" si="48"/>
        <v>2.4499716491654944E-15</v>
      </c>
      <c r="D246">
        <f t="shared" si="41"/>
        <v>-1</v>
      </c>
      <c r="E246">
        <f t="shared" si="42"/>
        <v>-1.6388855679484492E-13</v>
      </c>
      <c r="F246">
        <f t="shared" si="43"/>
        <v>66.894062570343777</v>
      </c>
      <c r="G246">
        <f t="shared" ca="1" si="44"/>
        <v>142.35502807995317</v>
      </c>
      <c r="H246">
        <f t="shared" ca="1" si="45"/>
        <v>47.300791643490562</v>
      </c>
      <c r="I246">
        <f t="shared" ca="1" si="46"/>
        <v>150.00772949999998</v>
      </c>
      <c r="J246">
        <f t="shared" ca="1" si="47"/>
        <v>71.619724391352847</v>
      </c>
    </row>
    <row r="247" spans="1:10" x14ac:dyDescent="0.25">
      <c r="A247">
        <f t="shared" si="40"/>
        <v>0.19666666666666668</v>
      </c>
      <c r="B247">
        <f t="shared" si="49"/>
        <v>-1.4080090609983007</v>
      </c>
      <c r="C247">
        <f t="shared" si="48"/>
        <v>0.30901699437495145</v>
      </c>
      <c r="D247">
        <f t="shared" si="41"/>
        <v>-0.95105651629515231</v>
      </c>
      <c r="E247">
        <f t="shared" si="42"/>
        <v>-0.43509872808239258</v>
      </c>
      <c r="F247">
        <f t="shared" si="43"/>
        <v>1.3390961924650524</v>
      </c>
      <c r="G247">
        <f t="shared" ca="1" si="44"/>
        <v>142.35502807995317</v>
      </c>
      <c r="H247">
        <f t="shared" ca="1" si="45"/>
        <v>47.300791643490463</v>
      </c>
      <c r="I247">
        <f t="shared" ca="1" si="46"/>
        <v>150.00772949999995</v>
      </c>
      <c r="J247">
        <f t="shared" ca="1" si="47"/>
        <v>71.619724391352889</v>
      </c>
    </row>
    <row r="248" spans="1:10" x14ac:dyDescent="0.25">
      <c r="A248">
        <f t="shared" si="40"/>
        <v>0.19750000000000001</v>
      </c>
      <c r="B248">
        <f t="shared" si="49"/>
        <v>64.215870185410807</v>
      </c>
      <c r="C248">
        <f t="shared" si="48"/>
        <v>0.58778525229246648</v>
      </c>
      <c r="D248">
        <f t="shared" si="41"/>
        <v>-0.80901699437495223</v>
      </c>
      <c r="E248">
        <f t="shared" si="42"/>
        <v>37.745141458111966</v>
      </c>
      <c r="F248">
        <f t="shared" si="43"/>
        <v>-51.95173028857316</v>
      </c>
      <c r="G248">
        <f t="shared" ca="1" si="44"/>
        <v>142.35502807995312</v>
      </c>
      <c r="H248">
        <f t="shared" ca="1" si="45"/>
        <v>47.300791643490527</v>
      </c>
      <c r="I248">
        <f t="shared" ca="1" si="46"/>
        <v>150.0077294999999</v>
      </c>
      <c r="J248">
        <f t="shared" ca="1" si="47"/>
        <v>71.619724391352847</v>
      </c>
    </row>
    <row r="249" spans="1:10" x14ac:dyDescent="0.25">
      <c r="A249">
        <f t="shared" si="40"/>
        <v>0.19833333333333333</v>
      </c>
      <c r="B249">
        <f t="shared" si="49"/>
        <v>123.55385263979848</v>
      </c>
      <c r="C249">
        <f t="shared" si="48"/>
        <v>0.80901699437494368</v>
      </c>
      <c r="D249">
        <f t="shared" si="41"/>
        <v>-0.58778525229247836</v>
      </c>
      <c r="E249">
        <f t="shared" si="42"/>
        <v>99.957166506094467</v>
      </c>
      <c r="F249">
        <f t="shared" si="43"/>
        <v>-72.623132445591636</v>
      </c>
      <c r="G249">
        <f t="shared" ca="1" si="44"/>
        <v>142.3550280799532</v>
      </c>
      <c r="H249">
        <f t="shared" ca="1" si="45"/>
        <v>47.300791643490534</v>
      </c>
      <c r="I249">
        <f t="shared" ca="1" si="46"/>
        <v>150.00772949999998</v>
      </c>
      <c r="J249">
        <f t="shared" ca="1" si="47"/>
        <v>71.619724391352861</v>
      </c>
    </row>
    <row r="250" spans="1:10" x14ac:dyDescent="0.25">
      <c r="A250">
        <f t="shared" si="40"/>
        <v>0.19916666666666669</v>
      </c>
      <c r="B250">
        <f t="shared" si="49"/>
        <v>170.79752314749206</v>
      </c>
      <c r="C250">
        <f t="shared" si="48"/>
        <v>0.95105651629515209</v>
      </c>
      <c r="D250">
        <f t="shared" si="41"/>
        <v>-0.30901699437495189</v>
      </c>
      <c r="E250">
        <f t="shared" si="42"/>
        <v>162.43809735649441</v>
      </c>
      <c r="F250">
        <f t="shared" si="43"/>
        <v>-52.779337249724271</v>
      </c>
      <c r="G250">
        <f t="shared" ca="1" si="44"/>
        <v>142.35502807995312</v>
      </c>
      <c r="H250">
        <f t="shared" ca="1" si="45"/>
        <v>47.30079164349047</v>
      </c>
      <c r="I250">
        <f t="shared" ca="1" si="46"/>
        <v>150.0077294999999</v>
      </c>
      <c r="J250">
        <f t="shared" ca="1" si="47"/>
        <v>71.619724391352875</v>
      </c>
    </row>
    <row r="251" spans="1:10" x14ac:dyDescent="0.25">
      <c r="A251">
        <f t="shared" si="40"/>
        <v>0.2</v>
      </c>
      <c r="B251">
        <f t="shared" si="49"/>
        <v>201.32234207319067</v>
      </c>
      <c r="C251">
        <f t="shared" si="48"/>
        <v>1</v>
      </c>
      <c r="D251">
        <f t="shared" si="41"/>
        <v>-2.940356291780688E-15</v>
      </c>
      <c r="E251">
        <f t="shared" si="42"/>
        <v>201.32234207319067</v>
      </c>
      <c r="F251">
        <f t="shared" si="43"/>
        <v>-5.9195941519093011E-13</v>
      </c>
      <c r="G251">
        <f t="shared" ca="1" si="44"/>
        <v>142.35502807995306</v>
      </c>
      <c r="H251">
        <f t="shared" ca="1" si="45"/>
        <v>47.300791643490371</v>
      </c>
      <c r="I251">
        <f t="shared" ca="1" si="46"/>
        <v>150.00772949999981</v>
      </c>
      <c r="J251">
        <f t="shared" ca="1" si="47"/>
        <v>71.619724391352904</v>
      </c>
    </row>
    <row r="252" spans="1:10" x14ac:dyDescent="0.25">
      <c r="A252">
        <f t="shared" si="40"/>
        <v>0.20083333333333334</v>
      </c>
      <c r="B252">
        <f t="shared" si="49"/>
        <v>212.14032746152756</v>
      </c>
      <c r="C252">
        <f t="shared" si="48"/>
        <v>0.95105651629515398</v>
      </c>
      <c r="D252">
        <f t="shared" si="41"/>
        <v>0.30901699437494629</v>
      </c>
      <c r="E252">
        <f t="shared" si="42"/>
        <v>201.75744080127359</v>
      </c>
      <c r="F252">
        <f t="shared" si="43"/>
        <v>65.554966377878131</v>
      </c>
      <c r="G252">
        <f t="shared" ca="1" si="44"/>
        <v>142.35502807995303</v>
      </c>
      <c r="H252">
        <f t="shared" ca="1" si="45"/>
        <v>47.300791643490463</v>
      </c>
      <c r="I252">
        <f t="shared" ca="1" si="46"/>
        <v>150.00772949999981</v>
      </c>
      <c r="J252">
        <f t="shared" ca="1" si="47"/>
        <v>71.619724391352861</v>
      </c>
    </row>
    <row r="253" spans="1:10" x14ac:dyDescent="0.25">
      <c r="A253">
        <f t="shared" si="40"/>
        <v>0.20166666666666669</v>
      </c>
      <c r="B253">
        <f t="shared" si="49"/>
        <v>202.19253952935614</v>
      </c>
      <c r="C253">
        <f t="shared" si="48"/>
        <v>0.80901699437494712</v>
      </c>
      <c r="D253">
        <f t="shared" si="41"/>
        <v>0.58778525229247358</v>
      </c>
      <c r="E253">
        <f t="shared" si="42"/>
        <v>163.5772006150774</v>
      </c>
      <c r="F253">
        <f t="shared" si="43"/>
        <v>118.84579285891854</v>
      </c>
      <c r="G253">
        <f t="shared" ca="1" si="44"/>
        <v>142.35502807995312</v>
      </c>
      <c r="H253">
        <f t="shared" ca="1" si="45"/>
        <v>47.300791643490399</v>
      </c>
      <c r="I253">
        <f t="shared" ca="1" si="46"/>
        <v>150.00772949999987</v>
      </c>
      <c r="J253">
        <f t="shared" ca="1" si="47"/>
        <v>71.619724391352904</v>
      </c>
    </row>
    <row r="254" spans="1:10" x14ac:dyDescent="0.25">
      <c r="A254">
        <f t="shared" si="40"/>
        <v>0.20250000000000001</v>
      </c>
      <c r="B254">
        <f t="shared" si="49"/>
        <v>172.45273706979137</v>
      </c>
      <c r="C254">
        <f t="shared" si="48"/>
        <v>0.58778525229247125</v>
      </c>
      <c r="D254">
        <f t="shared" si="41"/>
        <v>0.80901699437494878</v>
      </c>
      <c r="E254">
        <f t="shared" si="42"/>
        <v>101.36517556709452</v>
      </c>
      <c r="F254">
        <f t="shared" si="43"/>
        <v>139.51719501593593</v>
      </c>
      <c r="G254">
        <f t="shared" ca="1" si="44"/>
        <v>142.355028079953</v>
      </c>
      <c r="H254">
        <f t="shared" ca="1" si="45"/>
        <v>47.300791643490392</v>
      </c>
      <c r="I254">
        <f t="shared" ca="1" si="46"/>
        <v>150.00772949999975</v>
      </c>
      <c r="J254">
        <f t="shared" ca="1" si="47"/>
        <v>71.619724391352889</v>
      </c>
    </row>
    <row r="255" spans="1:10" x14ac:dyDescent="0.25">
      <c r="A255">
        <f t="shared" si="40"/>
        <v>0.20333333333333334</v>
      </c>
      <c r="B255">
        <f t="shared" si="49"/>
        <v>125.83205915696583</v>
      </c>
      <c r="C255">
        <f t="shared" si="48"/>
        <v>0.309016994374957</v>
      </c>
      <c r="D255">
        <f t="shared" si="41"/>
        <v>0.95105651629515042</v>
      </c>
      <c r="E255">
        <f t="shared" si="42"/>
        <v>38.884244716697367</v>
      </c>
      <c r="F255">
        <f t="shared" si="43"/>
        <v>119.67339982006921</v>
      </c>
      <c r="G255">
        <f t="shared" ca="1" si="44"/>
        <v>142.35502807995312</v>
      </c>
      <c r="H255">
        <f t="shared" ca="1" si="45"/>
        <v>47.300791643490449</v>
      </c>
      <c r="I255">
        <f t="shared" ca="1" si="46"/>
        <v>150.0077294999999</v>
      </c>
      <c r="J255">
        <f t="shared" ca="1" si="47"/>
        <v>71.619724391352875</v>
      </c>
    </row>
    <row r="256" spans="1:10" x14ac:dyDescent="0.25">
      <c r="A256">
        <f t="shared" si="40"/>
        <v>0.20416666666666669</v>
      </c>
      <c r="B256">
        <f t="shared" si="49"/>
        <v>66.894062570343081</v>
      </c>
      <c r="C256">
        <f t="shared" si="48"/>
        <v>-5.8801704824751333E-15</v>
      </c>
      <c r="D256">
        <f t="shared" si="41"/>
        <v>1</v>
      </c>
      <c r="E256">
        <f t="shared" si="42"/>
        <v>-3.9334849217897603E-13</v>
      </c>
      <c r="F256">
        <f t="shared" si="43"/>
        <v>66.894062570343081</v>
      </c>
      <c r="G256">
        <f t="shared" ca="1" si="44"/>
        <v>142.35502807995303</v>
      </c>
      <c r="H256">
        <f t="shared" ca="1" si="45"/>
        <v>47.30079164349015</v>
      </c>
      <c r="I256">
        <f t="shared" ca="1" si="46"/>
        <v>150.0077294999997</v>
      </c>
      <c r="J256">
        <f t="shared" ca="1" si="47"/>
        <v>71.619724391352975</v>
      </c>
    </row>
    <row r="257" spans="1:10" x14ac:dyDescent="0.25">
      <c r="A257">
        <f t="shared" si="40"/>
        <v>0.20500000000000002</v>
      </c>
      <c r="B257">
        <f t="shared" si="49"/>
        <v>1.4080090610005878</v>
      </c>
      <c r="C257">
        <f t="shared" si="48"/>
        <v>-0.30901699437494118</v>
      </c>
      <c r="D257">
        <f t="shared" si="41"/>
        <v>0.95105651629515564</v>
      </c>
      <c r="E257">
        <f t="shared" si="42"/>
        <v>-0.43509872808308486</v>
      </c>
      <c r="F257">
        <f t="shared" si="43"/>
        <v>1.3390961924672322</v>
      </c>
      <c r="G257">
        <f t="shared" ca="1" si="44"/>
        <v>142.35502807995297</v>
      </c>
      <c r="H257">
        <f t="shared" ca="1" si="45"/>
        <v>47.30079164349025</v>
      </c>
      <c r="I257">
        <f t="shared" ca="1" si="46"/>
        <v>150.0077294999997</v>
      </c>
      <c r="J257">
        <f t="shared" ca="1" si="47"/>
        <v>71.619724391352946</v>
      </c>
    </row>
    <row r="258" spans="1:10" x14ac:dyDescent="0.25">
      <c r="A258">
        <f t="shared" si="40"/>
        <v>0.20583333333333334</v>
      </c>
      <c r="B258">
        <f t="shared" si="49"/>
        <v>-64.215870185411504</v>
      </c>
      <c r="C258">
        <f t="shared" si="48"/>
        <v>-0.58778525229246925</v>
      </c>
      <c r="D258">
        <f t="shared" si="41"/>
        <v>0.80901699437495023</v>
      </c>
      <c r="E258">
        <f t="shared" si="42"/>
        <v>37.745141458112556</v>
      </c>
      <c r="F258">
        <f t="shared" si="43"/>
        <v>-51.951730288573593</v>
      </c>
      <c r="G258">
        <f t="shared" ca="1" si="44"/>
        <v>142.35502807995292</v>
      </c>
      <c r="H258">
        <f t="shared" ca="1" si="45"/>
        <v>47.300791643490321</v>
      </c>
      <c r="I258">
        <f t="shared" ca="1" si="46"/>
        <v>150.00772949999964</v>
      </c>
      <c r="J258">
        <f t="shared" ca="1" si="47"/>
        <v>71.619724391352904</v>
      </c>
    </row>
    <row r="259" spans="1:10" x14ac:dyDescent="0.25">
      <c r="A259">
        <f t="shared" si="40"/>
        <v>0.20666666666666669</v>
      </c>
      <c r="B259">
        <f t="shared" si="49"/>
        <v>-123.55385263979906</v>
      </c>
      <c r="C259">
        <f t="shared" si="48"/>
        <v>-0.80901699437494567</v>
      </c>
      <c r="D259">
        <f t="shared" si="41"/>
        <v>0.58778525229247558</v>
      </c>
      <c r="E259">
        <f t="shared" si="42"/>
        <v>99.957166506095177</v>
      </c>
      <c r="F259">
        <f t="shared" si="43"/>
        <v>-72.623132445591636</v>
      </c>
      <c r="G259">
        <f t="shared" ca="1" si="44"/>
        <v>142.355028079953</v>
      </c>
      <c r="H259">
        <f t="shared" ca="1" si="45"/>
        <v>47.300791643490321</v>
      </c>
      <c r="I259">
        <f t="shared" ca="1" si="46"/>
        <v>150.00772949999973</v>
      </c>
      <c r="J259">
        <f t="shared" ca="1" si="47"/>
        <v>71.619724391352918</v>
      </c>
    </row>
    <row r="260" spans="1:10" x14ac:dyDescent="0.25">
      <c r="A260">
        <f t="shared" si="40"/>
        <v>0.20750000000000002</v>
      </c>
      <c r="B260">
        <f t="shared" si="49"/>
        <v>-170.79752314749248</v>
      </c>
      <c r="C260">
        <f t="shared" si="48"/>
        <v>-0.9510565162951532</v>
      </c>
      <c r="D260">
        <f t="shared" si="41"/>
        <v>0.30901699437494862</v>
      </c>
      <c r="E260">
        <f t="shared" si="42"/>
        <v>162.43809735649498</v>
      </c>
      <c r="F260">
        <f t="shared" si="43"/>
        <v>-52.779337249723838</v>
      </c>
      <c r="G260">
        <f t="shared" ca="1" si="44"/>
        <v>142.35502807995292</v>
      </c>
      <c r="H260">
        <f t="shared" ca="1" si="45"/>
        <v>47.300791643490257</v>
      </c>
      <c r="I260">
        <f t="shared" ca="1" si="46"/>
        <v>150.00772949999964</v>
      </c>
      <c r="J260">
        <f t="shared" ca="1" si="47"/>
        <v>71.619724391352932</v>
      </c>
    </row>
    <row r="261" spans="1:10" x14ac:dyDescent="0.25">
      <c r="A261">
        <f t="shared" si="40"/>
        <v>0.20833333333333334</v>
      </c>
      <c r="B261">
        <f t="shared" si="49"/>
        <v>-201.3223420731909</v>
      </c>
      <c r="C261">
        <f t="shared" si="48"/>
        <v>-1</v>
      </c>
      <c r="D261">
        <f t="shared" si="41"/>
        <v>-4.898425415289509E-16</v>
      </c>
      <c r="E261">
        <f t="shared" si="42"/>
        <v>201.3223420731909</v>
      </c>
      <c r="F261">
        <f t="shared" si="43"/>
        <v>9.8616247707692672E-14</v>
      </c>
      <c r="G261">
        <f t="shared" ca="1" si="44"/>
        <v>142.35502807995294</v>
      </c>
      <c r="H261">
        <f t="shared" ca="1" si="45"/>
        <v>47.300791643490349</v>
      </c>
      <c r="I261">
        <f t="shared" ca="1" si="46"/>
        <v>150.0077294999997</v>
      </c>
      <c r="J261">
        <f t="shared" ca="1" si="47"/>
        <v>71.619724391352904</v>
      </c>
    </row>
    <row r="262" spans="1:10" x14ac:dyDescent="0.25">
      <c r="A262">
        <f t="shared" si="40"/>
        <v>0.20916666666666667</v>
      </c>
      <c r="B262">
        <f t="shared" si="49"/>
        <v>-212.14032746152753</v>
      </c>
      <c r="C262">
        <f t="shared" si="48"/>
        <v>-0.95105651629515731</v>
      </c>
      <c r="D262">
        <f t="shared" si="41"/>
        <v>-0.30901699437493607</v>
      </c>
      <c r="E262">
        <f t="shared" si="42"/>
        <v>201.75744080127427</v>
      </c>
      <c r="F262">
        <f t="shared" si="43"/>
        <v>65.554966377875957</v>
      </c>
      <c r="G262">
        <f t="shared" ca="1" si="44"/>
        <v>142.35502807995297</v>
      </c>
      <c r="H262">
        <f t="shared" ca="1" si="45"/>
        <v>47.300791643490257</v>
      </c>
      <c r="I262">
        <f t="shared" ca="1" si="46"/>
        <v>150.0077294999997</v>
      </c>
      <c r="J262">
        <f t="shared" ca="1" si="47"/>
        <v>71.619724391352946</v>
      </c>
    </row>
    <row r="263" spans="1:10" x14ac:dyDescent="0.25">
      <c r="A263">
        <f t="shared" si="40"/>
        <v>0.21000000000000002</v>
      </c>
      <c r="B263">
        <f t="shared" si="49"/>
        <v>-202.19253952935591</v>
      </c>
      <c r="C263">
        <f t="shared" si="48"/>
        <v>-0.80901699437494501</v>
      </c>
      <c r="D263">
        <f t="shared" si="41"/>
        <v>-0.58778525229247636</v>
      </c>
      <c r="E263">
        <f t="shared" si="42"/>
        <v>163.57720061507678</v>
      </c>
      <c r="F263">
        <f t="shared" si="43"/>
        <v>118.84579285891897</v>
      </c>
      <c r="G263">
        <f t="shared" ca="1" si="44"/>
        <v>142.35502807995292</v>
      </c>
      <c r="H263">
        <f t="shared" ca="1" si="45"/>
        <v>47.3007916434903</v>
      </c>
      <c r="I263">
        <f t="shared" ca="1" si="46"/>
        <v>150.00772949999964</v>
      </c>
      <c r="J263">
        <f t="shared" ca="1" si="47"/>
        <v>71.619724391352918</v>
      </c>
    </row>
    <row r="264" spans="1:10" x14ac:dyDescent="0.25">
      <c r="A264">
        <f t="shared" si="40"/>
        <v>0.21083333333333334</v>
      </c>
      <c r="B264">
        <f t="shared" si="49"/>
        <v>-172.4527370697927</v>
      </c>
      <c r="C264">
        <f t="shared" si="48"/>
        <v>-0.58778525229247991</v>
      </c>
      <c r="D264">
        <f t="shared" si="41"/>
        <v>-0.80901699437494246</v>
      </c>
      <c r="E264">
        <f t="shared" si="42"/>
        <v>101.36517556709681</v>
      </c>
      <c r="F264">
        <f t="shared" si="43"/>
        <v>139.51719501593593</v>
      </c>
      <c r="G264">
        <f t="shared" ca="1" si="44"/>
        <v>142.35502807995303</v>
      </c>
      <c r="H264">
        <f t="shared" ca="1" si="45"/>
        <v>47.300791643490314</v>
      </c>
      <c r="I264">
        <f t="shared" ca="1" si="46"/>
        <v>150.00772949999975</v>
      </c>
      <c r="J264">
        <f t="shared" ca="1" si="47"/>
        <v>71.619724391352918</v>
      </c>
    </row>
    <row r="265" spans="1:10" x14ac:dyDescent="0.25">
      <c r="A265">
        <f t="shared" si="40"/>
        <v>0.21166666666666667</v>
      </c>
      <c r="B265">
        <f t="shared" si="49"/>
        <v>-125.83205915696524</v>
      </c>
      <c r="C265">
        <f t="shared" si="48"/>
        <v>-0.30901699437495378</v>
      </c>
      <c r="D265">
        <f t="shared" si="41"/>
        <v>-0.95105651629515153</v>
      </c>
      <c r="E265">
        <f t="shared" si="42"/>
        <v>38.884244716696777</v>
      </c>
      <c r="F265">
        <f t="shared" si="43"/>
        <v>119.67339982006878</v>
      </c>
      <c r="G265">
        <f t="shared" ca="1" si="44"/>
        <v>142.35502807995312</v>
      </c>
      <c r="H265">
        <f t="shared" ca="1" si="45"/>
        <v>47.300791643490378</v>
      </c>
      <c r="I265">
        <f t="shared" ca="1" si="46"/>
        <v>150.00772949999987</v>
      </c>
      <c r="J265">
        <f t="shared" ca="1" si="47"/>
        <v>71.619724391352904</v>
      </c>
    </row>
    <row r="266" spans="1:10" x14ac:dyDescent="0.25">
      <c r="A266">
        <f t="shared" si="40"/>
        <v>0.21250000000000002</v>
      </c>
      <c r="B266">
        <f t="shared" si="49"/>
        <v>-66.89406257034527</v>
      </c>
      <c r="C266">
        <f t="shared" si="48"/>
        <v>-4.9004853994172315E-15</v>
      </c>
      <c r="D266">
        <f t="shared" si="41"/>
        <v>-1</v>
      </c>
      <c r="E266">
        <f t="shared" si="42"/>
        <v>3.278133769336797E-13</v>
      </c>
      <c r="F266">
        <f t="shared" si="43"/>
        <v>66.89406257034527</v>
      </c>
      <c r="G266">
        <f t="shared" ca="1" si="44"/>
        <v>142.35502807995314</v>
      </c>
      <c r="H266">
        <f t="shared" ca="1" si="45"/>
        <v>47.300791643490477</v>
      </c>
      <c r="I266">
        <f t="shared" ca="1" si="46"/>
        <v>150.00772949999993</v>
      </c>
      <c r="J266">
        <f t="shared" ca="1" si="47"/>
        <v>71.619724391352875</v>
      </c>
    </row>
    <row r="267" spans="1:10" x14ac:dyDescent="0.25">
      <c r="A267">
        <f t="shared" si="40"/>
        <v>0.21333333333333335</v>
      </c>
      <c r="B267">
        <f t="shared" si="49"/>
        <v>-1.4080090609998601</v>
      </c>
      <c r="C267">
        <f t="shared" si="48"/>
        <v>0.30901699437494445</v>
      </c>
      <c r="D267">
        <f t="shared" si="41"/>
        <v>-0.95105651629515453</v>
      </c>
      <c r="E267">
        <f t="shared" si="42"/>
        <v>-0.43509872808286459</v>
      </c>
      <c r="F267">
        <f t="shared" si="43"/>
        <v>1.3390961924665388</v>
      </c>
      <c r="G267">
        <f t="shared" ca="1" si="44"/>
        <v>142.35502807995309</v>
      </c>
      <c r="H267">
        <f t="shared" ca="1" si="45"/>
        <v>47.300791643490584</v>
      </c>
      <c r="I267">
        <f t="shared" ca="1" si="46"/>
        <v>150.0077294999999</v>
      </c>
      <c r="J267">
        <f t="shared" ca="1" si="47"/>
        <v>71.619724391352833</v>
      </c>
    </row>
    <row r="268" spans="1:10" x14ac:dyDescent="0.25">
      <c r="A268">
        <f t="shared" ref="A268:A331" si="50">(ROW($A268)-ROW($A$11))*$B$4+$B$5</f>
        <v>0.21416666666666667</v>
      </c>
      <c r="B268">
        <f t="shared" si="49"/>
        <v>64.215870185412186</v>
      </c>
      <c r="C268">
        <f t="shared" si="48"/>
        <v>0.58778525229247203</v>
      </c>
      <c r="D268">
        <f t="shared" ref="D268:D331" si="51">SIN(($A268-$B$5)*$C$1)</f>
        <v>-0.80901699437494823</v>
      </c>
      <c r="E268">
        <f t="shared" si="42"/>
        <v>37.745141458113132</v>
      </c>
      <c r="F268">
        <f t="shared" si="43"/>
        <v>-51.951730288574019</v>
      </c>
      <c r="G268">
        <f t="shared" ca="1" si="44"/>
        <v>142.35502807995317</v>
      </c>
      <c r="H268">
        <f t="shared" ca="1" si="45"/>
        <v>47.30079164349052</v>
      </c>
      <c r="I268">
        <f t="shared" ca="1" si="46"/>
        <v>150.00772949999998</v>
      </c>
      <c r="J268">
        <f t="shared" ca="1" si="47"/>
        <v>71.619724391352861</v>
      </c>
    </row>
    <row r="269" spans="1:10" x14ac:dyDescent="0.25">
      <c r="A269">
        <f t="shared" si="50"/>
        <v>0.21500000000000002</v>
      </c>
      <c r="B269">
        <f t="shared" si="49"/>
        <v>123.55385263979966</v>
      </c>
      <c r="C269">
        <f t="shared" si="48"/>
        <v>0.80901699437494767</v>
      </c>
      <c r="D269">
        <f t="shared" si="51"/>
        <v>-0.5877852522924728</v>
      </c>
      <c r="E269">
        <f t="shared" si="42"/>
        <v>99.957166506095916</v>
      </c>
      <c r="F269">
        <f t="shared" si="43"/>
        <v>-72.623132445591651</v>
      </c>
      <c r="G269">
        <f t="shared" ca="1" si="44"/>
        <v>142.35502807995329</v>
      </c>
      <c r="H269">
        <f t="shared" ca="1" si="45"/>
        <v>47.300791643490527</v>
      </c>
      <c r="I269">
        <f t="shared" ca="1" si="46"/>
        <v>150.00772950000007</v>
      </c>
      <c r="J269">
        <f t="shared" ca="1" si="47"/>
        <v>71.619724391352875</v>
      </c>
    </row>
    <row r="270" spans="1:10" x14ac:dyDescent="0.25">
      <c r="A270">
        <f t="shared" si="50"/>
        <v>0.21583333333333335</v>
      </c>
      <c r="B270">
        <f t="shared" si="49"/>
        <v>170.79752314749294</v>
      </c>
      <c r="C270">
        <f t="shared" si="48"/>
        <v>0.9510565162951542</v>
      </c>
      <c r="D270">
        <f t="shared" si="51"/>
        <v>-0.3090169943749454</v>
      </c>
      <c r="E270">
        <f t="shared" si="42"/>
        <v>162.4380973564956</v>
      </c>
      <c r="F270">
        <f t="shared" si="43"/>
        <v>-52.779337249723433</v>
      </c>
      <c r="G270">
        <f t="shared" ca="1" si="44"/>
        <v>142.35502807995337</v>
      </c>
      <c r="H270">
        <f t="shared" ca="1" si="45"/>
        <v>47.300791643490591</v>
      </c>
      <c r="I270">
        <f t="shared" ca="1" si="46"/>
        <v>150.00772950000015</v>
      </c>
      <c r="J270">
        <f t="shared" ca="1" si="47"/>
        <v>71.619724391352861</v>
      </c>
    </row>
    <row r="271" spans="1:10" x14ac:dyDescent="0.25">
      <c r="A271">
        <f t="shared" si="50"/>
        <v>0.21666666666666667</v>
      </c>
      <c r="B271">
        <f t="shared" si="49"/>
        <v>201.32234207319016</v>
      </c>
      <c r="C271">
        <f t="shared" si="48"/>
        <v>1</v>
      </c>
      <c r="D271">
        <f t="shared" si="51"/>
        <v>-1.0290813340363414E-14</v>
      </c>
      <c r="E271">
        <f t="shared" si="42"/>
        <v>201.32234207319016</v>
      </c>
      <c r="F271">
        <f t="shared" si="43"/>
        <v>-2.071770643519992E-12</v>
      </c>
      <c r="G271">
        <f t="shared" ca="1" si="44"/>
        <v>142.35502807995334</v>
      </c>
      <c r="H271">
        <f t="shared" ca="1" si="45"/>
        <v>47.300791643490477</v>
      </c>
      <c r="I271">
        <f t="shared" ca="1" si="46"/>
        <v>150.00772950000012</v>
      </c>
      <c r="J271">
        <f t="shared" ca="1" si="47"/>
        <v>71.619724391352904</v>
      </c>
    </row>
    <row r="272" spans="1:10" x14ac:dyDescent="0.25">
      <c r="A272">
        <f t="shared" si="50"/>
        <v>0.21750000000000003</v>
      </c>
      <c r="B272">
        <f t="shared" si="49"/>
        <v>212.14032746152756</v>
      </c>
      <c r="C272">
        <f t="shared" si="48"/>
        <v>0.95105651629515187</v>
      </c>
      <c r="D272">
        <f t="shared" si="51"/>
        <v>0.30901699437495284</v>
      </c>
      <c r="E272">
        <f t="shared" si="42"/>
        <v>201.75744080127313</v>
      </c>
      <c r="F272">
        <f t="shared" si="43"/>
        <v>65.554966377879509</v>
      </c>
      <c r="G272">
        <f t="shared" ca="1" si="44"/>
        <v>142.35502807995329</v>
      </c>
      <c r="H272">
        <f t="shared" ca="1" si="45"/>
        <v>47.300791643490577</v>
      </c>
      <c r="I272">
        <f t="shared" ca="1" si="46"/>
        <v>150.00772950000007</v>
      </c>
      <c r="J272">
        <f t="shared" ca="1" si="47"/>
        <v>71.619724391352847</v>
      </c>
    </row>
    <row r="273" spans="1:10" x14ac:dyDescent="0.25">
      <c r="A273">
        <f t="shared" si="50"/>
        <v>0.21833333333333335</v>
      </c>
      <c r="B273">
        <f t="shared" si="49"/>
        <v>202.19253952935662</v>
      </c>
      <c r="C273">
        <f t="shared" si="48"/>
        <v>0.80901699437495145</v>
      </c>
      <c r="D273">
        <f t="shared" si="51"/>
        <v>0.5877852522924677</v>
      </c>
      <c r="E273">
        <f t="shared" si="42"/>
        <v>163.57720061507865</v>
      </c>
      <c r="F273">
        <f t="shared" si="43"/>
        <v>118.84579285891763</v>
      </c>
      <c r="G273">
        <f t="shared" ca="1" si="44"/>
        <v>142.35502807995337</v>
      </c>
      <c r="H273">
        <f t="shared" ca="1" si="45"/>
        <v>47.300791643490513</v>
      </c>
      <c r="I273">
        <f t="shared" ca="1" si="46"/>
        <v>150.00772950000015</v>
      </c>
      <c r="J273">
        <f t="shared" ca="1" si="47"/>
        <v>71.619724391352889</v>
      </c>
    </row>
    <row r="274" spans="1:10" x14ac:dyDescent="0.25">
      <c r="A274">
        <f t="shared" si="50"/>
        <v>0.21916666666666668</v>
      </c>
      <c r="B274">
        <f t="shared" si="49"/>
        <v>172.45273706979228</v>
      </c>
      <c r="C274">
        <f t="shared" si="48"/>
        <v>0.58778525229247713</v>
      </c>
      <c r="D274">
        <f t="shared" si="51"/>
        <v>0.80901699437494445</v>
      </c>
      <c r="E274">
        <f t="shared" si="42"/>
        <v>101.36517556709607</v>
      </c>
      <c r="F274">
        <f t="shared" si="43"/>
        <v>139.51719501593593</v>
      </c>
      <c r="G274">
        <f t="shared" ca="1" si="44"/>
        <v>142.35502807995348</v>
      </c>
      <c r="H274">
        <f t="shared" ca="1" si="45"/>
        <v>47.300791643490513</v>
      </c>
      <c r="I274">
        <f t="shared" ca="1" si="46"/>
        <v>150.00772950000027</v>
      </c>
      <c r="J274">
        <f t="shared" ca="1" si="47"/>
        <v>71.619724391352904</v>
      </c>
    </row>
    <row r="275" spans="1:10" x14ac:dyDescent="0.25">
      <c r="A275">
        <f t="shared" si="50"/>
        <v>0.22</v>
      </c>
      <c r="B275">
        <f t="shared" si="49"/>
        <v>125.83205915696465</v>
      </c>
      <c r="C275">
        <f t="shared" si="48"/>
        <v>0.3090169943749505</v>
      </c>
      <c r="D275">
        <f t="shared" si="51"/>
        <v>0.95105651629515253</v>
      </c>
      <c r="E275">
        <f t="shared" si="42"/>
        <v>38.88424471669618</v>
      </c>
      <c r="F275">
        <f t="shared" si="43"/>
        <v>119.67339982006834</v>
      </c>
      <c r="G275">
        <f t="shared" ca="1" si="44"/>
        <v>142.35502807995343</v>
      </c>
      <c r="H275">
        <f t="shared" ca="1" si="45"/>
        <v>47.300791643490456</v>
      </c>
      <c r="I275">
        <f t="shared" ca="1" si="46"/>
        <v>150.00772950000018</v>
      </c>
      <c r="J275">
        <f t="shared" ca="1" si="47"/>
        <v>71.619724391352918</v>
      </c>
    </row>
    <row r="276" spans="1:10" x14ac:dyDescent="0.25">
      <c r="A276">
        <f t="shared" si="50"/>
        <v>0.22083333333333335</v>
      </c>
      <c r="B276">
        <f t="shared" si="49"/>
        <v>66.894062570344573</v>
      </c>
      <c r="C276">
        <f t="shared" si="48"/>
        <v>1.4702865661075926E-15</v>
      </c>
      <c r="D276">
        <f t="shared" si="51"/>
        <v>1</v>
      </c>
      <c r="E276">
        <f t="shared" si="42"/>
        <v>9.8353441549538364E-14</v>
      </c>
      <c r="F276">
        <f t="shared" si="43"/>
        <v>66.894062570344573</v>
      </c>
      <c r="G276">
        <f t="shared" ca="1" si="44"/>
        <v>142.35502807995346</v>
      </c>
      <c r="H276">
        <f t="shared" ca="1" si="45"/>
        <v>47.300791643490555</v>
      </c>
      <c r="I276">
        <f t="shared" ca="1" si="46"/>
        <v>150.00772950000024</v>
      </c>
      <c r="J276">
        <f t="shared" ca="1" si="47"/>
        <v>71.619724391352889</v>
      </c>
    </row>
    <row r="277" spans="1:10" x14ac:dyDescent="0.25">
      <c r="A277">
        <f t="shared" si="50"/>
        <v>0.22166666666666668</v>
      </c>
      <c r="B277">
        <f t="shared" si="49"/>
        <v>1.4080090609991325</v>
      </c>
      <c r="C277">
        <f t="shared" si="48"/>
        <v>-0.30901699437494773</v>
      </c>
      <c r="D277">
        <f t="shared" si="51"/>
        <v>0.95105651629515353</v>
      </c>
      <c r="E277">
        <f t="shared" si="42"/>
        <v>-0.43509872808264438</v>
      </c>
      <c r="F277">
        <f t="shared" si="43"/>
        <v>1.3390961924658453</v>
      </c>
      <c r="G277">
        <f t="shared" ca="1" si="44"/>
        <v>142.35502807995348</v>
      </c>
      <c r="H277">
        <f t="shared" ca="1" si="45"/>
        <v>47.300791643490456</v>
      </c>
      <c r="I277">
        <f t="shared" ca="1" si="46"/>
        <v>150.00772950000024</v>
      </c>
      <c r="J277">
        <f t="shared" ca="1" si="47"/>
        <v>71.619724391352932</v>
      </c>
    </row>
    <row r="278" spans="1:10" x14ac:dyDescent="0.25">
      <c r="A278">
        <f t="shared" si="50"/>
        <v>0.2225</v>
      </c>
      <c r="B278">
        <f t="shared" si="49"/>
        <v>-64.215870185410012</v>
      </c>
      <c r="C278">
        <f t="shared" si="48"/>
        <v>-0.58778525229246326</v>
      </c>
      <c r="D278">
        <f t="shared" si="51"/>
        <v>0.80901699437495456</v>
      </c>
      <c r="E278">
        <f t="shared" si="42"/>
        <v>37.745141458111291</v>
      </c>
      <c r="F278">
        <f t="shared" si="43"/>
        <v>-51.951730288572662</v>
      </c>
      <c r="G278">
        <f t="shared" ca="1" si="44"/>
        <v>142.35502807995337</v>
      </c>
      <c r="H278">
        <f t="shared" ca="1" si="45"/>
        <v>47.300791643490527</v>
      </c>
      <c r="I278">
        <f t="shared" ca="1" si="46"/>
        <v>150.00772950000015</v>
      </c>
      <c r="J278">
        <f t="shared" ca="1" si="47"/>
        <v>71.619724391352889</v>
      </c>
    </row>
    <row r="279" spans="1:10" x14ac:dyDescent="0.25">
      <c r="A279">
        <f t="shared" si="50"/>
        <v>0.22333333333333336</v>
      </c>
      <c r="B279">
        <f t="shared" si="49"/>
        <v>-123.55385263980024</v>
      </c>
      <c r="C279">
        <f t="shared" si="48"/>
        <v>-0.80901699437494967</v>
      </c>
      <c r="D279">
        <f t="shared" si="51"/>
        <v>0.58778525229247003</v>
      </c>
      <c r="E279">
        <f t="shared" si="42"/>
        <v>99.957166506096627</v>
      </c>
      <c r="F279">
        <f t="shared" si="43"/>
        <v>-72.623132445591651</v>
      </c>
      <c r="G279">
        <f t="shared" ca="1" si="44"/>
        <v>142.35502807995348</v>
      </c>
      <c r="H279">
        <f t="shared" ca="1" si="45"/>
        <v>47.30079164349052</v>
      </c>
      <c r="I279">
        <f t="shared" ca="1" si="46"/>
        <v>150.00772950000027</v>
      </c>
      <c r="J279">
        <f t="shared" ca="1" si="47"/>
        <v>71.619724391352904</v>
      </c>
    </row>
    <row r="280" spans="1:10" x14ac:dyDescent="0.25">
      <c r="A280">
        <f t="shared" si="50"/>
        <v>0.22416666666666668</v>
      </c>
      <c r="B280">
        <f t="shared" si="49"/>
        <v>-170.79752314749157</v>
      </c>
      <c r="C280">
        <f t="shared" si="48"/>
        <v>-0.95105651629515087</v>
      </c>
      <c r="D280">
        <f t="shared" si="51"/>
        <v>0.30901699437495561</v>
      </c>
      <c r="E280">
        <f t="shared" si="42"/>
        <v>162.43809735649373</v>
      </c>
      <c r="F280">
        <f t="shared" si="43"/>
        <v>-52.779337249724755</v>
      </c>
      <c r="G280">
        <f t="shared" ca="1" si="44"/>
        <v>142.3550280799534</v>
      </c>
      <c r="H280">
        <f t="shared" ca="1" si="45"/>
        <v>47.300791643490456</v>
      </c>
      <c r="I280">
        <f t="shared" ca="1" si="46"/>
        <v>150.00772950000015</v>
      </c>
      <c r="J280">
        <f t="shared" ca="1" si="47"/>
        <v>71.619724391352918</v>
      </c>
    </row>
    <row r="281" spans="1:10" x14ac:dyDescent="0.25">
      <c r="A281">
        <f t="shared" si="50"/>
        <v>0.22500000000000001</v>
      </c>
      <c r="B281">
        <f t="shared" si="49"/>
        <v>-201.32234207319038</v>
      </c>
      <c r="C281">
        <f t="shared" si="48"/>
        <v>-1</v>
      </c>
      <c r="D281">
        <f t="shared" si="51"/>
        <v>6.860614507053775E-15</v>
      </c>
      <c r="E281">
        <f t="shared" si="42"/>
        <v>201.32234207319038</v>
      </c>
      <c r="F281">
        <f t="shared" si="43"/>
        <v>-1.3811949806213726E-12</v>
      </c>
      <c r="G281">
        <f t="shared" ca="1" si="44"/>
        <v>142.35502807995337</v>
      </c>
      <c r="H281">
        <f t="shared" ca="1" si="45"/>
        <v>47.300791643490349</v>
      </c>
      <c r="I281">
        <f t="shared" ca="1" si="46"/>
        <v>150.0077295000001</v>
      </c>
      <c r="J281">
        <f t="shared" ca="1" si="47"/>
        <v>71.61972439135296</v>
      </c>
    </row>
    <row r="282" spans="1:10" x14ac:dyDescent="0.25">
      <c r="A282">
        <f t="shared" si="50"/>
        <v>0.22583333333333336</v>
      </c>
      <c r="B282">
        <f t="shared" si="49"/>
        <v>-212.14032746152756</v>
      </c>
      <c r="C282">
        <f t="shared" si="48"/>
        <v>-0.9510565162951552</v>
      </c>
      <c r="D282">
        <f t="shared" si="51"/>
        <v>-0.30901699437494257</v>
      </c>
      <c r="E282">
        <f t="shared" ref="E282:E345" si="52">$B282*C282</f>
        <v>201.75744080127384</v>
      </c>
      <c r="F282">
        <f t="shared" ref="F282:F345" si="53">$B282*D282</f>
        <v>65.554966377877335</v>
      </c>
      <c r="G282">
        <f t="shared" ref="G282:G345" ca="1" si="54">IF((ROW($A282)-ROW($A$11))&lt;$B$2-1,"",(1.4142/$B$2)*SUM(OFFSET(E282,-$B$2+1,0,$B$2,1)))</f>
        <v>142.35502807995334</v>
      </c>
      <c r="H282">
        <f t="shared" ref="H282:H345" ca="1" si="55">IF((ROW($A282)-ROW($A$11))&lt;$B$2-1,"",(1.4142/$B$2)*SUM(OFFSET(F282,-$B$2+1,0,$B$2,1)))</f>
        <v>47.300791643490449</v>
      </c>
      <c r="I282">
        <f t="shared" ref="I282:I345" ca="1" si="56">IF(G282="","",SQRT(G282^2+H282^2))</f>
        <v>150.0077295000001</v>
      </c>
      <c r="J282">
        <f t="shared" ref="J282:J345" ca="1" si="57">IF(G282="","",ATAN2(H282,G282)*180/PI())</f>
        <v>71.619724391352918</v>
      </c>
    </row>
    <row r="283" spans="1:10" x14ac:dyDescent="0.25">
      <c r="A283">
        <f t="shared" si="50"/>
        <v>0.22666666666666668</v>
      </c>
      <c r="B283">
        <f t="shared" si="49"/>
        <v>-202.1925395293564</v>
      </c>
      <c r="C283">
        <f t="shared" ref="C283:C346" si="58">COS(($A283-$B$5)*$C$1)</f>
        <v>-0.80901699437494934</v>
      </c>
      <c r="D283">
        <f t="shared" si="51"/>
        <v>-0.58778525229247047</v>
      </c>
      <c r="E283">
        <f t="shared" si="52"/>
        <v>163.57720061507806</v>
      </c>
      <c r="F283">
        <f t="shared" si="53"/>
        <v>118.84579285891806</v>
      </c>
      <c r="G283">
        <f t="shared" ca="1" si="54"/>
        <v>142.3550280799534</v>
      </c>
      <c r="H283">
        <f t="shared" ca="1" si="55"/>
        <v>47.300791643490385</v>
      </c>
      <c r="I283">
        <f t="shared" ca="1" si="56"/>
        <v>150.00772950000012</v>
      </c>
      <c r="J283">
        <f t="shared" ca="1" si="57"/>
        <v>71.619724391352946</v>
      </c>
    </row>
    <row r="284" spans="1:10" x14ac:dyDescent="0.25">
      <c r="A284">
        <f t="shared" si="50"/>
        <v>0.22750000000000001</v>
      </c>
      <c r="B284">
        <f t="shared" si="49"/>
        <v>-172.45273706979185</v>
      </c>
      <c r="C284">
        <f t="shared" si="58"/>
        <v>-0.58778525229247436</v>
      </c>
      <c r="D284">
        <f t="shared" si="51"/>
        <v>-0.80901699437494645</v>
      </c>
      <c r="E284">
        <f t="shared" si="52"/>
        <v>101.36517556709535</v>
      </c>
      <c r="F284">
        <f t="shared" si="53"/>
        <v>139.51719501593593</v>
      </c>
      <c r="G284">
        <f t="shared" ca="1" si="54"/>
        <v>142.35502807995331</v>
      </c>
      <c r="H284">
        <f t="shared" ca="1" si="55"/>
        <v>47.300791643490392</v>
      </c>
      <c r="I284">
        <f t="shared" ca="1" si="56"/>
        <v>150.00772950000007</v>
      </c>
      <c r="J284">
        <f t="shared" ca="1" si="57"/>
        <v>71.619724391352932</v>
      </c>
    </row>
    <row r="285" spans="1:10" x14ac:dyDescent="0.25">
      <c r="A285">
        <f t="shared" si="50"/>
        <v>0.22833333333333336</v>
      </c>
      <c r="B285">
        <f t="shared" si="49"/>
        <v>-125.83205915696406</v>
      </c>
      <c r="C285">
        <f t="shared" si="58"/>
        <v>-0.30901699437494723</v>
      </c>
      <c r="D285">
        <f t="shared" si="51"/>
        <v>-0.95105651629515364</v>
      </c>
      <c r="E285">
        <f t="shared" si="52"/>
        <v>38.884244716695591</v>
      </c>
      <c r="F285">
        <f t="shared" si="53"/>
        <v>119.67339982006793</v>
      </c>
      <c r="G285">
        <f t="shared" ca="1" si="54"/>
        <v>142.35502807995326</v>
      </c>
      <c r="H285">
        <f t="shared" ca="1" si="55"/>
        <v>47.300791643490328</v>
      </c>
      <c r="I285">
        <f t="shared" ca="1" si="56"/>
        <v>150.00772949999998</v>
      </c>
      <c r="J285">
        <f t="shared" ca="1" si="57"/>
        <v>71.619724391352946</v>
      </c>
    </row>
    <row r="286" spans="1:10" x14ac:dyDescent="0.25">
      <c r="A286">
        <f t="shared" si="50"/>
        <v>0.22916666666666669</v>
      </c>
      <c r="B286">
        <f t="shared" si="49"/>
        <v>-66.894062570343877</v>
      </c>
      <c r="C286">
        <f t="shared" si="58"/>
        <v>1.9599122672020464E-15</v>
      </c>
      <c r="D286">
        <f t="shared" si="51"/>
        <v>-1</v>
      </c>
      <c r="E286">
        <f t="shared" si="52"/>
        <v>-1.3110649383459821E-13</v>
      </c>
      <c r="F286">
        <f t="shared" si="53"/>
        <v>66.894062570343877</v>
      </c>
      <c r="G286">
        <f t="shared" ca="1" si="54"/>
        <v>142.35502807995323</v>
      </c>
      <c r="H286">
        <f t="shared" ca="1" si="55"/>
        <v>47.300791643490228</v>
      </c>
      <c r="I286">
        <f t="shared" ca="1" si="56"/>
        <v>150.00772949999993</v>
      </c>
      <c r="J286">
        <f t="shared" ca="1" si="57"/>
        <v>71.619724391352975</v>
      </c>
    </row>
    <row r="287" spans="1:10" x14ac:dyDescent="0.25">
      <c r="A287">
        <f t="shared" si="50"/>
        <v>0.23</v>
      </c>
      <c r="B287">
        <f t="shared" si="49"/>
        <v>-1.4080090610014195</v>
      </c>
      <c r="C287">
        <f t="shared" si="58"/>
        <v>0.30901699437493746</v>
      </c>
      <c r="D287">
        <f t="shared" si="51"/>
        <v>-0.95105651629515686</v>
      </c>
      <c r="E287">
        <f t="shared" si="52"/>
        <v>-0.43509872808333666</v>
      </c>
      <c r="F287">
        <f t="shared" si="53"/>
        <v>1.3390961924680251</v>
      </c>
      <c r="G287">
        <f t="shared" ca="1" si="54"/>
        <v>142.35502807995317</v>
      </c>
      <c r="H287">
        <f t="shared" ca="1" si="55"/>
        <v>47.300791643490335</v>
      </c>
      <c r="I287">
        <f t="shared" ca="1" si="56"/>
        <v>150.0077294999999</v>
      </c>
      <c r="J287">
        <f t="shared" ca="1" si="57"/>
        <v>71.619724391352932</v>
      </c>
    </row>
    <row r="288" spans="1:10" x14ac:dyDescent="0.25">
      <c r="A288">
        <f t="shared" si="50"/>
        <v>0.23083333333333333</v>
      </c>
      <c r="B288">
        <f t="shared" si="49"/>
        <v>64.215870185410694</v>
      </c>
      <c r="C288">
        <f t="shared" si="58"/>
        <v>0.58778525229246603</v>
      </c>
      <c r="D288">
        <f t="shared" si="51"/>
        <v>-0.80901699437495256</v>
      </c>
      <c r="E288">
        <f t="shared" si="52"/>
        <v>37.745141458111874</v>
      </c>
      <c r="F288">
        <f t="shared" si="53"/>
        <v>-51.951730288573089</v>
      </c>
      <c r="G288">
        <f t="shared" ca="1" si="54"/>
        <v>142.35502807995309</v>
      </c>
      <c r="H288">
        <f t="shared" ca="1" si="55"/>
        <v>47.300791643490392</v>
      </c>
      <c r="I288">
        <f t="shared" ca="1" si="56"/>
        <v>150.00772949999984</v>
      </c>
      <c r="J288">
        <f t="shared" ca="1" si="57"/>
        <v>71.619724391352904</v>
      </c>
    </row>
    <row r="289" spans="1:10" x14ac:dyDescent="0.25">
      <c r="A289">
        <f t="shared" si="50"/>
        <v>0.23166666666666669</v>
      </c>
      <c r="B289">
        <f t="shared" si="49"/>
        <v>123.55385263979838</v>
      </c>
      <c r="C289">
        <f t="shared" si="58"/>
        <v>0.80901699437494334</v>
      </c>
      <c r="D289">
        <f t="shared" si="51"/>
        <v>-0.5877852522924788</v>
      </c>
      <c r="E289">
        <f t="shared" si="52"/>
        <v>99.957166506094339</v>
      </c>
      <c r="F289">
        <f t="shared" si="53"/>
        <v>-72.623132445591636</v>
      </c>
      <c r="G289">
        <f t="shared" ca="1" si="54"/>
        <v>142.35502807995297</v>
      </c>
      <c r="H289">
        <f t="shared" ca="1" si="55"/>
        <v>47.300791643490399</v>
      </c>
      <c r="I289">
        <f t="shared" ca="1" si="56"/>
        <v>150.00772949999973</v>
      </c>
      <c r="J289">
        <f t="shared" ca="1" si="57"/>
        <v>71.619724391352875</v>
      </c>
    </row>
    <row r="290" spans="1:10" x14ac:dyDescent="0.25">
      <c r="A290">
        <f t="shared" si="50"/>
        <v>0.23250000000000001</v>
      </c>
      <c r="B290">
        <f t="shared" si="49"/>
        <v>170.797523147492</v>
      </c>
      <c r="C290">
        <f t="shared" si="58"/>
        <v>0.95105651629515198</v>
      </c>
      <c r="D290">
        <f t="shared" si="51"/>
        <v>-0.30901699437495239</v>
      </c>
      <c r="E290">
        <f t="shared" si="52"/>
        <v>162.43809735649432</v>
      </c>
      <c r="F290">
        <f t="shared" si="53"/>
        <v>-52.779337249724335</v>
      </c>
      <c r="G290">
        <f t="shared" ca="1" si="54"/>
        <v>142.35502807995289</v>
      </c>
      <c r="H290">
        <f t="shared" ca="1" si="55"/>
        <v>47.300791643490335</v>
      </c>
      <c r="I290">
        <f t="shared" ca="1" si="56"/>
        <v>150.00772949999964</v>
      </c>
      <c r="J290">
        <f t="shared" ca="1" si="57"/>
        <v>71.619724391352889</v>
      </c>
    </row>
    <row r="291" spans="1:10" x14ac:dyDescent="0.25">
      <c r="A291">
        <f t="shared" si="50"/>
        <v>0.23333333333333334</v>
      </c>
      <c r="B291">
        <f t="shared" si="49"/>
        <v>201.32234207319061</v>
      </c>
      <c r="C291">
        <f t="shared" si="58"/>
        <v>1</v>
      </c>
      <c r="D291">
        <f t="shared" si="51"/>
        <v>-3.430415673744136E-15</v>
      </c>
      <c r="E291">
        <f t="shared" si="52"/>
        <v>201.32234207319061</v>
      </c>
      <c r="F291">
        <f t="shared" si="53"/>
        <v>-6.9061931772275159E-13</v>
      </c>
      <c r="G291">
        <f t="shared" ca="1" si="54"/>
        <v>142.35502807995292</v>
      </c>
      <c r="H291">
        <f t="shared" ca="1" si="55"/>
        <v>47.300791643490442</v>
      </c>
      <c r="I291">
        <f t="shared" ca="1" si="56"/>
        <v>150.0077294999997</v>
      </c>
      <c r="J291">
        <f t="shared" ca="1" si="57"/>
        <v>71.619724391352861</v>
      </c>
    </row>
    <row r="292" spans="1:10" x14ac:dyDescent="0.25">
      <c r="A292">
        <f t="shared" si="50"/>
        <v>0.23416666666666669</v>
      </c>
      <c r="B292">
        <f t="shared" si="49"/>
        <v>212.14032746152756</v>
      </c>
      <c r="C292">
        <f t="shared" si="58"/>
        <v>0.95105651629515409</v>
      </c>
      <c r="D292">
        <f t="shared" si="51"/>
        <v>0.30901699437494584</v>
      </c>
      <c r="E292">
        <f t="shared" si="52"/>
        <v>201.75744080127362</v>
      </c>
      <c r="F292">
        <f t="shared" si="53"/>
        <v>65.554966377878031</v>
      </c>
      <c r="G292">
        <f t="shared" ca="1" si="54"/>
        <v>142.35502807995294</v>
      </c>
      <c r="H292">
        <f t="shared" ca="1" si="55"/>
        <v>47.300791643490335</v>
      </c>
      <c r="I292">
        <f t="shared" ca="1" si="56"/>
        <v>150.0077294999997</v>
      </c>
      <c r="J292">
        <f t="shared" ca="1" si="57"/>
        <v>71.619724391352904</v>
      </c>
    </row>
    <row r="293" spans="1:10" x14ac:dyDescent="0.25">
      <c r="A293">
        <f t="shared" si="50"/>
        <v>0.23500000000000001</v>
      </c>
      <c r="B293">
        <f t="shared" ref="B293:B356" si="59">1.5*$B$6*SIN((A293*$C$1)+1.25)</f>
        <v>202.19253952935617</v>
      </c>
      <c r="C293">
        <f t="shared" si="58"/>
        <v>0.80901699437494734</v>
      </c>
      <c r="D293">
        <f t="shared" si="51"/>
        <v>0.58778525229247325</v>
      </c>
      <c r="E293">
        <f t="shared" si="52"/>
        <v>163.57720061507746</v>
      </c>
      <c r="F293">
        <f t="shared" si="53"/>
        <v>118.84579285891849</v>
      </c>
      <c r="G293">
        <f t="shared" ca="1" si="54"/>
        <v>142.35502807995286</v>
      </c>
      <c r="H293">
        <f t="shared" ca="1" si="55"/>
        <v>47.300791643490385</v>
      </c>
      <c r="I293">
        <f t="shared" ca="1" si="56"/>
        <v>150.00772949999961</v>
      </c>
      <c r="J293">
        <f t="shared" ca="1" si="57"/>
        <v>71.619724391352875</v>
      </c>
    </row>
    <row r="294" spans="1:10" x14ac:dyDescent="0.25">
      <c r="A294">
        <f t="shared" si="50"/>
        <v>0.23583333333333334</v>
      </c>
      <c r="B294">
        <f t="shared" si="59"/>
        <v>172.45273706979319</v>
      </c>
      <c r="C294">
        <f t="shared" si="58"/>
        <v>0.58778525229248313</v>
      </c>
      <c r="D294">
        <f t="shared" si="51"/>
        <v>0.80901699437494012</v>
      </c>
      <c r="E294">
        <f t="shared" si="52"/>
        <v>101.36517556709765</v>
      </c>
      <c r="F294">
        <f t="shared" si="53"/>
        <v>139.5171950159359</v>
      </c>
      <c r="G294">
        <f t="shared" ca="1" si="54"/>
        <v>142.35502807995297</v>
      </c>
      <c r="H294">
        <f t="shared" ca="1" si="55"/>
        <v>47.300791643490385</v>
      </c>
      <c r="I294">
        <f t="shared" ca="1" si="56"/>
        <v>150.00772949999973</v>
      </c>
      <c r="J294">
        <f t="shared" ca="1" si="57"/>
        <v>71.619724391352889</v>
      </c>
    </row>
    <row r="295" spans="1:10" x14ac:dyDescent="0.25">
      <c r="A295">
        <f t="shared" si="50"/>
        <v>0.23666666666666669</v>
      </c>
      <c r="B295">
        <f t="shared" si="59"/>
        <v>125.8320591569635</v>
      </c>
      <c r="C295">
        <f t="shared" si="58"/>
        <v>0.30901699437494395</v>
      </c>
      <c r="D295">
        <f t="shared" si="51"/>
        <v>0.95105651629515464</v>
      </c>
      <c r="E295">
        <f t="shared" si="52"/>
        <v>38.884244716695001</v>
      </c>
      <c r="F295">
        <f t="shared" si="53"/>
        <v>119.67339982006752</v>
      </c>
      <c r="G295">
        <f t="shared" ca="1" si="54"/>
        <v>142.35502807995289</v>
      </c>
      <c r="H295">
        <f t="shared" ca="1" si="55"/>
        <v>47.300791643490335</v>
      </c>
      <c r="I295">
        <f t="shared" ca="1" si="56"/>
        <v>150.00772949999964</v>
      </c>
      <c r="J295">
        <f t="shared" ca="1" si="57"/>
        <v>71.619724391352889</v>
      </c>
    </row>
    <row r="296" spans="1:10" x14ac:dyDescent="0.25">
      <c r="A296">
        <f t="shared" si="50"/>
        <v>0.23750000000000002</v>
      </c>
      <c r="B296">
        <f t="shared" si="59"/>
        <v>66.894062570346051</v>
      </c>
      <c r="C296">
        <f t="shared" si="58"/>
        <v>8.8207436146903184E-15</v>
      </c>
      <c r="D296">
        <f t="shared" si="51"/>
        <v>1</v>
      </c>
      <c r="E296">
        <f t="shared" si="52"/>
        <v>5.9005537527807452E-13</v>
      </c>
      <c r="F296">
        <f t="shared" si="53"/>
        <v>66.894062570346051</v>
      </c>
      <c r="G296">
        <f t="shared" ca="1" si="54"/>
        <v>142.35502807995294</v>
      </c>
      <c r="H296">
        <f t="shared" ca="1" si="55"/>
        <v>47.300791643490435</v>
      </c>
      <c r="I296">
        <f t="shared" ca="1" si="56"/>
        <v>150.00772949999973</v>
      </c>
      <c r="J296">
        <f t="shared" ca="1" si="57"/>
        <v>71.619724391352861</v>
      </c>
    </row>
    <row r="297" spans="1:10" x14ac:dyDescent="0.25">
      <c r="A297">
        <f t="shared" si="50"/>
        <v>0.23833333333333334</v>
      </c>
      <c r="B297">
        <f t="shared" si="59"/>
        <v>1.4080090610006919</v>
      </c>
      <c r="C297">
        <f t="shared" si="58"/>
        <v>-0.30901699437494073</v>
      </c>
      <c r="D297">
        <f t="shared" si="51"/>
        <v>0.95105651629515575</v>
      </c>
      <c r="E297">
        <f t="shared" si="52"/>
        <v>-0.43509872808311639</v>
      </c>
      <c r="F297">
        <f t="shared" si="53"/>
        <v>1.3390961924673315</v>
      </c>
      <c r="G297">
        <f t="shared" ca="1" si="54"/>
        <v>142.35502807995292</v>
      </c>
      <c r="H297">
        <f t="shared" ca="1" si="55"/>
        <v>47.300791643490534</v>
      </c>
      <c r="I297">
        <f t="shared" ca="1" si="56"/>
        <v>150.00772949999973</v>
      </c>
      <c r="J297">
        <f t="shared" ca="1" si="57"/>
        <v>71.619724391352833</v>
      </c>
    </row>
    <row r="298" spans="1:10" x14ac:dyDescent="0.25">
      <c r="A298">
        <f t="shared" si="50"/>
        <v>0.23916666666666669</v>
      </c>
      <c r="B298">
        <f t="shared" si="59"/>
        <v>-64.21587018541139</v>
      </c>
      <c r="C298">
        <f t="shared" si="58"/>
        <v>-0.58778525229246881</v>
      </c>
      <c r="D298">
        <f t="shared" si="51"/>
        <v>0.80901699437495056</v>
      </c>
      <c r="E298">
        <f t="shared" si="52"/>
        <v>37.745141458112457</v>
      </c>
      <c r="F298">
        <f t="shared" si="53"/>
        <v>-51.951730288573522</v>
      </c>
      <c r="G298">
        <f t="shared" ca="1" si="54"/>
        <v>142.35502807995297</v>
      </c>
      <c r="H298">
        <f t="shared" ca="1" si="55"/>
        <v>47.30079164349047</v>
      </c>
      <c r="I298">
        <f t="shared" ca="1" si="56"/>
        <v>150.00772949999975</v>
      </c>
      <c r="J298">
        <f t="shared" ca="1" si="57"/>
        <v>71.619724391352847</v>
      </c>
    </row>
    <row r="299" spans="1:10" x14ac:dyDescent="0.25">
      <c r="A299">
        <f t="shared" si="50"/>
        <v>0.24000000000000002</v>
      </c>
      <c r="B299">
        <f t="shared" si="59"/>
        <v>-123.55385263979898</v>
      </c>
      <c r="C299">
        <f t="shared" si="58"/>
        <v>-0.80901699437494534</v>
      </c>
      <c r="D299">
        <f t="shared" si="51"/>
        <v>0.58778525229247602</v>
      </c>
      <c r="E299">
        <f t="shared" si="52"/>
        <v>99.957166506095078</v>
      </c>
      <c r="F299">
        <f t="shared" si="53"/>
        <v>-72.623132445591651</v>
      </c>
      <c r="G299">
        <f t="shared" ca="1" si="54"/>
        <v>142.35502807995286</v>
      </c>
      <c r="H299">
        <f t="shared" ca="1" si="55"/>
        <v>47.30079164349047</v>
      </c>
      <c r="I299">
        <f t="shared" ca="1" si="56"/>
        <v>150.00772949999964</v>
      </c>
      <c r="J299">
        <f t="shared" ca="1" si="57"/>
        <v>71.619724391352847</v>
      </c>
    </row>
    <row r="300" spans="1:10" x14ac:dyDescent="0.25">
      <c r="A300">
        <f t="shared" si="50"/>
        <v>0.24083333333333334</v>
      </c>
      <c r="B300">
        <f t="shared" si="59"/>
        <v>-170.79752314749243</v>
      </c>
      <c r="C300">
        <f t="shared" si="58"/>
        <v>-0.95105651629515298</v>
      </c>
      <c r="D300">
        <f t="shared" si="51"/>
        <v>0.30901699437494912</v>
      </c>
      <c r="E300">
        <f t="shared" si="52"/>
        <v>162.43809735649489</v>
      </c>
      <c r="F300">
        <f t="shared" si="53"/>
        <v>-52.779337249723909</v>
      </c>
      <c r="G300">
        <f t="shared" ca="1" si="54"/>
        <v>142.35502807995297</v>
      </c>
      <c r="H300">
        <f t="shared" ca="1" si="55"/>
        <v>47.300791643490527</v>
      </c>
      <c r="I300">
        <f t="shared" ca="1" si="56"/>
        <v>150.00772949999978</v>
      </c>
      <c r="J300">
        <f t="shared" ca="1" si="57"/>
        <v>71.619724391352847</v>
      </c>
    </row>
    <row r="301" spans="1:10" x14ac:dyDescent="0.25">
      <c r="A301">
        <f t="shared" si="50"/>
        <v>0.24166666666666667</v>
      </c>
      <c r="B301">
        <f t="shared" si="59"/>
        <v>-201.3223420731899</v>
      </c>
      <c r="C301">
        <f t="shared" si="58"/>
        <v>-1</v>
      </c>
      <c r="D301">
        <f t="shared" si="51"/>
        <v>1.4211071555636501E-14</v>
      </c>
      <c r="E301">
        <f t="shared" si="52"/>
        <v>201.3223420731899</v>
      </c>
      <c r="F301">
        <f t="shared" si="53"/>
        <v>-2.8610062089504306E-12</v>
      </c>
      <c r="G301">
        <f t="shared" ca="1" si="54"/>
        <v>142.35502807995292</v>
      </c>
      <c r="H301">
        <f t="shared" ca="1" si="55"/>
        <v>47.30079164349042</v>
      </c>
      <c r="I301">
        <f t="shared" ca="1" si="56"/>
        <v>150.0077294999997</v>
      </c>
      <c r="J301">
        <f t="shared" ca="1" si="57"/>
        <v>71.619724391352861</v>
      </c>
    </row>
    <row r="302" spans="1:10" x14ac:dyDescent="0.25">
      <c r="A302">
        <f t="shared" si="50"/>
        <v>0.24250000000000002</v>
      </c>
      <c r="B302">
        <f t="shared" si="59"/>
        <v>-212.14032746152756</v>
      </c>
      <c r="C302">
        <f t="shared" si="58"/>
        <v>-0.95105651629515298</v>
      </c>
      <c r="D302">
        <f t="shared" si="51"/>
        <v>-0.30901699437494912</v>
      </c>
      <c r="E302">
        <f t="shared" si="52"/>
        <v>201.75744080127339</v>
      </c>
      <c r="F302">
        <f t="shared" si="53"/>
        <v>65.554966377878728</v>
      </c>
      <c r="G302">
        <f t="shared" ca="1" si="54"/>
        <v>142.35502807995289</v>
      </c>
      <c r="H302">
        <f t="shared" ca="1" si="55"/>
        <v>47.300791643490527</v>
      </c>
      <c r="I302">
        <f t="shared" ca="1" si="56"/>
        <v>150.0077294999997</v>
      </c>
      <c r="J302">
        <f t="shared" ca="1" si="57"/>
        <v>71.619724391352833</v>
      </c>
    </row>
    <row r="303" spans="1:10" x14ac:dyDescent="0.25">
      <c r="A303">
        <f t="shared" si="50"/>
        <v>0.24333333333333335</v>
      </c>
      <c r="B303">
        <f t="shared" si="59"/>
        <v>-202.19253952935688</v>
      </c>
      <c r="C303">
        <f t="shared" si="58"/>
        <v>-0.80901699437495367</v>
      </c>
      <c r="D303">
        <f t="shared" si="51"/>
        <v>-0.58778525229246448</v>
      </c>
      <c r="E303">
        <f t="shared" si="52"/>
        <v>163.57720061507931</v>
      </c>
      <c r="F303">
        <f t="shared" si="53"/>
        <v>118.84579285891714</v>
      </c>
      <c r="G303">
        <f t="shared" ca="1" si="54"/>
        <v>142.35502807995297</v>
      </c>
      <c r="H303">
        <f t="shared" ca="1" si="55"/>
        <v>47.300791643490463</v>
      </c>
      <c r="I303">
        <f t="shared" ca="1" si="56"/>
        <v>150.00772949999975</v>
      </c>
      <c r="J303">
        <f t="shared" ca="1" si="57"/>
        <v>71.619724391352861</v>
      </c>
    </row>
    <row r="304" spans="1:10" x14ac:dyDescent="0.25">
      <c r="A304">
        <f t="shared" si="50"/>
        <v>0.24416666666666667</v>
      </c>
      <c r="B304">
        <f t="shared" si="59"/>
        <v>-172.45273706979276</v>
      </c>
      <c r="C304">
        <f t="shared" si="58"/>
        <v>-0.58778525229248035</v>
      </c>
      <c r="D304">
        <f t="shared" si="51"/>
        <v>-0.80901699437494223</v>
      </c>
      <c r="E304">
        <f t="shared" si="52"/>
        <v>101.36517556709691</v>
      </c>
      <c r="F304">
        <f t="shared" si="53"/>
        <v>139.51719501593593</v>
      </c>
      <c r="G304">
        <f t="shared" ca="1" si="54"/>
        <v>142.35502807995309</v>
      </c>
      <c r="H304">
        <f t="shared" ca="1" si="55"/>
        <v>47.300791643490463</v>
      </c>
      <c r="I304">
        <f t="shared" ca="1" si="56"/>
        <v>150.00772949999987</v>
      </c>
      <c r="J304">
        <f t="shared" ca="1" si="57"/>
        <v>71.619724391352875</v>
      </c>
    </row>
    <row r="305" spans="1:10" x14ac:dyDescent="0.25">
      <c r="A305">
        <f t="shared" si="50"/>
        <v>0.24500000000000002</v>
      </c>
      <c r="B305">
        <f t="shared" si="59"/>
        <v>-125.83205915696533</v>
      </c>
      <c r="C305">
        <f t="shared" si="58"/>
        <v>-0.30901699437495422</v>
      </c>
      <c r="D305">
        <f t="shared" si="51"/>
        <v>-0.95105651629515131</v>
      </c>
      <c r="E305">
        <f t="shared" si="52"/>
        <v>38.884244716696863</v>
      </c>
      <c r="F305">
        <f t="shared" si="53"/>
        <v>119.67339982006884</v>
      </c>
      <c r="G305">
        <f t="shared" ca="1" si="54"/>
        <v>142.35502807995317</v>
      </c>
      <c r="H305">
        <f t="shared" ca="1" si="55"/>
        <v>47.300791643490527</v>
      </c>
      <c r="I305">
        <f t="shared" ca="1" si="56"/>
        <v>150.00772949999998</v>
      </c>
      <c r="J305">
        <f t="shared" ca="1" si="57"/>
        <v>71.619724391352861</v>
      </c>
    </row>
    <row r="306" spans="1:10" x14ac:dyDescent="0.25">
      <c r="A306">
        <f t="shared" si="50"/>
        <v>0.24583333333333335</v>
      </c>
      <c r="B306">
        <f t="shared" si="59"/>
        <v>-66.894062570345355</v>
      </c>
      <c r="C306">
        <f t="shared" si="58"/>
        <v>-5.3905447813806795E-15</v>
      </c>
      <c r="D306">
        <f t="shared" si="51"/>
        <v>-1</v>
      </c>
      <c r="E306">
        <f t="shared" si="52"/>
        <v>3.6059543989392778E-13</v>
      </c>
      <c r="F306">
        <f t="shared" si="53"/>
        <v>66.894062570345355</v>
      </c>
      <c r="G306">
        <f t="shared" ca="1" si="54"/>
        <v>142.35502807995323</v>
      </c>
      <c r="H306">
        <f t="shared" ca="1" si="55"/>
        <v>47.300791643490633</v>
      </c>
      <c r="I306">
        <f t="shared" ca="1" si="56"/>
        <v>150.00772950000007</v>
      </c>
      <c r="J306">
        <f t="shared" ca="1" si="57"/>
        <v>71.619724391352833</v>
      </c>
    </row>
    <row r="307" spans="1:10" x14ac:dyDescent="0.25">
      <c r="A307">
        <f t="shared" si="50"/>
        <v>0.24666666666666667</v>
      </c>
      <c r="B307">
        <f t="shared" si="59"/>
        <v>-1.408009060999964</v>
      </c>
      <c r="C307">
        <f t="shared" si="58"/>
        <v>0.30901699437494395</v>
      </c>
      <c r="D307">
        <f t="shared" si="51"/>
        <v>-0.95105651629515464</v>
      </c>
      <c r="E307">
        <f t="shared" si="52"/>
        <v>-0.43509872808289601</v>
      </c>
      <c r="F307">
        <f t="shared" si="53"/>
        <v>1.3390961924666376</v>
      </c>
      <c r="G307">
        <f t="shared" ca="1" si="54"/>
        <v>142.35502807995326</v>
      </c>
      <c r="H307">
        <f t="shared" ca="1" si="55"/>
        <v>47.300791643490534</v>
      </c>
      <c r="I307">
        <f t="shared" ca="1" si="56"/>
        <v>150.00772950000004</v>
      </c>
      <c r="J307">
        <f t="shared" ca="1" si="57"/>
        <v>71.619724391352861</v>
      </c>
    </row>
    <row r="308" spans="1:10" x14ac:dyDescent="0.25">
      <c r="A308">
        <f t="shared" si="50"/>
        <v>0.24750000000000003</v>
      </c>
      <c r="B308">
        <f t="shared" si="59"/>
        <v>64.215870185412086</v>
      </c>
      <c r="C308">
        <f t="shared" si="58"/>
        <v>0.58778525229247158</v>
      </c>
      <c r="D308">
        <f t="shared" si="51"/>
        <v>-0.80901699437494856</v>
      </c>
      <c r="E308">
        <f t="shared" si="52"/>
        <v>37.745141458113046</v>
      </c>
      <c r="F308">
        <f t="shared" si="53"/>
        <v>-51.951730288573955</v>
      </c>
      <c r="G308">
        <f t="shared" ca="1" si="54"/>
        <v>142.35502807995334</v>
      </c>
      <c r="H308">
        <f t="shared" ca="1" si="55"/>
        <v>47.300791643490477</v>
      </c>
      <c r="I308">
        <f t="shared" ca="1" si="56"/>
        <v>150.00772950000012</v>
      </c>
      <c r="J308">
        <f t="shared" ca="1" si="57"/>
        <v>71.619724391352904</v>
      </c>
    </row>
    <row r="309" spans="1:10" x14ac:dyDescent="0.25">
      <c r="A309">
        <f t="shared" si="50"/>
        <v>0.24833333333333335</v>
      </c>
      <c r="B309">
        <f t="shared" si="59"/>
        <v>123.55385263979959</v>
      </c>
      <c r="C309">
        <f t="shared" si="58"/>
        <v>0.80901699437494734</v>
      </c>
      <c r="D309">
        <f t="shared" si="51"/>
        <v>-0.58778525229247325</v>
      </c>
      <c r="E309">
        <f t="shared" si="52"/>
        <v>99.957166506095817</v>
      </c>
      <c r="F309">
        <f t="shared" si="53"/>
        <v>-72.623132445591665</v>
      </c>
      <c r="G309">
        <f t="shared" ca="1" si="54"/>
        <v>142.35502807995343</v>
      </c>
      <c r="H309">
        <f t="shared" ca="1" si="55"/>
        <v>47.300791643490477</v>
      </c>
      <c r="I309">
        <f t="shared" ca="1" si="56"/>
        <v>150.00772950000021</v>
      </c>
      <c r="J309">
        <f t="shared" ca="1" si="57"/>
        <v>71.619724391352918</v>
      </c>
    </row>
    <row r="310" spans="1:10" x14ac:dyDescent="0.25">
      <c r="A310">
        <f t="shared" si="50"/>
        <v>0.24916666666666668</v>
      </c>
      <c r="B310">
        <f t="shared" si="59"/>
        <v>170.79752314749106</v>
      </c>
      <c r="C310">
        <f t="shared" si="58"/>
        <v>0.95105651629514965</v>
      </c>
      <c r="D310">
        <f t="shared" si="51"/>
        <v>-0.30901699437495933</v>
      </c>
      <c r="E310">
        <f t="shared" si="52"/>
        <v>162.43809735649305</v>
      </c>
      <c r="F310">
        <f t="shared" si="53"/>
        <v>-52.779337249725231</v>
      </c>
      <c r="G310">
        <f t="shared" ca="1" si="54"/>
        <v>142.35502807995334</v>
      </c>
      <c r="H310">
        <f t="shared" ca="1" si="55"/>
        <v>47.300791643490413</v>
      </c>
      <c r="I310">
        <f t="shared" ca="1" si="56"/>
        <v>150.0077295000001</v>
      </c>
      <c r="J310">
        <f t="shared" ca="1" si="57"/>
        <v>71.619724391352932</v>
      </c>
    </row>
    <row r="311" spans="1:10" x14ac:dyDescent="0.25">
      <c r="A311">
        <f t="shared" si="50"/>
        <v>0.25</v>
      </c>
      <c r="B311">
        <f t="shared" si="59"/>
        <v>201.32234207319013</v>
      </c>
      <c r="C311">
        <f t="shared" si="58"/>
        <v>1</v>
      </c>
      <c r="D311">
        <f t="shared" si="51"/>
        <v>-1.0780872722326862E-14</v>
      </c>
      <c r="E311">
        <f t="shared" si="52"/>
        <v>201.32234207319013</v>
      </c>
      <c r="F311">
        <f t="shared" si="53"/>
        <v>-2.1704305460518128E-12</v>
      </c>
      <c r="G311">
        <f t="shared" ca="1" si="54"/>
        <v>142.35502807995331</v>
      </c>
      <c r="H311">
        <f t="shared" ca="1" si="55"/>
        <v>47.300791643490314</v>
      </c>
      <c r="I311">
        <f t="shared" ca="1" si="56"/>
        <v>150.00772950000004</v>
      </c>
      <c r="J311">
        <f t="shared" ca="1" si="57"/>
        <v>71.61972439135296</v>
      </c>
    </row>
    <row r="312" spans="1:10" x14ac:dyDescent="0.25">
      <c r="A312">
        <f t="shared" si="50"/>
        <v>0.25083333333333335</v>
      </c>
      <c r="B312">
        <f t="shared" si="59"/>
        <v>212.14032746152753</v>
      </c>
      <c r="C312">
        <f t="shared" si="58"/>
        <v>0.95105651629515631</v>
      </c>
      <c r="D312">
        <f t="shared" si="51"/>
        <v>0.30901699437493885</v>
      </c>
      <c r="E312">
        <f t="shared" si="52"/>
        <v>201.75744080127404</v>
      </c>
      <c r="F312">
        <f t="shared" si="53"/>
        <v>65.554966377876539</v>
      </c>
      <c r="G312">
        <f t="shared" ca="1" si="54"/>
        <v>142.35502807995334</v>
      </c>
      <c r="H312">
        <f t="shared" ca="1" si="55"/>
        <v>47.300791643490207</v>
      </c>
      <c r="I312">
        <f t="shared" ca="1" si="56"/>
        <v>150.00772950000001</v>
      </c>
      <c r="J312">
        <f t="shared" ca="1" si="57"/>
        <v>71.619724391352989</v>
      </c>
    </row>
    <row r="313" spans="1:10" x14ac:dyDescent="0.25">
      <c r="A313">
        <f t="shared" si="50"/>
        <v>0.25166666666666671</v>
      </c>
      <c r="B313">
        <f t="shared" si="59"/>
        <v>202.19253952935574</v>
      </c>
      <c r="C313">
        <f t="shared" si="58"/>
        <v>0.80901699437494334</v>
      </c>
      <c r="D313">
        <f t="shared" si="51"/>
        <v>0.5877852522924788</v>
      </c>
      <c r="E313">
        <f t="shared" si="52"/>
        <v>163.57720061507629</v>
      </c>
      <c r="F313">
        <f t="shared" si="53"/>
        <v>118.84579285891935</v>
      </c>
      <c r="G313">
        <f t="shared" ca="1" si="54"/>
        <v>142.35502807995326</v>
      </c>
      <c r="H313">
        <f t="shared" ca="1" si="55"/>
        <v>47.300791643490271</v>
      </c>
      <c r="I313">
        <f t="shared" ca="1" si="56"/>
        <v>150.00772949999995</v>
      </c>
      <c r="J313">
        <f t="shared" ca="1" si="57"/>
        <v>71.61972439135296</v>
      </c>
    </row>
    <row r="314" spans="1:10" x14ac:dyDescent="0.25">
      <c r="A314">
        <f t="shared" si="50"/>
        <v>0.2525</v>
      </c>
      <c r="B314">
        <f t="shared" si="59"/>
        <v>172.45273706979233</v>
      </c>
      <c r="C314">
        <f t="shared" si="58"/>
        <v>0.58778525229247758</v>
      </c>
      <c r="D314">
        <f t="shared" si="51"/>
        <v>0.80901699437494423</v>
      </c>
      <c r="E314">
        <f t="shared" si="52"/>
        <v>101.36517556709619</v>
      </c>
      <c r="F314">
        <f t="shared" si="53"/>
        <v>139.51719501593593</v>
      </c>
      <c r="G314">
        <f t="shared" ca="1" si="54"/>
        <v>142.35502807995314</v>
      </c>
      <c r="H314">
        <f t="shared" ca="1" si="55"/>
        <v>47.300791643490271</v>
      </c>
      <c r="I314">
        <f t="shared" ca="1" si="56"/>
        <v>150.00772949999984</v>
      </c>
      <c r="J314">
        <f t="shared" ca="1" si="57"/>
        <v>71.61972439135296</v>
      </c>
    </row>
    <row r="315" spans="1:10" x14ac:dyDescent="0.25">
      <c r="A315">
        <f t="shared" si="50"/>
        <v>0.25333333333333335</v>
      </c>
      <c r="B315">
        <f t="shared" si="59"/>
        <v>125.83205915696475</v>
      </c>
      <c r="C315">
        <f t="shared" si="58"/>
        <v>0.30901699437495095</v>
      </c>
      <c r="D315">
        <f t="shared" si="51"/>
        <v>0.95105651629515242</v>
      </c>
      <c r="E315">
        <f t="shared" si="52"/>
        <v>38.884244716696273</v>
      </c>
      <c r="F315">
        <f t="shared" si="53"/>
        <v>119.67339982006843</v>
      </c>
      <c r="G315">
        <f t="shared" ca="1" si="54"/>
        <v>142.35502807995323</v>
      </c>
      <c r="H315">
        <f t="shared" ca="1" si="55"/>
        <v>47.300791643490328</v>
      </c>
      <c r="I315">
        <f t="shared" ca="1" si="56"/>
        <v>150.00772949999995</v>
      </c>
      <c r="J315">
        <f t="shared" ca="1" si="57"/>
        <v>71.619724391352946</v>
      </c>
    </row>
    <row r="316" spans="1:10" x14ac:dyDescent="0.25">
      <c r="A316">
        <f t="shared" si="50"/>
        <v>0.25416666666666671</v>
      </c>
      <c r="B316">
        <f t="shared" si="59"/>
        <v>66.894062570344659</v>
      </c>
      <c r="C316">
        <f t="shared" si="58"/>
        <v>1.9603459480710406E-15</v>
      </c>
      <c r="D316">
        <f t="shared" si="51"/>
        <v>1</v>
      </c>
      <c r="E316">
        <f t="shared" si="52"/>
        <v>1.3113550450978581E-13</v>
      </c>
      <c r="F316">
        <f t="shared" si="53"/>
        <v>66.894062570344659</v>
      </c>
      <c r="G316">
        <f t="shared" ca="1" si="54"/>
        <v>142.3550280799532</v>
      </c>
      <c r="H316">
        <f t="shared" ca="1" si="55"/>
        <v>47.300791643490228</v>
      </c>
      <c r="I316">
        <f t="shared" ca="1" si="56"/>
        <v>150.0077294999999</v>
      </c>
      <c r="J316">
        <f t="shared" ca="1" si="57"/>
        <v>71.619724391352975</v>
      </c>
    </row>
    <row r="317" spans="1:10" x14ac:dyDescent="0.25">
      <c r="A317">
        <f t="shared" si="50"/>
        <v>0.255</v>
      </c>
      <c r="B317">
        <f t="shared" si="59"/>
        <v>1.4080090610022511</v>
      </c>
      <c r="C317">
        <f t="shared" si="58"/>
        <v>-0.30901699437493374</v>
      </c>
      <c r="D317">
        <f t="shared" si="51"/>
        <v>0.95105651629515797</v>
      </c>
      <c r="E317">
        <f t="shared" si="52"/>
        <v>-0.43509872808358835</v>
      </c>
      <c r="F317">
        <f t="shared" si="53"/>
        <v>1.3390961924688174</v>
      </c>
      <c r="G317">
        <f t="shared" ca="1" si="54"/>
        <v>142.35502807995317</v>
      </c>
      <c r="H317">
        <f t="shared" ca="1" si="55"/>
        <v>47.300791643490335</v>
      </c>
      <c r="I317">
        <f t="shared" ca="1" si="56"/>
        <v>150.0077294999999</v>
      </c>
      <c r="J317">
        <f t="shared" ca="1" si="57"/>
        <v>71.619724391352932</v>
      </c>
    </row>
    <row r="318" spans="1:10" x14ac:dyDescent="0.25">
      <c r="A318">
        <f t="shared" si="50"/>
        <v>0.25583333333333336</v>
      </c>
      <c r="B318">
        <f t="shared" si="59"/>
        <v>-64.215870185412783</v>
      </c>
      <c r="C318">
        <f t="shared" si="58"/>
        <v>-0.58778525229247436</v>
      </c>
      <c r="D318">
        <f t="shared" si="51"/>
        <v>0.80901699437494645</v>
      </c>
      <c r="E318">
        <f t="shared" si="52"/>
        <v>37.745141458113636</v>
      </c>
      <c r="F318">
        <f t="shared" si="53"/>
        <v>-51.951730288574382</v>
      </c>
      <c r="G318">
        <f t="shared" ca="1" si="54"/>
        <v>142.35502807995326</v>
      </c>
      <c r="H318">
        <f t="shared" ca="1" si="55"/>
        <v>47.300791643490278</v>
      </c>
      <c r="I318">
        <f t="shared" ca="1" si="56"/>
        <v>150.00772949999995</v>
      </c>
      <c r="J318">
        <f t="shared" ca="1" si="57"/>
        <v>71.61972439135296</v>
      </c>
    </row>
    <row r="319" spans="1:10" x14ac:dyDescent="0.25">
      <c r="A319">
        <f t="shared" si="50"/>
        <v>0.25666666666666671</v>
      </c>
      <c r="B319">
        <f t="shared" si="59"/>
        <v>-123.55385263980017</v>
      </c>
      <c r="C319">
        <f t="shared" si="58"/>
        <v>-0.80901699437494934</v>
      </c>
      <c r="D319">
        <f t="shared" si="51"/>
        <v>0.58778525229247047</v>
      </c>
      <c r="E319">
        <f t="shared" si="52"/>
        <v>99.957166506096527</v>
      </c>
      <c r="F319">
        <f t="shared" si="53"/>
        <v>-72.623132445591665</v>
      </c>
      <c r="G319">
        <f t="shared" ca="1" si="54"/>
        <v>142.35502807995337</v>
      </c>
      <c r="H319">
        <f t="shared" ca="1" si="55"/>
        <v>47.300791643490278</v>
      </c>
      <c r="I319">
        <f t="shared" ca="1" si="56"/>
        <v>150.00772950000007</v>
      </c>
      <c r="J319">
        <f t="shared" ca="1" si="57"/>
        <v>71.619724391352975</v>
      </c>
    </row>
    <row r="320" spans="1:10" x14ac:dyDescent="0.25">
      <c r="A320">
        <f t="shared" si="50"/>
        <v>0.25750000000000001</v>
      </c>
      <c r="B320">
        <f t="shared" si="59"/>
        <v>-170.79752314749149</v>
      </c>
      <c r="C320">
        <f t="shared" si="58"/>
        <v>-0.95105651629515076</v>
      </c>
      <c r="D320">
        <f t="shared" si="51"/>
        <v>0.30901699437495611</v>
      </c>
      <c r="E320">
        <f t="shared" si="52"/>
        <v>162.43809735649361</v>
      </c>
      <c r="F320">
        <f t="shared" si="53"/>
        <v>-52.779337249724811</v>
      </c>
      <c r="G320">
        <f t="shared" ca="1" si="54"/>
        <v>142.35502807995326</v>
      </c>
      <c r="H320">
        <f t="shared" ca="1" si="55"/>
        <v>47.300791643490214</v>
      </c>
      <c r="I320">
        <f t="shared" ca="1" si="56"/>
        <v>150.00772949999995</v>
      </c>
      <c r="J320">
        <f t="shared" ca="1" si="57"/>
        <v>71.619724391352975</v>
      </c>
    </row>
    <row r="321" spans="1:10" x14ac:dyDescent="0.25">
      <c r="A321">
        <f t="shared" si="50"/>
        <v>0.25833333333333336</v>
      </c>
      <c r="B321">
        <f t="shared" si="59"/>
        <v>-201.32234207319036</v>
      </c>
      <c r="C321">
        <f t="shared" si="58"/>
        <v>-1</v>
      </c>
      <c r="D321">
        <f t="shared" si="51"/>
        <v>7.350673889017223E-15</v>
      </c>
      <c r="E321">
        <f t="shared" si="52"/>
        <v>201.32234207319036</v>
      </c>
      <c r="F321">
        <f t="shared" si="53"/>
        <v>-1.4798548831531937E-12</v>
      </c>
      <c r="G321">
        <f t="shared" ca="1" si="54"/>
        <v>142.35502807995331</v>
      </c>
      <c r="H321">
        <f t="shared" ca="1" si="55"/>
        <v>47.300791643490314</v>
      </c>
      <c r="I321">
        <f t="shared" ca="1" si="56"/>
        <v>150.00772950000004</v>
      </c>
      <c r="J321">
        <f t="shared" ca="1" si="57"/>
        <v>71.61972439135296</v>
      </c>
    </row>
    <row r="322" spans="1:10" x14ac:dyDescent="0.25">
      <c r="A322">
        <f t="shared" si="50"/>
        <v>0.25916666666666666</v>
      </c>
      <c r="B322">
        <f t="shared" si="59"/>
        <v>-212.14032746152753</v>
      </c>
      <c r="C322">
        <f t="shared" si="58"/>
        <v>-0.95105651629515964</v>
      </c>
      <c r="D322">
        <f t="shared" si="51"/>
        <v>-0.30901699437492858</v>
      </c>
      <c r="E322">
        <f t="shared" si="52"/>
        <v>201.75744080127475</v>
      </c>
      <c r="F322">
        <f t="shared" si="53"/>
        <v>65.554966377874365</v>
      </c>
      <c r="G322">
        <f t="shared" ca="1" si="54"/>
        <v>142.3550280799534</v>
      </c>
      <c r="H322">
        <f t="shared" ca="1" si="55"/>
        <v>47.300791643490008</v>
      </c>
      <c r="I322">
        <f t="shared" ca="1" si="56"/>
        <v>150.00772950000001</v>
      </c>
      <c r="J322">
        <f t="shared" ca="1" si="57"/>
        <v>71.619724391353088</v>
      </c>
    </row>
    <row r="323" spans="1:10" x14ac:dyDescent="0.25">
      <c r="A323">
        <f t="shared" si="50"/>
        <v>0.26</v>
      </c>
      <c r="B323">
        <f t="shared" si="59"/>
        <v>-202.19253952935642</v>
      </c>
      <c r="C323">
        <f t="shared" si="58"/>
        <v>-0.80901699437494967</v>
      </c>
      <c r="D323">
        <f t="shared" si="51"/>
        <v>-0.58778525229247003</v>
      </c>
      <c r="E323">
        <f t="shared" si="52"/>
        <v>163.57720061507814</v>
      </c>
      <c r="F323">
        <f t="shared" si="53"/>
        <v>118.84579285891799</v>
      </c>
      <c r="G323">
        <f t="shared" ca="1" si="54"/>
        <v>142.35502807995334</v>
      </c>
      <c r="H323">
        <f t="shared" ca="1" si="55"/>
        <v>47.300791643490072</v>
      </c>
      <c r="I323">
        <f t="shared" ca="1" si="56"/>
        <v>150.00772949999998</v>
      </c>
      <c r="J323">
        <f t="shared" ca="1" si="57"/>
        <v>71.619724391353046</v>
      </c>
    </row>
    <row r="324" spans="1:10" x14ac:dyDescent="0.25">
      <c r="A324">
        <f t="shared" si="50"/>
        <v>0.26083333333333336</v>
      </c>
      <c r="B324">
        <f t="shared" si="59"/>
        <v>-172.45273706979191</v>
      </c>
      <c r="C324">
        <f t="shared" si="58"/>
        <v>-0.5877852522924748</v>
      </c>
      <c r="D324">
        <f t="shared" si="51"/>
        <v>-0.80901699437494623</v>
      </c>
      <c r="E324">
        <f t="shared" si="52"/>
        <v>101.36517556709546</v>
      </c>
      <c r="F324">
        <f t="shared" si="53"/>
        <v>139.51719501593593</v>
      </c>
      <c r="G324">
        <f t="shared" ca="1" si="54"/>
        <v>142.35502807995326</v>
      </c>
      <c r="H324">
        <f t="shared" ca="1" si="55"/>
        <v>47.300791643490072</v>
      </c>
      <c r="I324">
        <f t="shared" ca="1" si="56"/>
        <v>150.0077294999999</v>
      </c>
      <c r="J324">
        <f t="shared" ca="1" si="57"/>
        <v>71.619724391353046</v>
      </c>
    </row>
    <row r="325" spans="1:10" x14ac:dyDescent="0.25">
      <c r="A325">
        <f t="shared" si="50"/>
        <v>0.26166666666666666</v>
      </c>
      <c r="B325">
        <f t="shared" si="59"/>
        <v>-125.83205915696658</v>
      </c>
      <c r="C325">
        <f t="shared" si="58"/>
        <v>-0.30901699437496122</v>
      </c>
      <c r="D325">
        <f t="shared" si="51"/>
        <v>-0.95105651629514909</v>
      </c>
      <c r="E325">
        <f t="shared" si="52"/>
        <v>38.884244716698127</v>
      </c>
      <c r="F325">
        <f t="shared" si="53"/>
        <v>119.67339982006975</v>
      </c>
      <c r="G325">
        <f t="shared" ca="1" si="54"/>
        <v>142.35502807995331</v>
      </c>
      <c r="H325">
        <f t="shared" ca="1" si="55"/>
        <v>47.300791643490129</v>
      </c>
      <c r="I325">
        <f t="shared" ca="1" si="56"/>
        <v>150.00772949999998</v>
      </c>
      <c r="J325">
        <f t="shared" ca="1" si="57"/>
        <v>71.619724391353017</v>
      </c>
    </row>
    <row r="326" spans="1:10" x14ac:dyDescent="0.25">
      <c r="A326">
        <f t="shared" si="50"/>
        <v>0.26250000000000001</v>
      </c>
      <c r="B326">
        <f t="shared" si="59"/>
        <v>-66.894062570346847</v>
      </c>
      <c r="C326">
        <f t="shared" si="58"/>
        <v>-1.2741001829963405E-14</v>
      </c>
      <c r="D326">
        <f t="shared" si="51"/>
        <v>-1</v>
      </c>
      <c r="E326">
        <f t="shared" si="52"/>
        <v>8.522973736224757E-13</v>
      </c>
      <c r="F326">
        <f t="shared" si="53"/>
        <v>66.894062570346847</v>
      </c>
      <c r="G326">
        <f t="shared" ca="1" si="54"/>
        <v>142.35502807995334</v>
      </c>
      <c r="H326">
        <f t="shared" ca="1" si="55"/>
        <v>47.300791643490228</v>
      </c>
      <c r="I326">
        <f t="shared" ca="1" si="56"/>
        <v>150.00772950000004</v>
      </c>
      <c r="J326">
        <f t="shared" ca="1" si="57"/>
        <v>71.619724391352989</v>
      </c>
    </row>
    <row r="327" spans="1:10" x14ac:dyDescent="0.25">
      <c r="A327">
        <f t="shared" si="50"/>
        <v>0.26333333333333336</v>
      </c>
      <c r="B327">
        <f t="shared" si="59"/>
        <v>-1.4080090609985088</v>
      </c>
      <c r="C327">
        <f t="shared" si="58"/>
        <v>0.3090169943749505</v>
      </c>
      <c r="D327">
        <f t="shared" si="51"/>
        <v>-0.95105651629515253</v>
      </c>
      <c r="E327">
        <f t="shared" si="52"/>
        <v>-0.43509872808245553</v>
      </c>
      <c r="F327">
        <f t="shared" si="53"/>
        <v>1.3390961924652507</v>
      </c>
      <c r="G327">
        <f t="shared" ca="1" si="54"/>
        <v>142.35502807995337</v>
      </c>
      <c r="H327">
        <f t="shared" ca="1" si="55"/>
        <v>47.300791643490136</v>
      </c>
      <c r="I327">
        <f t="shared" ca="1" si="56"/>
        <v>150.00772950000004</v>
      </c>
      <c r="J327">
        <f t="shared" ca="1" si="57"/>
        <v>71.619724391353031</v>
      </c>
    </row>
    <row r="328" spans="1:10" x14ac:dyDescent="0.25">
      <c r="A328">
        <f t="shared" si="50"/>
        <v>0.26416666666666666</v>
      </c>
      <c r="B328">
        <f t="shared" si="59"/>
        <v>64.215870185410608</v>
      </c>
      <c r="C328">
        <f t="shared" si="58"/>
        <v>0.5877852522924657</v>
      </c>
      <c r="D328">
        <f t="shared" si="51"/>
        <v>-0.80901699437495289</v>
      </c>
      <c r="E328">
        <f t="shared" si="52"/>
        <v>37.745141458111803</v>
      </c>
      <c r="F328">
        <f t="shared" si="53"/>
        <v>-51.951730288573039</v>
      </c>
      <c r="G328">
        <f t="shared" ca="1" si="54"/>
        <v>142.35502807995329</v>
      </c>
      <c r="H328">
        <f t="shared" ca="1" si="55"/>
        <v>47.3007916434902</v>
      </c>
      <c r="I328">
        <f t="shared" ca="1" si="56"/>
        <v>150.00772949999995</v>
      </c>
      <c r="J328">
        <f t="shared" ca="1" si="57"/>
        <v>71.619724391352989</v>
      </c>
    </row>
    <row r="329" spans="1:10" x14ac:dyDescent="0.25">
      <c r="A329">
        <f t="shared" si="50"/>
        <v>0.26500000000000001</v>
      </c>
      <c r="B329">
        <f t="shared" si="59"/>
        <v>123.55385263979831</v>
      </c>
      <c r="C329">
        <f t="shared" si="58"/>
        <v>0.80901699437494301</v>
      </c>
      <c r="D329">
        <f t="shared" si="51"/>
        <v>-0.58778525229247913</v>
      </c>
      <c r="E329">
        <f t="shared" si="52"/>
        <v>99.957166506094239</v>
      </c>
      <c r="F329">
        <f t="shared" si="53"/>
        <v>-72.623132445591636</v>
      </c>
      <c r="G329">
        <f t="shared" ca="1" si="54"/>
        <v>142.35502807995317</v>
      </c>
      <c r="H329">
        <f t="shared" ca="1" si="55"/>
        <v>47.300791643490214</v>
      </c>
      <c r="I329">
        <f t="shared" ca="1" si="56"/>
        <v>150.00772949999987</v>
      </c>
      <c r="J329">
        <f t="shared" ca="1" si="57"/>
        <v>71.619724391352975</v>
      </c>
    </row>
    <row r="330" spans="1:10" x14ac:dyDescent="0.25">
      <c r="A330">
        <f t="shared" si="50"/>
        <v>0.26583333333333337</v>
      </c>
      <c r="B330">
        <f t="shared" si="59"/>
        <v>170.79752314749194</v>
      </c>
      <c r="C330">
        <f t="shared" si="58"/>
        <v>0.95105651629515187</v>
      </c>
      <c r="D330">
        <f t="shared" si="51"/>
        <v>-0.30901699437495284</v>
      </c>
      <c r="E330">
        <f t="shared" si="52"/>
        <v>162.43809735649424</v>
      </c>
      <c r="F330">
        <f t="shared" si="53"/>
        <v>-52.779337249724392</v>
      </c>
      <c r="G330">
        <f t="shared" ca="1" si="54"/>
        <v>142.35502807995323</v>
      </c>
      <c r="H330">
        <f t="shared" ca="1" si="55"/>
        <v>47.300791643490271</v>
      </c>
      <c r="I330">
        <f t="shared" ca="1" si="56"/>
        <v>150.00772949999993</v>
      </c>
      <c r="J330">
        <f t="shared" ca="1" si="57"/>
        <v>71.61972439135296</v>
      </c>
    </row>
    <row r="331" spans="1:10" x14ac:dyDescent="0.25">
      <c r="A331">
        <f t="shared" si="50"/>
        <v>0.26666666666666666</v>
      </c>
      <c r="B331">
        <f t="shared" si="59"/>
        <v>201.32234207318965</v>
      </c>
      <c r="C331">
        <f t="shared" si="58"/>
        <v>1</v>
      </c>
      <c r="D331">
        <f t="shared" si="51"/>
        <v>-1.8131329770909588E-14</v>
      </c>
      <c r="E331">
        <f t="shared" si="52"/>
        <v>201.32234207318965</v>
      </c>
      <c r="F331">
        <f t="shared" si="53"/>
        <v>-3.6502417743808672E-12</v>
      </c>
      <c r="G331">
        <f t="shared" ca="1" si="54"/>
        <v>142.35502807995323</v>
      </c>
      <c r="H331">
        <f t="shared" ca="1" si="55"/>
        <v>47.300791643490172</v>
      </c>
      <c r="I331">
        <f t="shared" ca="1" si="56"/>
        <v>150.0077294999999</v>
      </c>
      <c r="J331">
        <f t="shared" ca="1" si="57"/>
        <v>71.619724391352989</v>
      </c>
    </row>
    <row r="332" spans="1:10" x14ac:dyDescent="0.25">
      <c r="A332">
        <f t="shared" ref="A332:A395" si="60">(ROW($A332)-ROW($A$11))*$B$4+$B$5</f>
        <v>0.26750000000000002</v>
      </c>
      <c r="B332">
        <f t="shared" si="59"/>
        <v>212.14032746152756</v>
      </c>
      <c r="C332">
        <f t="shared" si="58"/>
        <v>0.9510565162951542</v>
      </c>
      <c r="D332">
        <f t="shared" ref="D332:D395" si="61">SIN(($A332-$B$5)*$C$1)</f>
        <v>0.3090169943749454</v>
      </c>
      <c r="E332">
        <f t="shared" si="52"/>
        <v>201.75744080127365</v>
      </c>
      <c r="F332">
        <f t="shared" si="53"/>
        <v>65.554966377877932</v>
      </c>
      <c r="G332">
        <f t="shared" ca="1" si="54"/>
        <v>142.35502807995317</v>
      </c>
      <c r="H332">
        <f t="shared" ca="1" si="55"/>
        <v>47.300791643490271</v>
      </c>
      <c r="I332">
        <f t="shared" ca="1" si="56"/>
        <v>150.0077294999999</v>
      </c>
      <c r="J332">
        <f t="shared" ca="1" si="57"/>
        <v>71.61972439135296</v>
      </c>
    </row>
    <row r="333" spans="1:10" x14ac:dyDescent="0.25">
      <c r="A333">
        <f t="shared" si="60"/>
        <v>0.26833333333333337</v>
      </c>
      <c r="B333">
        <f t="shared" si="59"/>
        <v>202.1925395293562</v>
      </c>
      <c r="C333">
        <f t="shared" si="58"/>
        <v>0.80901699437494767</v>
      </c>
      <c r="D333">
        <f t="shared" si="61"/>
        <v>0.5877852522924728</v>
      </c>
      <c r="E333">
        <f t="shared" si="52"/>
        <v>163.57720061507754</v>
      </c>
      <c r="F333">
        <f t="shared" si="53"/>
        <v>118.84579285891841</v>
      </c>
      <c r="G333">
        <f t="shared" ca="1" si="54"/>
        <v>142.35502807995329</v>
      </c>
      <c r="H333">
        <f t="shared" ca="1" si="55"/>
        <v>47.3007916434902</v>
      </c>
      <c r="I333">
        <f t="shared" ca="1" si="56"/>
        <v>150.00772949999995</v>
      </c>
      <c r="J333">
        <f t="shared" ca="1" si="57"/>
        <v>71.619724391352989</v>
      </c>
    </row>
    <row r="334" spans="1:10" x14ac:dyDescent="0.25">
      <c r="A334">
        <f t="shared" si="60"/>
        <v>0.26916666666666667</v>
      </c>
      <c r="B334">
        <f t="shared" si="59"/>
        <v>172.45273706979324</v>
      </c>
      <c r="C334">
        <f t="shared" si="58"/>
        <v>0.58778525229248346</v>
      </c>
      <c r="D334">
        <f t="shared" si="61"/>
        <v>0.8090169943749399</v>
      </c>
      <c r="E334">
        <f t="shared" si="52"/>
        <v>101.36517556709774</v>
      </c>
      <c r="F334">
        <f t="shared" si="53"/>
        <v>139.5171950159359</v>
      </c>
      <c r="G334">
        <f t="shared" ca="1" si="54"/>
        <v>142.3550280799534</v>
      </c>
      <c r="H334">
        <f t="shared" ca="1" si="55"/>
        <v>47.300791643490193</v>
      </c>
      <c r="I334">
        <f t="shared" ca="1" si="56"/>
        <v>150.00772950000007</v>
      </c>
      <c r="J334">
        <f t="shared" ca="1" si="57"/>
        <v>71.619724391353003</v>
      </c>
    </row>
    <row r="335" spans="1:10" x14ac:dyDescent="0.25">
      <c r="A335">
        <f t="shared" si="60"/>
        <v>0.27</v>
      </c>
      <c r="B335">
        <f t="shared" si="59"/>
        <v>125.832059156966</v>
      </c>
      <c r="C335">
        <f t="shared" si="58"/>
        <v>0.30901699437495794</v>
      </c>
      <c r="D335">
        <f t="shared" si="61"/>
        <v>0.9510565162951502</v>
      </c>
      <c r="E335">
        <f t="shared" si="52"/>
        <v>38.884244716697538</v>
      </c>
      <c r="F335">
        <f t="shared" si="53"/>
        <v>119.67339982006933</v>
      </c>
      <c r="G335">
        <f t="shared" ca="1" si="54"/>
        <v>142.35502807995348</v>
      </c>
      <c r="H335">
        <f t="shared" ca="1" si="55"/>
        <v>47.30079164349025</v>
      </c>
      <c r="I335">
        <f t="shared" ca="1" si="56"/>
        <v>150.00772950000018</v>
      </c>
      <c r="J335">
        <f t="shared" ca="1" si="57"/>
        <v>71.619724391353003</v>
      </c>
    </row>
    <row r="336" spans="1:10" x14ac:dyDescent="0.25">
      <c r="A336">
        <f t="shared" si="60"/>
        <v>0.27083333333333337</v>
      </c>
      <c r="B336">
        <f t="shared" si="59"/>
        <v>66.89406257034328</v>
      </c>
      <c r="C336">
        <f t="shared" si="58"/>
        <v>-4.9000517185482373E-15</v>
      </c>
      <c r="D336">
        <f t="shared" si="61"/>
        <v>1</v>
      </c>
      <c r="E336">
        <f t="shared" si="52"/>
        <v>-3.2778436625848392E-13</v>
      </c>
      <c r="F336">
        <f t="shared" si="53"/>
        <v>66.89406257034328</v>
      </c>
      <c r="G336">
        <f t="shared" ca="1" si="54"/>
        <v>142.35502807995346</v>
      </c>
      <c r="H336">
        <f t="shared" ca="1" si="55"/>
        <v>47.30079164349015</v>
      </c>
      <c r="I336">
        <f t="shared" ca="1" si="56"/>
        <v>150.00772950000012</v>
      </c>
      <c r="J336">
        <f t="shared" ca="1" si="57"/>
        <v>71.619724391353031</v>
      </c>
    </row>
    <row r="337" spans="1:10" x14ac:dyDescent="0.25">
      <c r="A337">
        <f t="shared" si="60"/>
        <v>0.27166666666666667</v>
      </c>
      <c r="B337">
        <f t="shared" si="59"/>
        <v>1.4080090610007958</v>
      </c>
      <c r="C337">
        <f t="shared" si="58"/>
        <v>-0.30901699437494023</v>
      </c>
      <c r="D337">
        <f t="shared" si="61"/>
        <v>0.95105651629515586</v>
      </c>
      <c r="E337">
        <f t="shared" si="52"/>
        <v>-0.43509872808314781</v>
      </c>
      <c r="F337">
        <f t="shared" si="53"/>
        <v>1.3390961924674305</v>
      </c>
      <c r="G337">
        <f t="shared" ca="1" si="54"/>
        <v>142.35502807995348</v>
      </c>
      <c r="H337">
        <f t="shared" ca="1" si="55"/>
        <v>47.300791643490051</v>
      </c>
      <c r="I337">
        <f t="shared" ca="1" si="56"/>
        <v>150.00772950000012</v>
      </c>
      <c r="J337">
        <f t="shared" ca="1" si="57"/>
        <v>71.61972439135306</v>
      </c>
    </row>
    <row r="338" spans="1:10" x14ac:dyDescent="0.25">
      <c r="A338">
        <f t="shared" si="60"/>
        <v>0.27250000000000002</v>
      </c>
      <c r="B338">
        <f t="shared" si="59"/>
        <v>-64.215870185411291</v>
      </c>
      <c r="C338">
        <f t="shared" si="58"/>
        <v>-0.58778525229246847</v>
      </c>
      <c r="D338">
        <f t="shared" si="61"/>
        <v>0.80901699437495078</v>
      </c>
      <c r="E338">
        <f t="shared" si="52"/>
        <v>37.745141458112379</v>
      </c>
      <c r="F338">
        <f t="shared" si="53"/>
        <v>-51.951730288573458</v>
      </c>
      <c r="G338">
        <f t="shared" ca="1" si="54"/>
        <v>142.3550280799534</v>
      </c>
      <c r="H338">
        <f t="shared" ca="1" si="55"/>
        <v>47.300791643490115</v>
      </c>
      <c r="I338">
        <f t="shared" ca="1" si="56"/>
        <v>150.00772950000004</v>
      </c>
      <c r="J338">
        <f t="shared" ca="1" si="57"/>
        <v>71.619724391353046</v>
      </c>
    </row>
    <row r="339" spans="1:10" x14ac:dyDescent="0.25">
      <c r="A339">
        <f t="shared" si="60"/>
        <v>0.27333333333333337</v>
      </c>
      <c r="B339">
        <f t="shared" si="59"/>
        <v>-123.5538526397989</v>
      </c>
      <c r="C339">
        <f t="shared" si="58"/>
        <v>-0.80901699437494501</v>
      </c>
      <c r="D339">
        <f t="shared" si="61"/>
        <v>0.58778525229247636</v>
      </c>
      <c r="E339">
        <f t="shared" si="52"/>
        <v>99.957166506094978</v>
      </c>
      <c r="F339">
        <f t="shared" si="53"/>
        <v>-72.623132445591651</v>
      </c>
      <c r="G339">
        <f t="shared" ca="1" si="54"/>
        <v>142.35502807995329</v>
      </c>
      <c r="H339">
        <f t="shared" ca="1" si="55"/>
        <v>47.300791643490115</v>
      </c>
      <c r="I339">
        <f t="shared" ca="1" si="56"/>
        <v>150.00772949999993</v>
      </c>
      <c r="J339">
        <f t="shared" ca="1" si="57"/>
        <v>71.619724391353031</v>
      </c>
    </row>
    <row r="340" spans="1:10" x14ac:dyDescent="0.25">
      <c r="A340">
        <f t="shared" si="60"/>
        <v>0.27416666666666667</v>
      </c>
      <c r="B340">
        <f t="shared" si="59"/>
        <v>-170.79752314749058</v>
      </c>
      <c r="C340">
        <f t="shared" si="58"/>
        <v>-0.95105651629514854</v>
      </c>
      <c r="D340">
        <f t="shared" si="61"/>
        <v>0.30901699437496311</v>
      </c>
      <c r="E340">
        <f t="shared" si="52"/>
        <v>162.43809735649239</v>
      </c>
      <c r="F340">
        <f t="shared" si="53"/>
        <v>-52.779337249725728</v>
      </c>
      <c r="G340">
        <f t="shared" ca="1" si="54"/>
        <v>142.3550280799532</v>
      </c>
      <c r="H340">
        <f t="shared" ca="1" si="55"/>
        <v>47.300791643490065</v>
      </c>
      <c r="I340">
        <f t="shared" ca="1" si="56"/>
        <v>150.00772949999984</v>
      </c>
      <c r="J340">
        <f t="shared" ca="1" si="57"/>
        <v>71.619724391353031</v>
      </c>
    </row>
    <row r="341" spans="1:10" x14ac:dyDescent="0.25">
      <c r="A341">
        <f t="shared" si="60"/>
        <v>0.27500000000000002</v>
      </c>
      <c r="B341">
        <f t="shared" si="59"/>
        <v>-201.32234207319081</v>
      </c>
      <c r="C341">
        <f t="shared" si="58"/>
        <v>-1</v>
      </c>
      <c r="D341">
        <f t="shared" si="61"/>
        <v>4.9027622239794511E-16</v>
      </c>
      <c r="E341">
        <f t="shared" si="52"/>
        <v>201.32234207319081</v>
      </c>
      <c r="F341">
        <f t="shared" si="53"/>
        <v>-9.8703557355950873E-14</v>
      </c>
      <c r="G341">
        <f t="shared" ca="1" si="54"/>
        <v>142.35502807995326</v>
      </c>
      <c r="H341">
        <f t="shared" ca="1" si="55"/>
        <v>47.30079164349015</v>
      </c>
      <c r="I341">
        <f t="shared" ca="1" si="56"/>
        <v>150.00772949999993</v>
      </c>
      <c r="J341">
        <f t="shared" ca="1" si="57"/>
        <v>71.619724391353003</v>
      </c>
    </row>
    <row r="342" spans="1:10" x14ac:dyDescent="0.25">
      <c r="A342">
        <f t="shared" si="60"/>
        <v>0.27583333333333337</v>
      </c>
      <c r="B342">
        <f t="shared" si="59"/>
        <v>-212.14032746152756</v>
      </c>
      <c r="C342">
        <f t="shared" si="58"/>
        <v>-0.9510565162951532</v>
      </c>
      <c r="D342">
        <f t="shared" si="61"/>
        <v>-0.30901699437494862</v>
      </c>
      <c r="E342">
        <f t="shared" si="52"/>
        <v>201.75744080127342</v>
      </c>
      <c r="F342">
        <f t="shared" si="53"/>
        <v>65.554966377878614</v>
      </c>
      <c r="G342">
        <f t="shared" ca="1" si="54"/>
        <v>142.35502807995314</v>
      </c>
      <c r="H342">
        <f t="shared" ca="1" si="55"/>
        <v>47.300791643490449</v>
      </c>
      <c r="I342">
        <f t="shared" ca="1" si="56"/>
        <v>150.0077294999999</v>
      </c>
      <c r="J342">
        <f t="shared" ca="1" si="57"/>
        <v>71.619724391352889</v>
      </c>
    </row>
    <row r="343" spans="1:10" x14ac:dyDescent="0.25">
      <c r="A343">
        <f t="shared" si="60"/>
        <v>0.27666666666666667</v>
      </c>
      <c r="B343">
        <f t="shared" si="59"/>
        <v>-202.19253952935688</v>
      </c>
      <c r="C343">
        <f t="shared" si="58"/>
        <v>-0.809016994374954</v>
      </c>
      <c r="D343">
        <f t="shared" si="61"/>
        <v>-0.58778525229246414</v>
      </c>
      <c r="E343">
        <f t="shared" si="52"/>
        <v>163.57720061507939</v>
      </c>
      <c r="F343">
        <f t="shared" si="53"/>
        <v>118.84579285891706</v>
      </c>
      <c r="G343">
        <f t="shared" ca="1" si="54"/>
        <v>142.35502807995323</v>
      </c>
      <c r="H343">
        <f t="shared" ca="1" si="55"/>
        <v>47.300791643490392</v>
      </c>
      <c r="I343">
        <f t="shared" ca="1" si="56"/>
        <v>150.00772949999998</v>
      </c>
      <c r="J343">
        <f t="shared" ca="1" si="57"/>
        <v>71.619724391352918</v>
      </c>
    </row>
    <row r="344" spans="1:10" x14ac:dyDescent="0.25">
      <c r="A344">
        <f t="shared" si="60"/>
        <v>0.27750000000000002</v>
      </c>
      <c r="B344">
        <f t="shared" si="59"/>
        <v>-172.45273706979282</v>
      </c>
      <c r="C344">
        <f t="shared" si="58"/>
        <v>-0.58778525229248069</v>
      </c>
      <c r="D344">
        <f t="shared" si="61"/>
        <v>-0.8090169943749419</v>
      </c>
      <c r="E344">
        <f t="shared" si="52"/>
        <v>101.36517556709701</v>
      </c>
      <c r="F344">
        <f t="shared" si="53"/>
        <v>139.5171950159359</v>
      </c>
      <c r="G344">
        <f t="shared" ca="1" si="54"/>
        <v>142.35502807995334</v>
      </c>
      <c r="H344">
        <f t="shared" ca="1" si="55"/>
        <v>47.300791643490385</v>
      </c>
      <c r="I344">
        <f t="shared" ca="1" si="56"/>
        <v>150.00772950000007</v>
      </c>
      <c r="J344">
        <f t="shared" ca="1" si="57"/>
        <v>71.619724391352932</v>
      </c>
    </row>
    <row r="345" spans="1:10" x14ac:dyDescent="0.25">
      <c r="A345">
        <f t="shared" si="60"/>
        <v>0.27833333333333338</v>
      </c>
      <c r="B345">
        <f t="shared" si="59"/>
        <v>-125.83205915696298</v>
      </c>
      <c r="C345">
        <f t="shared" si="58"/>
        <v>-0.30901699437494118</v>
      </c>
      <c r="D345">
        <f t="shared" si="61"/>
        <v>-0.95105651629515564</v>
      </c>
      <c r="E345">
        <f t="shared" si="52"/>
        <v>38.884244716694496</v>
      </c>
      <c r="F345">
        <f t="shared" si="53"/>
        <v>119.67339982006716</v>
      </c>
      <c r="G345">
        <f t="shared" ca="1" si="54"/>
        <v>142.35502807995306</v>
      </c>
      <c r="H345">
        <f t="shared" ca="1" si="55"/>
        <v>47.3007916434902</v>
      </c>
      <c r="I345">
        <f t="shared" ca="1" si="56"/>
        <v>150.00772949999975</v>
      </c>
      <c r="J345">
        <f t="shared" ca="1" si="57"/>
        <v>71.61972439135296</v>
      </c>
    </row>
    <row r="346" spans="1:10" x14ac:dyDescent="0.25">
      <c r="A346">
        <f t="shared" si="60"/>
        <v>0.27916666666666667</v>
      </c>
      <c r="B346">
        <f t="shared" si="59"/>
        <v>-66.894062570345454</v>
      </c>
      <c r="C346">
        <f t="shared" si="58"/>
        <v>-5.8806041633441275E-15</v>
      </c>
      <c r="D346">
        <f t="shared" si="61"/>
        <v>-1</v>
      </c>
      <c r="E346">
        <f t="shared" ref="E346:E409" si="62">$B346*C346</f>
        <v>3.9337750285417606E-13</v>
      </c>
      <c r="F346">
        <f t="shared" ref="F346:F409" si="63">$B346*D346</f>
        <v>66.894062570345454</v>
      </c>
      <c r="G346">
        <f t="shared" ref="G346:G409" ca="1" si="64">IF((ROW($A346)-ROW($A$11))&lt;$B$2-1,"",(1.4142/$B$2)*SUM(OFFSET(E346,-$B$2+1,0,$B$2,1)))</f>
        <v>142.35502807995303</v>
      </c>
      <c r="H346">
        <f t="shared" ref="H346:H409" ca="1" si="65">IF((ROW($A346)-ROW($A$11))&lt;$B$2-1,"",(1.4142/$B$2)*SUM(OFFSET(F346,-$B$2+1,0,$B$2,1)))</f>
        <v>47.300791643490101</v>
      </c>
      <c r="I346">
        <f t="shared" ref="I346:I409" ca="1" si="66">IF(G346="","",SQRT(G346^2+H346^2))</f>
        <v>150.0077294999997</v>
      </c>
      <c r="J346">
        <f t="shared" ref="J346:J409" ca="1" si="67">IF(G346="","",ATAN2(H346,G346)*180/PI())</f>
        <v>71.619724391353003</v>
      </c>
    </row>
    <row r="347" spans="1:10" x14ac:dyDescent="0.25">
      <c r="A347">
        <f t="shared" si="60"/>
        <v>0.28000000000000003</v>
      </c>
      <c r="B347">
        <f t="shared" si="59"/>
        <v>-1.408009061000068</v>
      </c>
      <c r="C347">
        <f t="shared" ref="C347:C410" si="68">COS(($A347-$B$5)*$C$1)</f>
        <v>0.30901699437494351</v>
      </c>
      <c r="D347">
        <f t="shared" si="61"/>
        <v>-0.95105651629515486</v>
      </c>
      <c r="E347">
        <f t="shared" si="62"/>
        <v>-0.43509872808292749</v>
      </c>
      <c r="F347">
        <f t="shared" si="63"/>
        <v>1.3390961924667368</v>
      </c>
      <c r="G347">
        <f t="shared" ca="1" si="64"/>
        <v>142.355028079953</v>
      </c>
      <c r="H347">
        <f t="shared" ca="1" si="65"/>
        <v>47.300791643490207</v>
      </c>
      <c r="I347">
        <f t="shared" ca="1" si="66"/>
        <v>150.0077294999997</v>
      </c>
      <c r="J347">
        <f t="shared" ca="1" si="67"/>
        <v>71.61972439135296</v>
      </c>
    </row>
    <row r="348" spans="1:10" x14ac:dyDescent="0.25">
      <c r="A348">
        <f t="shared" si="60"/>
        <v>0.28083333333333332</v>
      </c>
      <c r="B348">
        <f t="shared" si="59"/>
        <v>64.215870185409116</v>
      </c>
      <c r="C348">
        <f t="shared" si="68"/>
        <v>0.5877852522924597</v>
      </c>
      <c r="D348">
        <f t="shared" si="61"/>
        <v>-0.80901699437495711</v>
      </c>
      <c r="E348">
        <f t="shared" si="62"/>
        <v>37.745141458110538</v>
      </c>
      <c r="F348">
        <f t="shared" si="63"/>
        <v>-51.951730288572101</v>
      </c>
      <c r="G348">
        <f t="shared" ca="1" si="64"/>
        <v>142.35502807995289</v>
      </c>
      <c r="H348">
        <f t="shared" ca="1" si="65"/>
        <v>47.300791643490278</v>
      </c>
      <c r="I348">
        <f t="shared" ca="1" si="66"/>
        <v>150.00772949999961</v>
      </c>
      <c r="J348">
        <f t="shared" ca="1" si="67"/>
        <v>71.619724391352918</v>
      </c>
    </row>
    <row r="349" spans="1:10" x14ac:dyDescent="0.25">
      <c r="A349">
        <f t="shared" si="60"/>
        <v>0.28166666666666668</v>
      </c>
      <c r="B349">
        <f t="shared" si="59"/>
        <v>123.55385263979704</v>
      </c>
      <c r="C349">
        <f t="shared" si="68"/>
        <v>0.80901699437493868</v>
      </c>
      <c r="D349">
        <f t="shared" si="61"/>
        <v>-0.58778525229248513</v>
      </c>
      <c r="E349">
        <f t="shared" si="62"/>
        <v>99.95716650609269</v>
      </c>
      <c r="F349">
        <f t="shared" si="63"/>
        <v>-72.623132445591636</v>
      </c>
      <c r="G349">
        <f t="shared" ca="1" si="64"/>
        <v>142.3550280799528</v>
      </c>
      <c r="H349">
        <f t="shared" ca="1" si="65"/>
        <v>47.300791643490278</v>
      </c>
      <c r="I349">
        <f t="shared" ca="1" si="66"/>
        <v>150.00772949999953</v>
      </c>
      <c r="J349">
        <f t="shared" ca="1" si="67"/>
        <v>71.619724391352904</v>
      </c>
    </row>
    <row r="350" spans="1:10" x14ac:dyDescent="0.25">
      <c r="A350">
        <f t="shared" si="60"/>
        <v>0.28250000000000003</v>
      </c>
      <c r="B350">
        <f t="shared" si="59"/>
        <v>170.7975231474928</v>
      </c>
      <c r="C350">
        <f t="shared" si="68"/>
        <v>0.95105651629515398</v>
      </c>
      <c r="D350">
        <f t="shared" si="61"/>
        <v>-0.30901699437494629</v>
      </c>
      <c r="E350">
        <f t="shared" si="62"/>
        <v>162.43809735649543</v>
      </c>
      <c r="F350">
        <f t="shared" si="63"/>
        <v>-52.77933724972354</v>
      </c>
      <c r="G350">
        <f t="shared" ca="1" si="64"/>
        <v>142.35502807995289</v>
      </c>
      <c r="H350">
        <f t="shared" ca="1" si="65"/>
        <v>47.300791643490342</v>
      </c>
      <c r="I350">
        <f t="shared" ca="1" si="66"/>
        <v>150.00772949999964</v>
      </c>
      <c r="J350">
        <f t="shared" ca="1" si="67"/>
        <v>71.619724391352889</v>
      </c>
    </row>
    <row r="351" spans="1:10" x14ac:dyDescent="0.25">
      <c r="A351">
        <f t="shared" si="60"/>
        <v>0.28333333333333333</v>
      </c>
      <c r="B351">
        <f t="shared" si="59"/>
        <v>201.3223420731901</v>
      </c>
      <c r="C351">
        <f t="shared" si="68"/>
        <v>1</v>
      </c>
      <c r="D351">
        <f t="shared" si="61"/>
        <v>-1.127093210429031E-14</v>
      </c>
      <c r="E351">
        <f t="shared" si="62"/>
        <v>201.3223420731901</v>
      </c>
      <c r="F351">
        <f t="shared" si="63"/>
        <v>-2.269090448583634E-12</v>
      </c>
      <c r="G351">
        <f t="shared" ca="1" si="64"/>
        <v>142.35502807995292</v>
      </c>
      <c r="H351">
        <f t="shared" ca="1" si="65"/>
        <v>47.300791643490442</v>
      </c>
      <c r="I351">
        <f t="shared" ca="1" si="66"/>
        <v>150.0077294999997</v>
      </c>
      <c r="J351">
        <f t="shared" ca="1" si="67"/>
        <v>71.619724391352861</v>
      </c>
    </row>
    <row r="352" spans="1:10" x14ac:dyDescent="0.25">
      <c r="A352">
        <f t="shared" si="60"/>
        <v>0.28416666666666668</v>
      </c>
      <c r="B352">
        <f t="shared" si="59"/>
        <v>212.14032746152753</v>
      </c>
      <c r="C352">
        <f t="shared" si="68"/>
        <v>0.95105651629515653</v>
      </c>
      <c r="D352">
        <f t="shared" si="61"/>
        <v>0.3090169943749384</v>
      </c>
      <c r="E352">
        <f t="shared" si="62"/>
        <v>201.7574408012741</v>
      </c>
      <c r="F352">
        <f t="shared" si="63"/>
        <v>65.55496637787644</v>
      </c>
      <c r="G352">
        <f t="shared" ca="1" si="64"/>
        <v>142.35502807995297</v>
      </c>
      <c r="H352">
        <f t="shared" ca="1" si="65"/>
        <v>47.300791643490335</v>
      </c>
      <c r="I352">
        <f t="shared" ca="1" si="66"/>
        <v>150.00772949999973</v>
      </c>
      <c r="J352">
        <f t="shared" ca="1" si="67"/>
        <v>71.619724391352904</v>
      </c>
    </row>
    <row r="353" spans="1:10" x14ac:dyDescent="0.25">
      <c r="A353">
        <f t="shared" si="60"/>
        <v>0.28500000000000003</v>
      </c>
      <c r="B353">
        <f t="shared" si="59"/>
        <v>202.19253952935577</v>
      </c>
      <c r="C353">
        <f t="shared" si="68"/>
        <v>0.80901699437494368</v>
      </c>
      <c r="D353">
        <f t="shared" si="61"/>
        <v>0.58778525229247836</v>
      </c>
      <c r="E353">
        <f t="shared" si="62"/>
        <v>163.57720061507641</v>
      </c>
      <c r="F353">
        <f t="shared" si="63"/>
        <v>118.84579285891928</v>
      </c>
      <c r="G353">
        <f t="shared" ca="1" si="64"/>
        <v>142.35502807995289</v>
      </c>
      <c r="H353">
        <f t="shared" ca="1" si="65"/>
        <v>47.300791643490385</v>
      </c>
      <c r="I353">
        <f t="shared" ca="1" si="66"/>
        <v>150.00772949999964</v>
      </c>
      <c r="J353">
        <f t="shared" ca="1" si="67"/>
        <v>71.619724391352875</v>
      </c>
    </row>
    <row r="354" spans="1:10" x14ac:dyDescent="0.25">
      <c r="A354">
        <f t="shared" si="60"/>
        <v>0.28583333333333333</v>
      </c>
      <c r="B354">
        <f t="shared" si="59"/>
        <v>172.45273706979415</v>
      </c>
      <c r="C354">
        <f t="shared" si="68"/>
        <v>0.58778525229248946</v>
      </c>
      <c r="D354">
        <f t="shared" si="61"/>
        <v>0.80901699437493557</v>
      </c>
      <c r="E354">
        <f t="shared" si="62"/>
        <v>101.3651755670993</v>
      </c>
      <c r="F354">
        <f t="shared" si="63"/>
        <v>139.5171950159359</v>
      </c>
      <c r="G354">
        <f t="shared" ca="1" si="64"/>
        <v>142.355028079953</v>
      </c>
      <c r="H354">
        <f t="shared" ca="1" si="65"/>
        <v>47.300791643490385</v>
      </c>
      <c r="I354">
        <f t="shared" ca="1" si="66"/>
        <v>150.00772949999975</v>
      </c>
      <c r="J354">
        <f t="shared" ca="1" si="67"/>
        <v>71.619724391352889</v>
      </c>
    </row>
    <row r="355" spans="1:10" x14ac:dyDescent="0.25">
      <c r="A355">
        <f t="shared" si="60"/>
        <v>0.28666666666666668</v>
      </c>
      <c r="B355">
        <f t="shared" si="59"/>
        <v>125.83205915696482</v>
      </c>
      <c r="C355">
        <f t="shared" si="68"/>
        <v>0.30901699437495145</v>
      </c>
      <c r="D355">
        <f t="shared" si="61"/>
        <v>0.95105651629515231</v>
      </c>
      <c r="E355">
        <f t="shared" si="62"/>
        <v>38.884244716696358</v>
      </c>
      <c r="F355">
        <f t="shared" si="63"/>
        <v>119.67339982006848</v>
      </c>
      <c r="G355">
        <f t="shared" ca="1" si="64"/>
        <v>142.35502807995292</v>
      </c>
      <c r="H355">
        <f t="shared" ca="1" si="65"/>
        <v>47.300791643490321</v>
      </c>
      <c r="I355">
        <f t="shared" ca="1" si="66"/>
        <v>150.00772949999964</v>
      </c>
      <c r="J355">
        <f t="shared" ca="1" si="67"/>
        <v>71.619724391352904</v>
      </c>
    </row>
    <row r="356" spans="1:10" x14ac:dyDescent="0.25">
      <c r="A356">
        <f t="shared" si="60"/>
        <v>0.28750000000000003</v>
      </c>
      <c r="B356">
        <f t="shared" si="59"/>
        <v>66.894062570344772</v>
      </c>
      <c r="C356">
        <f t="shared" si="68"/>
        <v>2.4504053300344886E-15</v>
      </c>
      <c r="D356">
        <f t="shared" si="61"/>
        <v>1</v>
      </c>
      <c r="E356">
        <f t="shared" si="62"/>
        <v>1.639175674700334E-13</v>
      </c>
      <c r="F356">
        <f t="shared" si="63"/>
        <v>66.894062570344772</v>
      </c>
      <c r="G356">
        <f t="shared" ca="1" si="64"/>
        <v>142.35502807995297</v>
      </c>
      <c r="H356">
        <f t="shared" ca="1" si="65"/>
        <v>47.300791643490442</v>
      </c>
      <c r="I356">
        <f t="shared" ca="1" si="66"/>
        <v>150.00772949999975</v>
      </c>
      <c r="J356">
        <f t="shared" ca="1" si="67"/>
        <v>71.619724391352861</v>
      </c>
    </row>
    <row r="357" spans="1:10" x14ac:dyDescent="0.25">
      <c r="A357">
        <f t="shared" si="60"/>
        <v>0.28833333333333333</v>
      </c>
      <c r="B357">
        <f t="shared" ref="B357:B420" si="69">1.5*$B$6*SIN((A357*$C$1)+1.25)</f>
        <v>1.408009061002355</v>
      </c>
      <c r="C357">
        <f t="shared" si="68"/>
        <v>-0.30901699437493324</v>
      </c>
      <c r="D357">
        <f t="shared" si="61"/>
        <v>0.95105651629515819</v>
      </c>
      <c r="E357">
        <f t="shared" si="62"/>
        <v>-0.43509872808361977</v>
      </c>
      <c r="F357">
        <f t="shared" si="63"/>
        <v>1.3390961924689166</v>
      </c>
      <c r="G357">
        <f t="shared" ca="1" si="64"/>
        <v>142.35502807995294</v>
      </c>
      <c r="H357">
        <f t="shared" ca="1" si="65"/>
        <v>47.300791643490534</v>
      </c>
      <c r="I357">
        <f t="shared" ca="1" si="66"/>
        <v>150.00772949999975</v>
      </c>
      <c r="J357">
        <f t="shared" ca="1" si="67"/>
        <v>71.619724391352833</v>
      </c>
    </row>
    <row r="358" spans="1:10" x14ac:dyDescent="0.25">
      <c r="A358">
        <f t="shared" si="60"/>
        <v>0.28916666666666668</v>
      </c>
      <c r="B358">
        <f t="shared" si="69"/>
        <v>-64.215870185409813</v>
      </c>
      <c r="C358">
        <f t="shared" si="68"/>
        <v>-0.58778525229246248</v>
      </c>
      <c r="D358">
        <f t="shared" si="61"/>
        <v>0.80901699437495511</v>
      </c>
      <c r="E358">
        <f t="shared" si="62"/>
        <v>37.745141458111128</v>
      </c>
      <c r="F358">
        <f t="shared" si="63"/>
        <v>-51.951730288572541</v>
      </c>
      <c r="G358">
        <f t="shared" ca="1" si="64"/>
        <v>142.35502807995286</v>
      </c>
      <c r="H358">
        <f t="shared" ca="1" si="65"/>
        <v>47.300791643490598</v>
      </c>
      <c r="I358">
        <f t="shared" ca="1" si="66"/>
        <v>150.0077294999997</v>
      </c>
      <c r="J358">
        <f t="shared" ca="1" si="67"/>
        <v>71.619724391352804</v>
      </c>
    </row>
    <row r="359" spans="1:10" x14ac:dyDescent="0.25">
      <c r="A359">
        <f t="shared" si="60"/>
        <v>0.29000000000000004</v>
      </c>
      <c r="B359">
        <f t="shared" si="69"/>
        <v>-123.55385263980007</v>
      </c>
      <c r="C359">
        <f t="shared" si="68"/>
        <v>-0.80901699437494912</v>
      </c>
      <c r="D359">
        <f t="shared" si="61"/>
        <v>0.58778525229247081</v>
      </c>
      <c r="E359">
        <f t="shared" si="62"/>
        <v>99.957166506096428</v>
      </c>
      <c r="F359">
        <f t="shared" si="63"/>
        <v>-72.623132445591651</v>
      </c>
      <c r="G359">
        <f t="shared" ca="1" si="64"/>
        <v>142.35502807995294</v>
      </c>
      <c r="H359">
        <f t="shared" ca="1" si="65"/>
        <v>47.300791643490598</v>
      </c>
      <c r="I359">
        <f t="shared" ca="1" si="66"/>
        <v>150.00772949999978</v>
      </c>
      <c r="J359">
        <f t="shared" ca="1" si="67"/>
        <v>71.619724391352804</v>
      </c>
    </row>
    <row r="360" spans="1:10" x14ac:dyDescent="0.25">
      <c r="A360">
        <f t="shared" si="60"/>
        <v>0.29083333333333333</v>
      </c>
      <c r="B360">
        <f t="shared" si="69"/>
        <v>-170.79752314749146</v>
      </c>
      <c r="C360">
        <f t="shared" si="68"/>
        <v>-0.95105651629515064</v>
      </c>
      <c r="D360">
        <f t="shared" si="61"/>
        <v>0.30901699437495656</v>
      </c>
      <c r="E360">
        <f t="shared" si="62"/>
        <v>162.43809735649359</v>
      </c>
      <c r="F360">
        <f t="shared" si="63"/>
        <v>-52.779337249724882</v>
      </c>
      <c r="G360">
        <f t="shared" ca="1" si="64"/>
        <v>142.355028079953</v>
      </c>
      <c r="H360">
        <f t="shared" ca="1" si="65"/>
        <v>47.300791643490662</v>
      </c>
      <c r="I360">
        <f t="shared" ca="1" si="66"/>
        <v>150.00772949999984</v>
      </c>
      <c r="J360">
        <f t="shared" ca="1" si="67"/>
        <v>71.61972439135279</v>
      </c>
    </row>
    <row r="361" spans="1:10" x14ac:dyDescent="0.25">
      <c r="A361">
        <f t="shared" si="60"/>
        <v>0.29166666666666669</v>
      </c>
      <c r="B361">
        <f t="shared" si="69"/>
        <v>-201.32234207319033</v>
      </c>
      <c r="C361">
        <f t="shared" si="68"/>
        <v>-1</v>
      </c>
      <c r="D361">
        <f t="shared" si="61"/>
        <v>7.840733270980671E-15</v>
      </c>
      <c r="E361">
        <f t="shared" si="62"/>
        <v>201.32234207319033</v>
      </c>
      <c r="F361">
        <f t="shared" si="63"/>
        <v>-1.5785147856850151E-12</v>
      </c>
      <c r="G361">
        <f t="shared" ca="1" si="64"/>
        <v>142.355028079953</v>
      </c>
      <c r="H361">
        <f t="shared" ca="1" si="65"/>
        <v>47.300791643490555</v>
      </c>
      <c r="I361">
        <f t="shared" ca="1" si="66"/>
        <v>150.00772949999981</v>
      </c>
      <c r="J361">
        <f t="shared" ca="1" si="67"/>
        <v>71.619724391352833</v>
      </c>
    </row>
    <row r="362" spans="1:10" x14ac:dyDescent="0.25">
      <c r="A362">
        <f t="shared" si="60"/>
        <v>0.29250000000000004</v>
      </c>
      <c r="B362">
        <f t="shared" si="69"/>
        <v>-212.14032746152756</v>
      </c>
      <c r="C362">
        <f t="shared" si="68"/>
        <v>-0.95105651629515109</v>
      </c>
      <c r="D362">
        <f t="shared" si="61"/>
        <v>-0.30901699437495517</v>
      </c>
      <c r="E362">
        <f t="shared" si="62"/>
        <v>201.75744080127296</v>
      </c>
      <c r="F362">
        <f t="shared" si="63"/>
        <v>65.554966377880007</v>
      </c>
      <c r="G362">
        <f t="shared" ca="1" si="64"/>
        <v>142.35502807995297</v>
      </c>
      <c r="H362">
        <f t="shared" ca="1" si="65"/>
        <v>47.300791643490648</v>
      </c>
      <c r="I362">
        <f t="shared" ca="1" si="66"/>
        <v>150.00772949999981</v>
      </c>
      <c r="J362">
        <f t="shared" ca="1" si="67"/>
        <v>71.61972439135279</v>
      </c>
    </row>
    <row r="363" spans="1:10" x14ac:dyDescent="0.25">
      <c r="A363">
        <f t="shared" si="60"/>
        <v>0.29333333333333333</v>
      </c>
      <c r="B363">
        <f t="shared" si="69"/>
        <v>-202.19253952935736</v>
      </c>
      <c r="C363">
        <f t="shared" si="68"/>
        <v>-0.80901699437495833</v>
      </c>
      <c r="D363">
        <f t="shared" si="61"/>
        <v>-0.58778525229245815</v>
      </c>
      <c r="E363">
        <f t="shared" si="62"/>
        <v>163.57720061508064</v>
      </c>
      <c r="F363">
        <f t="shared" si="63"/>
        <v>118.84579285891613</v>
      </c>
      <c r="G363">
        <f t="shared" ca="1" si="64"/>
        <v>142.35502807995306</v>
      </c>
      <c r="H363">
        <f t="shared" ca="1" si="65"/>
        <v>47.300791643490591</v>
      </c>
      <c r="I363">
        <f t="shared" ca="1" si="66"/>
        <v>150.00772949999987</v>
      </c>
      <c r="J363">
        <f t="shared" ca="1" si="67"/>
        <v>71.619724391352833</v>
      </c>
    </row>
    <row r="364" spans="1:10" x14ac:dyDescent="0.25">
      <c r="A364">
        <f t="shared" si="60"/>
        <v>0.29416666666666669</v>
      </c>
      <c r="B364">
        <f t="shared" si="69"/>
        <v>-172.45273706979197</v>
      </c>
      <c r="C364">
        <f t="shared" si="68"/>
        <v>-0.58778525229247514</v>
      </c>
      <c r="D364">
        <f t="shared" si="61"/>
        <v>-0.8090169943749459</v>
      </c>
      <c r="E364">
        <f t="shared" si="62"/>
        <v>101.36517556709555</v>
      </c>
      <c r="F364">
        <f t="shared" si="63"/>
        <v>139.5171950159359</v>
      </c>
      <c r="G364">
        <f t="shared" ca="1" si="64"/>
        <v>142.35502807995297</v>
      </c>
      <c r="H364">
        <f t="shared" ca="1" si="65"/>
        <v>47.300791643490591</v>
      </c>
      <c r="I364">
        <f t="shared" ca="1" si="66"/>
        <v>150.00772949999981</v>
      </c>
      <c r="J364">
        <f t="shared" ca="1" si="67"/>
        <v>71.619724391352818</v>
      </c>
    </row>
    <row r="365" spans="1:10" x14ac:dyDescent="0.25">
      <c r="A365">
        <f t="shared" si="60"/>
        <v>0.29500000000000004</v>
      </c>
      <c r="B365">
        <f t="shared" si="69"/>
        <v>-125.83205915696425</v>
      </c>
      <c r="C365">
        <f t="shared" si="68"/>
        <v>-0.30901699437494817</v>
      </c>
      <c r="D365">
        <f t="shared" si="61"/>
        <v>-0.95105651629515331</v>
      </c>
      <c r="E365">
        <f t="shared" si="62"/>
        <v>38.884244716695768</v>
      </c>
      <c r="F365">
        <f t="shared" si="63"/>
        <v>119.67339982006807</v>
      </c>
      <c r="G365">
        <f t="shared" ca="1" si="64"/>
        <v>142.35502807995303</v>
      </c>
      <c r="H365">
        <f t="shared" ca="1" si="65"/>
        <v>47.300791643490648</v>
      </c>
      <c r="I365">
        <f t="shared" ca="1" si="66"/>
        <v>150.00772949999987</v>
      </c>
      <c r="J365">
        <f t="shared" ca="1" si="67"/>
        <v>71.619724391352804</v>
      </c>
    </row>
    <row r="366" spans="1:10" x14ac:dyDescent="0.25">
      <c r="A366">
        <f t="shared" si="60"/>
        <v>0.29583333333333334</v>
      </c>
      <c r="B366">
        <f t="shared" si="69"/>
        <v>-66.894062570346932</v>
      </c>
      <c r="C366">
        <f t="shared" si="68"/>
        <v>-1.3231061211926853E-14</v>
      </c>
      <c r="D366">
        <f t="shared" si="61"/>
        <v>-1</v>
      </c>
      <c r="E366">
        <f t="shared" si="62"/>
        <v>8.8507943658272524E-13</v>
      </c>
      <c r="F366">
        <f t="shared" si="63"/>
        <v>66.894062570346932</v>
      </c>
      <c r="G366">
        <f t="shared" ca="1" si="64"/>
        <v>142.35502807995306</v>
      </c>
      <c r="H366">
        <f t="shared" ca="1" si="65"/>
        <v>47.300791643490754</v>
      </c>
      <c r="I366">
        <f t="shared" ca="1" si="66"/>
        <v>150.00772949999993</v>
      </c>
      <c r="J366">
        <f t="shared" ca="1" si="67"/>
        <v>71.619724391352761</v>
      </c>
    </row>
    <row r="367" spans="1:10" x14ac:dyDescent="0.25">
      <c r="A367">
        <f t="shared" si="60"/>
        <v>0.29666666666666669</v>
      </c>
      <c r="B367">
        <f t="shared" si="69"/>
        <v>-1.4080090609986127</v>
      </c>
      <c r="C367">
        <f t="shared" si="68"/>
        <v>0.30901699437495006</v>
      </c>
      <c r="D367">
        <f t="shared" si="61"/>
        <v>-0.95105651629515275</v>
      </c>
      <c r="E367">
        <f t="shared" si="62"/>
        <v>-0.43509872808248701</v>
      </c>
      <c r="F367">
        <f t="shared" si="63"/>
        <v>1.3390961924653497</v>
      </c>
      <c r="G367">
        <f t="shared" ca="1" si="64"/>
        <v>142.35502807995306</v>
      </c>
      <c r="H367">
        <f t="shared" ca="1" si="65"/>
        <v>47.300791643490655</v>
      </c>
      <c r="I367">
        <f t="shared" ca="1" si="66"/>
        <v>150.0077294999999</v>
      </c>
      <c r="J367">
        <f t="shared" ca="1" si="67"/>
        <v>71.619724391352804</v>
      </c>
    </row>
    <row r="368" spans="1:10" x14ac:dyDescent="0.25">
      <c r="A368">
        <f t="shared" si="60"/>
        <v>0.29750000000000004</v>
      </c>
      <c r="B368">
        <f t="shared" si="69"/>
        <v>64.21587018541338</v>
      </c>
      <c r="C368">
        <f t="shared" si="68"/>
        <v>0.5877852522924768</v>
      </c>
      <c r="D368">
        <f t="shared" si="61"/>
        <v>-0.80901699437494479</v>
      </c>
      <c r="E368">
        <f t="shared" si="62"/>
        <v>37.745141458114141</v>
      </c>
      <c r="F368">
        <f t="shared" si="63"/>
        <v>-51.951730288574758</v>
      </c>
      <c r="G368">
        <f t="shared" ca="1" si="64"/>
        <v>142.35502807995334</v>
      </c>
      <c r="H368">
        <f t="shared" ca="1" si="65"/>
        <v>47.30079164349047</v>
      </c>
      <c r="I368">
        <f t="shared" ca="1" si="66"/>
        <v>150.0077295000001</v>
      </c>
      <c r="J368">
        <f t="shared" ca="1" si="67"/>
        <v>71.619724391352904</v>
      </c>
    </row>
    <row r="369" spans="1:10" x14ac:dyDescent="0.25">
      <c r="A369">
        <f t="shared" si="60"/>
        <v>0.29833333333333334</v>
      </c>
      <c r="B369">
        <f t="shared" si="69"/>
        <v>123.55385263979822</v>
      </c>
      <c r="C369">
        <f t="shared" si="68"/>
        <v>0.80901699437494279</v>
      </c>
      <c r="D369">
        <f t="shared" si="61"/>
        <v>-0.58778525229247958</v>
      </c>
      <c r="E369">
        <f t="shared" si="62"/>
        <v>99.957166506094154</v>
      </c>
      <c r="F369">
        <f t="shared" si="63"/>
        <v>-72.623132445591636</v>
      </c>
      <c r="G369">
        <f t="shared" ca="1" si="64"/>
        <v>142.35502807995343</v>
      </c>
      <c r="H369">
        <f t="shared" ca="1" si="65"/>
        <v>47.300791643490477</v>
      </c>
      <c r="I369">
        <f t="shared" ca="1" si="66"/>
        <v>150.00772950000021</v>
      </c>
      <c r="J369">
        <f t="shared" ca="1" si="67"/>
        <v>71.619724391352918</v>
      </c>
    </row>
    <row r="370" spans="1:10" x14ac:dyDescent="0.25">
      <c r="A370">
        <f t="shared" si="60"/>
        <v>0.29916666666666669</v>
      </c>
      <c r="B370">
        <f t="shared" si="69"/>
        <v>170.79752314749189</v>
      </c>
      <c r="C370">
        <f t="shared" si="68"/>
        <v>0.95105651629515164</v>
      </c>
      <c r="D370">
        <f t="shared" si="61"/>
        <v>-0.30901699437495328</v>
      </c>
      <c r="E370">
        <f t="shared" si="62"/>
        <v>162.43809735649415</v>
      </c>
      <c r="F370">
        <f t="shared" si="63"/>
        <v>-52.779337249724456</v>
      </c>
      <c r="G370">
        <f t="shared" ca="1" si="64"/>
        <v>142.35502807995334</v>
      </c>
      <c r="H370">
        <f t="shared" ca="1" si="65"/>
        <v>47.300791643490406</v>
      </c>
      <c r="I370">
        <f t="shared" ca="1" si="66"/>
        <v>150.0077295000001</v>
      </c>
      <c r="J370">
        <f t="shared" ca="1" si="67"/>
        <v>71.619724391352932</v>
      </c>
    </row>
    <row r="371" spans="1:10" x14ac:dyDescent="0.25">
      <c r="A371">
        <f t="shared" si="60"/>
        <v>0.30000000000000004</v>
      </c>
      <c r="B371">
        <f t="shared" si="69"/>
        <v>201.32234207319149</v>
      </c>
      <c r="C371">
        <f t="shared" si="68"/>
        <v>1</v>
      </c>
      <c r="D371">
        <f t="shared" si="61"/>
        <v>9.8003202775309717E-15</v>
      </c>
      <c r="E371">
        <f t="shared" si="62"/>
        <v>201.32234207319149</v>
      </c>
      <c r="F371">
        <f t="shared" si="63"/>
        <v>1.9730234313399254E-12</v>
      </c>
      <c r="G371">
        <f t="shared" ca="1" si="64"/>
        <v>142.35502807995346</v>
      </c>
      <c r="H371">
        <f t="shared" ca="1" si="65"/>
        <v>47.300791643490705</v>
      </c>
      <c r="I371">
        <f t="shared" ca="1" si="66"/>
        <v>150.00772950000029</v>
      </c>
      <c r="J371">
        <f t="shared" ca="1" si="67"/>
        <v>71.619724391352833</v>
      </c>
    </row>
    <row r="372" spans="1:10" x14ac:dyDescent="0.25">
      <c r="A372">
        <f t="shared" si="60"/>
        <v>0.30083333333333334</v>
      </c>
      <c r="B372">
        <f t="shared" si="69"/>
        <v>212.14032746152753</v>
      </c>
      <c r="C372">
        <f t="shared" si="68"/>
        <v>0.95105651629515875</v>
      </c>
      <c r="D372">
        <f t="shared" si="61"/>
        <v>0.30901699437493141</v>
      </c>
      <c r="E372">
        <f t="shared" si="62"/>
        <v>201.75744080127458</v>
      </c>
      <c r="F372">
        <f t="shared" si="63"/>
        <v>65.554966377874962</v>
      </c>
      <c r="G372">
        <f t="shared" ca="1" si="64"/>
        <v>142.35502807995348</v>
      </c>
      <c r="H372">
        <f t="shared" ca="1" si="65"/>
        <v>47.300791643490605</v>
      </c>
      <c r="I372">
        <f t="shared" ca="1" si="66"/>
        <v>150.00772950000029</v>
      </c>
      <c r="J372">
        <f t="shared" ca="1" si="67"/>
        <v>71.619724391352861</v>
      </c>
    </row>
    <row r="373" spans="1:10" x14ac:dyDescent="0.25">
      <c r="A373">
        <f t="shared" si="60"/>
        <v>0.30166666666666669</v>
      </c>
      <c r="B373">
        <f t="shared" si="69"/>
        <v>202.19253952935622</v>
      </c>
      <c r="C373">
        <f t="shared" si="68"/>
        <v>0.8090169943749479</v>
      </c>
      <c r="D373">
        <f t="shared" si="61"/>
        <v>0.58778525229247236</v>
      </c>
      <c r="E373">
        <f t="shared" si="62"/>
        <v>163.5772006150776</v>
      </c>
      <c r="F373">
        <f t="shared" si="63"/>
        <v>118.84579285891834</v>
      </c>
      <c r="G373">
        <f t="shared" ca="1" si="64"/>
        <v>142.35502807995357</v>
      </c>
      <c r="H373">
        <f t="shared" ca="1" si="65"/>
        <v>47.300791643490534</v>
      </c>
      <c r="I373">
        <f t="shared" ca="1" si="66"/>
        <v>150.00772950000035</v>
      </c>
      <c r="J373">
        <f t="shared" ca="1" si="67"/>
        <v>71.619724391352904</v>
      </c>
    </row>
    <row r="374" spans="1:10" x14ac:dyDescent="0.25">
      <c r="A374">
        <f t="shared" si="60"/>
        <v>0.30250000000000005</v>
      </c>
      <c r="B374">
        <f t="shared" si="69"/>
        <v>172.45273706979154</v>
      </c>
      <c r="C374">
        <f t="shared" si="68"/>
        <v>0.58778525229247247</v>
      </c>
      <c r="D374">
        <f t="shared" si="61"/>
        <v>0.8090169943749479</v>
      </c>
      <c r="E374">
        <f t="shared" si="62"/>
        <v>101.36517556709484</v>
      </c>
      <c r="F374">
        <f t="shared" si="63"/>
        <v>139.5171950159359</v>
      </c>
      <c r="G374">
        <f t="shared" ca="1" si="64"/>
        <v>142.35502807995326</v>
      </c>
      <c r="H374">
        <f t="shared" ca="1" si="65"/>
        <v>47.300791643490541</v>
      </c>
      <c r="I374">
        <f t="shared" ca="1" si="66"/>
        <v>150.00772950000004</v>
      </c>
      <c r="J374">
        <f t="shared" ca="1" si="67"/>
        <v>71.619724391352861</v>
      </c>
    </row>
    <row r="375" spans="1:10" x14ac:dyDescent="0.25">
      <c r="A375">
        <f t="shared" si="60"/>
        <v>0.30333333333333334</v>
      </c>
      <c r="B375">
        <f t="shared" si="69"/>
        <v>125.8320591569661</v>
      </c>
      <c r="C375">
        <f t="shared" si="68"/>
        <v>0.30901699437495844</v>
      </c>
      <c r="D375">
        <f t="shared" si="61"/>
        <v>0.95105651629514998</v>
      </c>
      <c r="E375">
        <f t="shared" si="62"/>
        <v>38.88424471669763</v>
      </c>
      <c r="F375">
        <f t="shared" si="63"/>
        <v>119.67339982006941</v>
      </c>
      <c r="G375">
        <f t="shared" ca="1" si="64"/>
        <v>142.35502807995334</v>
      </c>
      <c r="H375">
        <f t="shared" ca="1" si="65"/>
        <v>47.300791643490598</v>
      </c>
      <c r="I375">
        <f t="shared" ca="1" si="66"/>
        <v>150.00772950000015</v>
      </c>
      <c r="J375">
        <f t="shared" ca="1" si="67"/>
        <v>71.619724391352847</v>
      </c>
    </row>
    <row r="376" spans="1:10" x14ac:dyDescent="0.25">
      <c r="A376">
        <f t="shared" si="60"/>
        <v>0.3041666666666667</v>
      </c>
      <c r="B376">
        <f t="shared" si="69"/>
        <v>66.89406257034338</v>
      </c>
      <c r="C376">
        <f t="shared" si="68"/>
        <v>-4.4099923365847893E-15</v>
      </c>
      <c r="D376">
        <f t="shared" si="61"/>
        <v>1</v>
      </c>
      <c r="E376">
        <f t="shared" si="62"/>
        <v>-2.9500230329823771E-13</v>
      </c>
      <c r="F376">
        <f t="shared" si="63"/>
        <v>66.89406257034338</v>
      </c>
      <c r="G376">
        <f t="shared" ca="1" si="64"/>
        <v>142.35502807995329</v>
      </c>
      <c r="H376">
        <f t="shared" ca="1" si="65"/>
        <v>47.300791643490506</v>
      </c>
      <c r="I376">
        <f t="shared" ca="1" si="66"/>
        <v>150.00772950000007</v>
      </c>
      <c r="J376">
        <f t="shared" ca="1" si="67"/>
        <v>71.619724391352875</v>
      </c>
    </row>
    <row r="377" spans="1:10" x14ac:dyDescent="0.25">
      <c r="A377">
        <f t="shared" si="60"/>
        <v>0.30499999999999999</v>
      </c>
      <c r="B377">
        <f t="shared" si="69"/>
        <v>1.4080090610039144</v>
      </c>
      <c r="C377">
        <f t="shared" si="68"/>
        <v>-0.30901699437492625</v>
      </c>
      <c r="D377">
        <f t="shared" si="61"/>
        <v>0.95105651629516041</v>
      </c>
      <c r="E377">
        <f t="shared" si="62"/>
        <v>-0.43509872808409183</v>
      </c>
      <c r="F377">
        <f t="shared" si="63"/>
        <v>1.3390961924704028</v>
      </c>
      <c r="G377">
        <f t="shared" ca="1" si="64"/>
        <v>142.35502807995326</v>
      </c>
      <c r="H377">
        <f t="shared" ca="1" si="65"/>
        <v>47.300791643490605</v>
      </c>
      <c r="I377">
        <f t="shared" ca="1" si="66"/>
        <v>150.00772950000007</v>
      </c>
      <c r="J377">
        <f t="shared" ca="1" si="67"/>
        <v>71.619724391352847</v>
      </c>
    </row>
    <row r="378" spans="1:10" x14ac:dyDescent="0.25">
      <c r="A378">
        <f t="shared" si="60"/>
        <v>0.30583333333333335</v>
      </c>
      <c r="B378">
        <f t="shared" si="69"/>
        <v>-64.215870185411191</v>
      </c>
      <c r="C378">
        <f t="shared" si="68"/>
        <v>-0.58778525229246803</v>
      </c>
      <c r="D378">
        <f t="shared" si="61"/>
        <v>0.80901699437495111</v>
      </c>
      <c r="E378">
        <f t="shared" si="62"/>
        <v>37.745141458112293</v>
      </c>
      <c r="F378">
        <f t="shared" si="63"/>
        <v>-51.951730288573394</v>
      </c>
      <c r="G378">
        <f t="shared" ca="1" si="64"/>
        <v>142.35502807995337</v>
      </c>
      <c r="H378">
        <f t="shared" ca="1" si="65"/>
        <v>47.300791643490562</v>
      </c>
      <c r="I378">
        <f t="shared" ca="1" si="66"/>
        <v>150.00772950000015</v>
      </c>
      <c r="J378">
        <f t="shared" ca="1" si="67"/>
        <v>71.619724391352875</v>
      </c>
    </row>
    <row r="379" spans="1:10" x14ac:dyDescent="0.25">
      <c r="A379">
        <f t="shared" si="60"/>
        <v>0.3066666666666667</v>
      </c>
      <c r="B379">
        <f t="shared" si="69"/>
        <v>-123.55385263979881</v>
      </c>
      <c r="C379">
        <f t="shared" si="68"/>
        <v>-0.80901699437494479</v>
      </c>
      <c r="D379">
        <f t="shared" si="61"/>
        <v>0.5877852522924768</v>
      </c>
      <c r="E379">
        <f t="shared" si="62"/>
        <v>99.957166506094865</v>
      </c>
      <c r="F379">
        <f t="shared" si="63"/>
        <v>-72.623132445591636</v>
      </c>
      <c r="G379">
        <f t="shared" ca="1" si="64"/>
        <v>142.35502807995326</v>
      </c>
      <c r="H379">
        <f t="shared" ca="1" si="65"/>
        <v>47.300791643490562</v>
      </c>
      <c r="I379">
        <f t="shared" ca="1" si="66"/>
        <v>150.00772950000007</v>
      </c>
      <c r="J379">
        <f t="shared" ca="1" si="67"/>
        <v>71.619724391352847</v>
      </c>
    </row>
    <row r="380" spans="1:10" x14ac:dyDescent="0.25">
      <c r="A380">
        <f t="shared" si="60"/>
        <v>0.3075</v>
      </c>
      <c r="B380">
        <f t="shared" si="69"/>
        <v>-170.79752314749052</v>
      </c>
      <c r="C380">
        <f t="shared" si="68"/>
        <v>-0.95105651629514831</v>
      </c>
      <c r="D380">
        <f t="shared" si="61"/>
        <v>0.30901699437496355</v>
      </c>
      <c r="E380">
        <f t="shared" si="62"/>
        <v>162.43809735649228</v>
      </c>
      <c r="F380">
        <f t="shared" si="63"/>
        <v>-52.779337249725785</v>
      </c>
      <c r="G380">
        <f t="shared" ca="1" si="64"/>
        <v>142.35502807995314</v>
      </c>
      <c r="H380">
        <f t="shared" ca="1" si="65"/>
        <v>47.300791643490498</v>
      </c>
      <c r="I380">
        <f t="shared" ca="1" si="66"/>
        <v>150.00772949999993</v>
      </c>
      <c r="J380">
        <f t="shared" ca="1" si="67"/>
        <v>71.619724391352861</v>
      </c>
    </row>
    <row r="381" spans="1:10" x14ac:dyDescent="0.25">
      <c r="A381">
        <f t="shared" si="60"/>
        <v>0.30833333333333335</v>
      </c>
      <c r="B381">
        <f t="shared" si="69"/>
        <v>-201.32234207319078</v>
      </c>
      <c r="C381">
        <f t="shared" si="68"/>
        <v>-1</v>
      </c>
      <c r="D381">
        <f t="shared" si="61"/>
        <v>9.8033560436139311E-16</v>
      </c>
      <c r="E381">
        <f t="shared" si="62"/>
        <v>201.32234207319078</v>
      </c>
      <c r="F381">
        <f t="shared" si="63"/>
        <v>-1.973634598877726E-13</v>
      </c>
      <c r="G381">
        <f t="shared" ca="1" si="64"/>
        <v>142.3550280799532</v>
      </c>
      <c r="H381">
        <f t="shared" ca="1" si="65"/>
        <v>47.300791643490591</v>
      </c>
      <c r="I381">
        <f t="shared" ca="1" si="66"/>
        <v>150.00772950000001</v>
      </c>
      <c r="J381">
        <f t="shared" ca="1" si="67"/>
        <v>71.619724391352847</v>
      </c>
    </row>
    <row r="382" spans="1:10" x14ac:dyDescent="0.25">
      <c r="A382">
        <f t="shared" si="60"/>
        <v>0.3091666666666667</v>
      </c>
      <c r="B382">
        <f t="shared" si="69"/>
        <v>-212.14032746152756</v>
      </c>
      <c r="C382">
        <f t="shared" si="68"/>
        <v>-0.95105651629515331</v>
      </c>
      <c r="D382">
        <f t="shared" si="61"/>
        <v>-0.30901699437494817</v>
      </c>
      <c r="E382">
        <f t="shared" si="62"/>
        <v>201.75744080127345</v>
      </c>
      <c r="F382">
        <f t="shared" si="63"/>
        <v>65.554966377878529</v>
      </c>
      <c r="G382">
        <f t="shared" ca="1" si="64"/>
        <v>142.35502807995323</v>
      </c>
      <c r="H382">
        <f t="shared" ca="1" si="65"/>
        <v>47.300791643490484</v>
      </c>
      <c r="I382">
        <f t="shared" ca="1" si="66"/>
        <v>150.00772950000001</v>
      </c>
      <c r="J382">
        <f t="shared" ca="1" si="67"/>
        <v>71.619724391352875</v>
      </c>
    </row>
    <row r="383" spans="1:10" x14ac:dyDescent="0.25">
      <c r="A383">
        <f t="shared" si="60"/>
        <v>0.31</v>
      </c>
      <c r="B383">
        <f t="shared" si="69"/>
        <v>-202.19253952935691</v>
      </c>
      <c r="C383">
        <f t="shared" si="68"/>
        <v>-0.80901699437495433</v>
      </c>
      <c r="D383">
        <f t="shared" si="61"/>
        <v>-0.5877852522924637</v>
      </c>
      <c r="E383">
        <f t="shared" si="62"/>
        <v>163.57720061507948</v>
      </c>
      <c r="F383">
        <f t="shared" si="63"/>
        <v>118.84579285891699</v>
      </c>
      <c r="G383">
        <f t="shared" ca="1" si="64"/>
        <v>142.35502807995314</v>
      </c>
      <c r="H383">
        <f t="shared" ca="1" si="65"/>
        <v>47.300791643490541</v>
      </c>
      <c r="I383">
        <f t="shared" ca="1" si="66"/>
        <v>150.00772949999993</v>
      </c>
      <c r="J383">
        <f t="shared" ca="1" si="67"/>
        <v>71.619724391352847</v>
      </c>
    </row>
    <row r="384" spans="1:10" x14ac:dyDescent="0.25">
      <c r="A384">
        <f t="shared" si="60"/>
        <v>0.31083333333333335</v>
      </c>
      <c r="B384">
        <f t="shared" si="69"/>
        <v>-172.45273706979287</v>
      </c>
      <c r="C384">
        <f t="shared" si="68"/>
        <v>-0.58778525229248113</v>
      </c>
      <c r="D384">
        <f t="shared" si="61"/>
        <v>-0.80901699437494157</v>
      </c>
      <c r="E384">
        <f t="shared" si="62"/>
        <v>101.36517556709711</v>
      </c>
      <c r="F384">
        <f t="shared" si="63"/>
        <v>139.5171950159359</v>
      </c>
      <c r="G384">
        <f t="shared" ca="1" si="64"/>
        <v>142.35502807995326</v>
      </c>
      <c r="H384">
        <f t="shared" ca="1" si="65"/>
        <v>47.300791643490541</v>
      </c>
      <c r="I384">
        <f t="shared" ca="1" si="66"/>
        <v>150.00772950000004</v>
      </c>
      <c r="J384">
        <f t="shared" ca="1" si="67"/>
        <v>71.619724391352861</v>
      </c>
    </row>
    <row r="385" spans="1:10" x14ac:dyDescent="0.25">
      <c r="A385">
        <f t="shared" si="60"/>
        <v>0.3116666666666667</v>
      </c>
      <c r="B385">
        <f t="shared" si="69"/>
        <v>-125.83205915696307</v>
      </c>
      <c r="C385">
        <f t="shared" si="68"/>
        <v>-0.30901699437494162</v>
      </c>
      <c r="D385">
        <f t="shared" si="61"/>
        <v>-0.95105651629515542</v>
      </c>
      <c r="E385">
        <f t="shared" si="62"/>
        <v>38.884244716694582</v>
      </c>
      <c r="F385">
        <f t="shared" si="63"/>
        <v>119.6733998200672</v>
      </c>
      <c r="G385">
        <f t="shared" ca="1" si="64"/>
        <v>142.35502807995317</v>
      </c>
      <c r="H385">
        <f t="shared" ca="1" si="65"/>
        <v>47.30079164349047</v>
      </c>
      <c r="I385">
        <f t="shared" ca="1" si="66"/>
        <v>150.00772949999995</v>
      </c>
      <c r="J385">
        <f t="shared" ca="1" si="67"/>
        <v>71.619724391352875</v>
      </c>
    </row>
    <row r="386" spans="1:10" x14ac:dyDescent="0.25">
      <c r="A386">
        <f t="shared" si="60"/>
        <v>0.3125</v>
      </c>
      <c r="B386">
        <f t="shared" si="69"/>
        <v>-66.894062570345554</v>
      </c>
      <c r="C386">
        <f t="shared" si="68"/>
        <v>-6.3706635453075755E-15</v>
      </c>
      <c r="D386">
        <f t="shared" si="61"/>
        <v>-1</v>
      </c>
      <c r="E386">
        <f t="shared" si="62"/>
        <v>4.2615956581442439E-13</v>
      </c>
      <c r="F386">
        <f t="shared" si="63"/>
        <v>66.894062570345554</v>
      </c>
      <c r="G386">
        <f t="shared" ca="1" si="64"/>
        <v>142.35502807995314</v>
      </c>
      <c r="H386">
        <f t="shared" ca="1" si="65"/>
        <v>47.300791643490378</v>
      </c>
      <c r="I386">
        <f t="shared" ca="1" si="66"/>
        <v>150.0077294999999</v>
      </c>
      <c r="J386">
        <f t="shared" ca="1" si="67"/>
        <v>71.619724391352918</v>
      </c>
    </row>
    <row r="387" spans="1:10" x14ac:dyDescent="0.25">
      <c r="A387">
        <f t="shared" si="60"/>
        <v>0.31333333333333335</v>
      </c>
      <c r="B387">
        <f t="shared" si="69"/>
        <v>-1.4080090610001719</v>
      </c>
      <c r="C387">
        <f t="shared" si="68"/>
        <v>0.30901699437494307</v>
      </c>
      <c r="D387">
        <f t="shared" si="61"/>
        <v>-0.95105651629515497</v>
      </c>
      <c r="E387">
        <f t="shared" si="62"/>
        <v>-0.43509872808295896</v>
      </c>
      <c r="F387">
        <f t="shared" si="63"/>
        <v>1.3390961924668359</v>
      </c>
      <c r="G387">
        <f t="shared" ca="1" si="64"/>
        <v>142.35502807995312</v>
      </c>
      <c r="H387">
        <f t="shared" ca="1" si="65"/>
        <v>47.300791643490484</v>
      </c>
      <c r="I387">
        <f t="shared" ca="1" si="66"/>
        <v>150.0077294999999</v>
      </c>
      <c r="J387">
        <f t="shared" ca="1" si="67"/>
        <v>71.619724391352861</v>
      </c>
    </row>
    <row r="388" spans="1:10" x14ac:dyDescent="0.25">
      <c r="A388">
        <f t="shared" si="60"/>
        <v>0.31416666666666671</v>
      </c>
      <c r="B388">
        <f t="shared" si="69"/>
        <v>64.215870185411887</v>
      </c>
      <c r="C388">
        <f t="shared" si="68"/>
        <v>0.58778525229247081</v>
      </c>
      <c r="D388">
        <f t="shared" si="61"/>
        <v>-0.80901699437494912</v>
      </c>
      <c r="E388">
        <f t="shared" si="62"/>
        <v>37.745141458112883</v>
      </c>
      <c r="F388">
        <f t="shared" si="63"/>
        <v>-51.951730288573835</v>
      </c>
      <c r="G388">
        <f t="shared" ca="1" si="64"/>
        <v>142.35502807995303</v>
      </c>
      <c r="H388">
        <f t="shared" ca="1" si="65"/>
        <v>47.300791643490555</v>
      </c>
      <c r="I388">
        <f t="shared" ca="1" si="66"/>
        <v>150.00772949999984</v>
      </c>
      <c r="J388">
        <f t="shared" ca="1" si="67"/>
        <v>71.619724391352847</v>
      </c>
    </row>
    <row r="389" spans="1:10" x14ac:dyDescent="0.25">
      <c r="A389">
        <f t="shared" si="60"/>
        <v>0.315</v>
      </c>
      <c r="B389">
        <f t="shared" si="69"/>
        <v>123.55385263979694</v>
      </c>
      <c r="C389">
        <f t="shared" si="68"/>
        <v>0.80901699437493846</v>
      </c>
      <c r="D389">
        <f t="shared" si="61"/>
        <v>-0.58778525229248546</v>
      </c>
      <c r="E389">
        <f t="shared" si="62"/>
        <v>99.957166506092577</v>
      </c>
      <c r="F389">
        <f t="shared" si="63"/>
        <v>-72.623132445591622</v>
      </c>
      <c r="G389">
        <f t="shared" ca="1" si="64"/>
        <v>142.35502807995289</v>
      </c>
      <c r="H389">
        <f t="shared" ca="1" si="65"/>
        <v>47.300791643490562</v>
      </c>
      <c r="I389">
        <f t="shared" ca="1" si="66"/>
        <v>150.0077294999997</v>
      </c>
      <c r="J389">
        <f t="shared" ca="1" si="67"/>
        <v>71.619724391352818</v>
      </c>
    </row>
    <row r="390" spans="1:10" x14ac:dyDescent="0.25">
      <c r="A390">
        <f t="shared" si="60"/>
        <v>0.31583333333333335</v>
      </c>
      <c r="B390">
        <f t="shared" si="69"/>
        <v>170.79752314749274</v>
      </c>
      <c r="C390">
        <f t="shared" si="68"/>
        <v>0.95105651629515375</v>
      </c>
      <c r="D390">
        <f t="shared" si="61"/>
        <v>-0.30901699437494679</v>
      </c>
      <c r="E390">
        <f t="shared" si="62"/>
        <v>162.43809735649532</v>
      </c>
      <c r="F390">
        <f t="shared" si="63"/>
        <v>-52.779337249723611</v>
      </c>
      <c r="G390">
        <f t="shared" ca="1" si="64"/>
        <v>142.35502807995297</v>
      </c>
      <c r="H390">
        <f t="shared" ca="1" si="65"/>
        <v>47.300791643490619</v>
      </c>
      <c r="I390">
        <f t="shared" ca="1" si="66"/>
        <v>150.00772949999981</v>
      </c>
      <c r="J390">
        <f t="shared" ca="1" si="67"/>
        <v>71.619724391352804</v>
      </c>
    </row>
    <row r="391" spans="1:10" x14ac:dyDescent="0.25">
      <c r="A391">
        <f t="shared" si="60"/>
        <v>0.31666666666666671</v>
      </c>
      <c r="B391">
        <f t="shared" si="69"/>
        <v>201.32234207319101</v>
      </c>
      <c r="C391">
        <f t="shared" si="68"/>
        <v>1</v>
      </c>
      <c r="D391">
        <f t="shared" si="61"/>
        <v>2.4498632289482458E-15</v>
      </c>
      <c r="E391">
        <f t="shared" si="62"/>
        <v>201.32234207319101</v>
      </c>
      <c r="F391">
        <f t="shared" si="63"/>
        <v>4.9321220301085103E-13</v>
      </c>
      <c r="G391">
        <f t="shared" ca="1" si="64"/>
        <v>142.35502807995297</v>
      </c>
      <c r="H391">
        <f t="shared" ca="1" si="65"/>
        <v>47.300791643490506</v>
      </c>
      <c r="I391">
        <f t="shared" ca="1" si="66"/>
        <v>150.00772949999975</v>
      </c>
      <c r="J391">
        <f t="shared" ca="1" si="67"/>
        <v>71.619724391352847</v>
      </c>
    </row>
    <row r="392" spans="1:10" x14ac:dyDescent="0.25">
      <c r="A392">
        <f t="shared" si="60"/>
        <v>0.3175</v>
      </c>
      <c r="B392">
        <f t="shared" si="69"/>
        <v>212.14032746152753</v>
      </c>
      <c r="C392">
        <f t="shared" si="68"/>
        <v>0.95105651629515664</v>
      </c>
      <c r="D392">
        <f t="shared" si="61"/>
        <v>0.3090169943749379</v>
      </c>
      <c r="E392">
        <f t="shared" si="62"/>
        <v>201.75744080127413</v>
      </c>
      <c r="F392">
        <f t="shared" si="63"/>
        <v>65.55496637787634</v>
      </c>
      <c r="G392">
        <f t="shared" ca="1" si="64"/>
        <v>142.35502807995294</v>
      </c>
      <c r="H392">
        <f t="shared" ca="1" si="65"/>
        <v>47.300791643490598</v>
      </c>
      <c r="I392">
        <f t="shared" ca="1" si="66"/>
        <v>150.00772949999978</v>
      </c>
      <c r="J392">
        <f t="shared" ca="1" si="67"/>
        <v>71.619724391352804</v>
      </c>
    </row>
    <row r="393" spans="1:10" x14ac:dyDescent="0.25">
      <c r="A393">
        <f t="shared" si="60"/>
        <v>0.31833333333333336</v>
      </c>
      <c r="B393">
        <f t="shared" si="69"/>
        <v>202.19253952935671</v>
      </c>
      <c r="C393">
        <f t="shared" si="68"/>
        <v>0.80901699437495223</v>
      </c>
      <c r="D393">
        <f t="shared" si="61"/>
        <v>0.58778525229246648</v>
      </c>
      <c r="E393">
        <f t="shared" si="62"/>
        <v>163.57720061507888</v>
      </c>
      <c r="F393">
        <f t="shared" si="63"/>
        <v>118.84579285891743</v>
      </c>
      <c r="G393">
        <f t="shared" ca="1" si="64"/>
        <v>142.35502807995303</v>
      </c>
      <c r="H393">
        <f t="shared" ca="1" si="65"/>
        <v>47.300791643490541</v>
      </c>
      <c r="I393">
        <f t="shared" ca="1" si="66"/>
        <v>150.00772949999981</v>
      </c>
      <c r="J393">
        <f t="shared" ca="1" si="67"/>
        <v>71.619724391352847</v>
      </c>
    </row>
    <row r="394" spans="1:10" x14ac:dyDescent="0.25">
      <c r="A394">
        <f t="shared" si="60"/>
        <v>0.31916666666666671</v>
      </c>
      <c r="B394">
        <f t="shared" si="69"/>
        <v>172.45273706979071</v>
      </c>
      <c r="C394">
        <f t="shared" si="68"/>
        <v>0.58778525229246692</v>
      </c>
      <c r="D394">
        <f t="shared" si="61"/>
        <v>0.809016994374952</v>
      </c>
      <c r="E394">
        <f t="shared" si="62"/>
        <v>101.3651755670934</v>
      </c>
      <c r="F394">
        <f t="shared" si="63"/>
        <v>139.51719501593595</v>
      </c>
      <c r="G394">
        <f t="shared" ca="1" si="64"/>
        <v>142.35502807995292</v>
      </c>
      <c r="H394">
        <f t="shared" ca="1" si="65"/>
        <v>47.300791643490555</v>
      </c>
      <c r="I394">
        <f t="shared" ca="1" si="66"/>
        <v>150.00772949999973</v>
      </c>
      <c r="J394">
        <f t="shared" ca="1" si="67"/>
        <v>71.619724391352818</v>
      </c>
    </row>
    <row r="395" spans="1:10" x14ac:dyDescent="0.25">
      <c r="A395">
        <f t="shared" si="60"/>
        <v>0.32</v>
      </c>
      <c r="B395">
        <f t="shared" si="69"/>
        <v>125.83205915696492</v>
      </c>
      <c r="C395">
        <f t="shared" si="68"/>
        <v>0.30901699437495189</v>
      </c>
      <c r="D395">
        <f t="shared" si="61"/>
        <v>0.95105651629515209</v>
      </c>
      <c r="E395">
        <f t="shared" si="62"/>
        <v>38.884244716696443</v>
      </c>
      <c r="F395">
        <f t="shared" si="63"/>
        <v>119.67339982006854</v>
      </c>
      <c r="G395">
        <f t="shared" ca="1" si="64"/>
        <v>142.35502807995286</v>
      </c>
      <c r="H395">
        <f t="shared" ca="1" si="65"/>
        <v>47.300791643490484</v>
      </c>
      <c r="I395">
        <f t="shared" ca="1" si="66"/>
        <v>150.00772949999964</v>
      </c>
      <c r="J395">
        <f t="shared" ca="1" si="67"/>
        <v>71.619724391352847</v>
      </c>
    </row>
    <row r="396" spans="1:10" x14ac:dyDescent="0.25">
      <c r="A396">
        <f t="shared" ref="A396:A459" si="70">(ROW($A396)-ROW($A$11))*$B$4+$B$5</f>
        <v>0.32083333333333336</v>
      </c>
      <c r="B396">
        <f t="shared" si="69"/>
        <v>66.894062570344872</v>
      </c>
      <c r="C396">
        <f t="shared" si="68"/>
        <v>2.9404647119979366E-15</v>
      </c>
      <c r="D396">
        <f t="shared" ref="D396:D459" si="71">SIN(($A396-$B$5)*$C$1)</f>
        <v>1</v>
      </c>
      <c r="E396">
        <f t="shared" si="62"/>
        <v>1.9669963043028108E-13</v>
      </c>
      <c r="F396">
        <f t="shared" si="63"/>
        <v>66.894062570344872</v>
      </c>
      <c r="G396">
        <f t="shared" ca="1" si="64"/>
        <v>142.35502807995286</v>
      </c>
      <c r="H396">
        <f t="shared" ca="1" si="65"/>
        <v>47.300791643490591</v>
      </c>
      <c r="I396">
        <f t="shared" ca="1" si="66"/>
        <v>150.00772949999967</v>
      </c>
      <c r="J396">
        <f t="shared" ca="1" si="67"/>
        <v>71.619724391352804</v>
      </c>
    </row>
    <row r="397" spans="1:10" x14ac:dyDescent="0.25">
      <c r="A397">
        <f t="shared" si="70"/>
        <v>0.32166666666666671</v>
      </c>
      <c r="B397">
        <f t="shared" si="69"/>
        <v>1.4080090609994445</v>
      </c>
      <c r="C397">
        <f t="shared" si="68"/>
        <v>-0.30901699437494629</v>
      </c>
      <c r="D397">
        <f t="shared" si="71"/>
        <v>0.95105651629515398</v>
      </c>
      <c r="E397">
        <f t="shared" si="62"/>
        <v>-0.43509872808273875</v>
      </c>
      <c r="F397">
        <f t="shared" si="63"/>
        <v>1.3390961924661426</v>
      </c>
      <c r="G397">
        <f t="shared" ca="1" si="64"/>
        <v>142.35502807995297</v>
      </c>
      <c r="H397">
        <f t="shared" ca="1" si="65"/>
        <v>47.300791643490292</v>
      </c>
      <c r="I397">
        <f t="shared" ca="1" si="66"/>
        <v>150.0077294999997</v>
      </c>
      <c r="J397">
        <f t="shared" ca="1" si="67"/>
        <v>71.619724391352932</v>
      </c>
    </row>
    <row r="398" spans="1:10" x14ac:dyDescent="0.25">
      <c r="A398">
        <f t="shared" si="70"/>
        <v>0.32250000000000001</v>
      </c>
      <c r="B398">
        <f t="shared" si="69"/>
        <v>-64.215870185409713</v>
      </c>
      <c r="C398">
        <f t="shared" si="68"/>
        <v>-0.58778525229246215</v>
      </c>
      <c r="D398">
        <f t="shared" si="71"/>
        <v>0.80901699437495544</v>
      </c>
      <c r="E398">
        <f t="shared" si="62"/>
        <v>37.745141458111043</v>
      </c>
      <c r="F398">
        <f t="shared" si="63"/>
        <v>-51.951730288572477</v>
      </c>
      <c r="G398">
        <f t="shared" ca="1" si="64"/>
        <v>142.35502807995289</v>
      </c>
      <c r="H398">
        <f t="shared" ca="1" si="65"/>
        <v>47.300791643490371</v>
      </c>
      <c r="I398">
        <f t="shared" ca="1" si="66"/>
        <v>150.00772949999964</v>
      </c>
      <c r="J398">
        <f t="shared" ca="1" si="67"/>
        <v>71.619724391352875</v>
      </c>
    </row>
    <row r="399" spans="1:10" x14ac:dyDescent="0.25">
      <c r="A399">
        <f t="shared" si="70"/>
        <v>0.32333333333333336</v>
      </c>
      <c r="B399">
        <f t="shared" si="69"/>
        <v>-123.55385263979998</v>
      </c>
      <c r="C399">
        <f t="shared" si="68"/>
        <v>-0.80901699437494878</v>
      </c>
      <c r="D399">
        <f t="shared" si="71"/>
        <v>0.58778525229247125</v>
      </c>
      <c r="E399">
        <f t="shared" si="62"/>
        <v>99.957166506096314</v>
      </c>
      <c r="F399">
        <f t="shared" si="63"/>
        <v>-72.623132445591651</v>
      </c>
      <c r="G399">
        <f t="shared" ca="1" si="64"/>
        <v>142.355028079953</v>
      </c>
      <c r="H399">
        <f t="shared" ca="1" si="65"/>
        <v>47.300791643490371</v>
      </c>
      <c r="I399">
        <f t="shared" ca="1" si="66"/>
        <v>150.00772949999975</v>
      </c>
      <c r="J399">
        <f t="shared" ca="1" si="67"/>
        <v>71.619724391352904</v>
      </c>
    </row>
    <row r="400" spans="1:10" x14ac:dyDescent="0.25">
      <c r="A400">
        <f t="shared" si="70"/>
        <v>0.32416666666666671</v>
      </c>
      <c r="B400">
        <f t="shared" si="69"/>
        <v>-170.79752314749317</v>
      </c>
      <c r="C400">
        <f t="shared" si="68"/>
        <v>-0.95105651629515486</v>
      </c>
      <c r="D400">
        <f t="shared" si="71"/>
        <v>0.30901699437494351</v>
      </c>
      <c r="E400">
        <f t="shared" si="62"/>
        <v>162.43809735649592</v>
      </c>
      <c r="F400">
        <f t="shared" si="63"/>
        <v>-52.779337249723177</v>
      </c>
      <c r="G400">
        <f t="shared" ca="1" si="64"/>
        <v>142.35502807995326</v>
      </c>
      <c r="H400">
        <f t="shared" ca="1" si="65"/>
        <v>47.300791643490541</v>
      </c>
      <c r="I400">
        <f t="shared" ca="1" si="66"/>
        <v>150.00772950000004</v>
      </c>
      <c r="J400">
        <f t="shared" ca="1" si="67"/>
        <v>71.619724391352861</v>
      </c>
    </row>
    <row r="401" spans="1:10" x14ac:dyDescent="0.25">
      <c r="A401">
        <f t="shared" si="70"/>
        <v>0.32500000000000001</v>
      </c>
      <c r="B401">
        <f t="shared" si="69"/>
        <v>-201.32234207319027</v>
      </c>
      <c r="C401">
        <f t="shared" si="68"/>
        <v>-1</v>
      </c>
      <c r="D401">
        <f t="shared" si="71"/>
        <v>8.330792652944119E-15</v>
      </c>
      <c r="E401">
        <f t="shared" si="62"/>
        <v>201.32234207319027</v>
      </c>
      <c r="F401">
        <f t="shared" si="63"/>
        <v>-1.6771746882168361E-12</v>
      </c>
      <c r="G401">
        <f t="shared" ca="1" si="64"/>
        <v>142.35502807995323</v>
      </c>
      <c r="H401">
        <f t="shared" ca="1" si="65"/>
        <v>47.300791643490442</v>
      </c>
      <c r="I401">
        <f t="shared" ca="1" si="66"/>
        <v>150.00772949999998</v>
      </c>
      <c r="J401">
        <f t="shared" ca="1" si="67"/>
        <v>71.619724391352904</v>
      </c>
    </row>
    <row r="402" spans="1:10" x14ac:dyDescent="0.25">
      <c r="A402">
        <f t="shared" si="70"/>
        <v>0.32583333333333336</v>
      </c>
      <c r="B402">
        <f t="shared" si="69"/>
        <v>-212.14032746152756</v>
      </c>
      <c r="C402">
        <f t="shared" si="68"/>
        <v>-0.95105651629515564</v>
      </c>
      <c r="D402">
        <f t="shared" si="71"/>
        <v>-0.30901699437494118</v>
      </c>
      <c r="E402">
        <f t="shared" si="62"/>
        <v>201.75744080127393</v>
      </c>
      <c r="F402">
        <f t="shared" si="63"/>
        <v>65.554966377877037</v>
      </c>
      <c r="G402">
        <f t="shared" ca="1" si="64"/>
        <v>142.35502807995326</v>
      </c>
      <c r="H402">
        <f t="shared" ca="1" si="65"/>
        <v>47.300791643490335</v>
      </c>
      <c r="I402">
        <f t="shared" ca="1" si="66"/>
        <v>150.00772949999998</v>
      </c>
      <c r="J402">
        <f t="shared" ca="1" si="67"/>
        <v>71.619724391352946</v>
      </c>
    </row>
    <row r="403" spans="1:10" x14ac:dyDescent="0.25">
      <c r="A403">
        <f t="shared" si="70"/>
        <v>0.32666666666666666</v>
      </c>
      <c r="B403">
        <f t="shared" si="69"/>
        <v>-202.19253952935739</v>
      </c>
      <c r="C403">
        <f t="shared" si="68"/>
        <v>-0.80901699437495855</v>
      </c>
      <c r="D403">
        <f t="shared" si="71"/>
        <v>-0.58778525229245771</v>
      </c>
      <c r="E403">
        <f t="shared" si="62"/>
        <v>163.5772006150807</v>
      </c>
      <c r="F403">
        <f t="shared" si="63"/>
        <v>118.84579285891606</v>
      </c>
      <c r="G403">
        <f t="shared" ca="1" si="64"/>
        <v>142.35502807995334</v>
      </c>
      <c r="H403">
        <f t="shared" ca="1" si="65"/>
        <v>47.300791643490271</v>
      </c>
      <c r="I403">
        <f t="shared" ca="1" si="66"/>
        <v>150.00772950000004</v>
      </c>
      <c r="J403">
        <f t="shared" ca="1" si="67"/>
        <v>71.619724391352975</v>
      </c>
    </row>
    <row r="404" spans="1:10" x14ac:dyDescent="0.25">
      <c r="A404">
        <f t="shared" si="70"/>
        <v>0.32750000000000001</v>
      </c>
      <c r="B404">
        <f t="shared" si="69"/>
        <v>-172.45273706979202</v>
      </c>
      <c r="C404">
        <f t="shared" si="68"/>
        <v>-0.58778525229247558</v>
      </c>
      <c r="D404">
        <f t="shared" si="71"/>
        <v>-0.80901699437494567</v>
      </c>
      <c r="E404">
        <f t="shared" si="62"/>
        <v>101.36517556709566</v>
      </c>
      <c r="F404">
        <f t="shared" si="63"/>
        <v>139.51719501593593</v>
      </c>
      <c r="G404">
        <f t="shared" ca="1" si="64"/>
        <v>142.35502807995323</v>
      </c>
      <c r="H404">
        <f t="shared" ca="1" si="65"/>
        <v>47.300791643490264</v>
      </c>
      <c r="I404">
        <f t="shared" ca="1" si="66"/>
        <v>150.00772949999993</v>
      </c>
      <c r="J404">
        <f t="shared" ca="1" si="67"/>
        <v>71.61972439135296</v>
      </c>
    </row>
    <row r="405" spans="1:10" x14ac:dyDescent="0.25">
      <c r="A405">
        <f t="shared" si="70"/>
        <v>0.32833333333333337</v>
      </c>
      <c r="B405">
        <f t="shared" si="69"/>
        <v>-125.83205915696432</v>
      </c>
      <c r="C405">
        <f t="shared" si="68"/>
        <v>-0.30901699437494862</v>
      </c>
      <c r="D405">
        <f t="shared" si="71"/>
        <v>-0.9510565162951532</v>
      </c>
      <c r="E405">
        <f t="shared" si="62"/>
        <v>38.884244716695846</v>
      </c>
      <c r="F405">
        <f t="shared" si="63"/>
        <v>119.67339982006811</v>
      </c>
      <c r="G405">
        <f t="shared" ca="1" si="64"/>
        <v>142.35502807995334</v>
      </c>
      <c r="H405">
        <f t="shared" ca="1" si="65"/>
        <v>47.300791643490328</v>
      </c>
      <c r="I405">
        <f t="shared" ca="1" si="66"/>
        <v>150.00772950000007</v>
      </c>
      <c r="J405">
        <f t="shared" ca="1" si="67"/>
        <v>71.61972439135296</v>
      </c>
    </row>
    <row r="406" spans="1:10" x14ac:dyDescent="0.25">
      <c r="A406">
        <f t="shared" si="70"/>
        <v>0.32916666666666666</v>
      </c>
      <c r="B406">
        <f t="shared" si="69"/>
        <v>-66.894062570347032</v>
      </c>
      <c r="C406">
        <f t="shared" si="68"/>
        <v>-1.3721120593890301E-14</v>
      </c>
      <c r="D406">
        <f t="shared" si="71"/>
        <v>-1</v>
      </c>
      <c r="E406">
        <f t="shared" si="62"/>
        <v>9.1786149954297498E-13</v>
      </c>
      <c r="F406">
        <f t="shared" si="63"/>
        <v>66.894062570347032</v>
      </c>
      <c r="G406">
        <f t="shared" ca="1" si="64"/>
        <v>142.35502807995337</v>
      </c>
      <c r="H406">
        <f t="shared" ca="1" si="65"/>
        <v>47.300791643490435</v>
      </c>
      <c r="I406">
        <f t="shared" ca="1" si="66"/>
        <v>150.00772950000012</v>
      </c>
      <c r="J406">
        <f t="shared" ca="1" si="67"/>
        <v>71.619724391352918</v>
      </c>
    </row>
    <row r="407" spans="1:10" x14ac:dyDescent="0.25">
      <c r="A407">
        <f t="shared" si="70"/>
        <v>0.33</v>
      </c>
      <c r="B407">
        <f t="shared" si="69"/>
        <v>-1.4080090610017315</v>
      </c>
      <c r="C407">
        <f t="shared" si="68"/>
        <v>0.30901699437493607</v>
      </c>
      <c r="D407">
        <f t="shared" si="71"/>
        <v>-0.95105651629515731</v>
      </c>
      <c r="E407">
        <f t="shared" si="62"/>
        <v>-0.43509872808343109</v>
      </c>
      <c r="F407">
        <f t="shared" si="63"/>
        <v>1.3390961924683225</v>
      </c>
      <c r="G407">
        <f t="shared" ca="1" si="64"/>
        <v>142.35502807995334</v>
      </c>
      <c r="H407">
        <f t="shared" ca="1" si="65"/>
        <v>47.300791643490534</v>
      </c>
      <c r="I407">
        <f t="shared" ca="1" si="66"/>
        <v>150.00772950000012</v>
      </c>
      <c r="J407">
        <f t="shared" ca="1" si="67"/>
        <v>71.619724391352875</v>
      </c>
    </row>
    <row r="408" spans="1:10" x14ac:dyDescent="0.25">
      <c r="A408">
        <f t="shared" si="70"/>
        <v>0.33083333333333337</v>
      </c>
      <c r="B408">
        <f t="shared" si="69"/>
        <v>64.21587018541328</v>
      </c>
      <c r="C408">
        <f t="shared" si="68"/>
        <v>0.58778525229247636</v>
      </c>
      <c r="D408">
        <f t="shared" si="71"/>
        <v>-0.80901699437494501</v>
      </c>
      <c r="E408">
        <f t="shared" si="62"/>
        <v>37.745141458114055</v>
      </c>
      <c r="F408">
        <f t="shared" si="63"/>
        <v>-51.951730288574694</v>
      </c>
      <c r="G408">
        <f t="shared" ca="1" si="64"/>
        <v>142.3550280799534</v>
      </c>
      <c r="H408">
        <f t="shared" ca="1" si="65"/>
        <v>47.300791643490477</v>
      </c>
      <c r="I408">
        <f t="shared" ca="1" si="66"/>
        <v>150.00772950000015</v>
      </c>
      <c r="J408">
        <f t="shared" ca="1" si="67"/>
        <v>71.619724391352904</v>
      </c>
    </row>
    <row r="409" spans="1:10" x14ac:dyDescent="0.25">
      <c r="A409">
        <f t="shared" si="70"/>
        <v>0.33166666666666667</v>
      </c>
      <c r="B409">
        <f t="shared" si="69"/>
        <v>123.55385263979815</v>
      </c>
      <c r="C409">
        <f t="shared" si="68"/>
        <v>0.80901699437494246</v>
      </c>
      <c r="D409">
        <f t="shared" si="71"/>
        <v>-0.58778525229247991</v>
      </c>
      <c r="E409">
        <f t="shared" si="62"/>
        <v>99.957166506094055</v>
      </c>
      <c r="F409">
        <f t="shared" si="63"/>
        <v>-72.623132445591636</v>
      </c>
      <c r="G409">
        <f t="shared" ca="1" si="64"/>
        <v>142.35502807995351</v>
      </c>
      <c r="H409">
        <f t="shared" ca="1" si="65"/>
        <v>47.30079164349047</v>
      </c>
      <c r="I409">
        <f t="shared" ca="1" si="66"/>
        <v>150.00772950000027</v>
      </c>
      <c r="J409">
        <f t="shared" ca="1" si="67"/>
        <v>71.619724391352932</v>
      </c>
    </row>
    <row r="410" spans="1:10" x14ac:dyDescent="0.25">
      <c r="A410">
        <f t="shared" si="70"/>
        <v>0.33250000000000002</v>
      </c>
      <c r="B410">
        <f t="shared" si="69"/>
        <v>170.79752314749183</v>
      </c>
      <c r="C410">
        <f t="shared" si="68"/>
        <v>0.95105651629515153</v>
      </c>
      <c r="D410">
        <f t="shared" si="71"/>
        <v>-0.30901699437495378</v>
      </c>
      <c r="E410">
        <f t="shared" ref="E410:E473" si="72">$B410*C410</f>
        <v>162.4380973564941</v>
      </c>
      <c r="F410">
        <f t="shared" ref="F410:F473" si="73">$B410*D410</f>
        <v>-52.77933724972452</v>
      </c>
      <c r="G410">
        <f t="shared" ref="G410:G473" ca="1" si="74">IF((ROW($A410)-ROW($A$11))&lt;$B$2-1,"",(1.4142/$B$2)*SUM(OFFSET(E410,-$B$2+1,0,$B$2,1)))</f>
        <v>142.35502807995343</v>
      </c>
      <c r="H410">
        <f t="shared" ref="H410:H473" ca="1" si="75">IF((ROW($A410)-ROW($A$11))&lt;$B$2-1,"",(1.4142/$B$2)*SUM(OFFSET(F410,-$B$2+1,0,$B$2,1)))</f>
        <v>47.300791643490406</v>
      </c>
      <c r="I410">
        <f t="shared" ref="I410:I473" ca="1" si="76">IF(G410="","",SQRT(G410^2+H410^2))</f>
        <v>150.00772950000018</v>
      </c>
      <c r="J410">
        <f t="shared" ref="J410:J473" ca="1" si="77">IF(G410="","",ATAN2(H410,G410)*180/PI())</f>
        <v>71.619724391352946</v>
      </c>
    </row>
    <row r="411" spans="1:10" x14ac:dyDescent="0.25">
      <c r="A411">
        <f t="shared" si="70"/>
        <v>0.33333333333333337</v>
      </c>
      <c r="B411">
        <f t="shared" si="69"/>
        <v>201.32234207319053</v>
      </c>
      <c r="C411">
        <f t="shared" ref="C411:C473" si="78">COS(($A411-$B$5)*$C$1)</f>
        <v>1</v>
      </c>
      <c r="D411">
        <f t="shared" si="71"/>
        <v>-4.90059381963448E-15</v>
      </c>
      <c r="E411">
        <f t="shared" si="72"/>
        <v>201.32234207319053</v>
      </c>
      <c r="F411">
        <f t="shared" si="73"/>
        <v>-9.8659902531821624E-13</v>
      </c>
      <c r="G411">
        <f t="shared" ca="1" si="74"/>
        <v>142.35502807995337</v>
      </c>
      <c r="H411">
        <f t="shared" ca="1" si="75"/>
        <v>47.300791643490292</v>
      </c>
      <c r="I411">
        <f t="shared" ca="1" si="76"/>
        <v>150.00772950000007</v>
      </c>
      <c r="J411">
        <f t="shared" ca="1" si="77"/>
        <v>71.61972439135296</v>
      </c>
    </row>
    <row r="412" spans="1:10" x14ac:dyDescent="0.25">
      <c r="A412">
        <f t="shared" si="70"/>
        <v>0.33416666666666667</v>
      </c>
      <c r="B412">
        <f t="shared" si="69"/>
        <v>212.14032746152753</v>
      </c>
      <c r="C412">
        <f t="shared" si="78"/>
        <v>0.95105651629515897</v>
      </c>
      <c r="D412">
        <f t="shared" si="71"/>
        <v>0.30901699437493091</v>
      </c>
      <c r="E412">
        <f t="shared" si="72"/>
        <v>201.75744080127461</v>
      </c>
      <c r="F412">
        <f t="shared" si="73"/>
        <v>65.554966377874848</v>
      </c>
      <c r="G412">
        <f t="shared" ca="1" si="74"/>
        <v>142.3550280799534</v>
      </c>
      <c r="H412">
        <f t="shared" ca="1" si="75"/>
        <v>47.300791643490193</v>
      </c>
      <c r="I412">
        <f t="shared" ca="1" si="76"/>
        <v>150.00772950000007</v>
      </c>
      <c r="J412">
        <f t="shared" ca="1" si="77"/>
        <v>71.619724391353003</v>
      </c>
    </row>
    <row r="413" spans="1:10" x14ac:dyDescent="0.25">
      <c r="A413">
        <f t="shared" si="70"/>
        <v>0.33500000000000002</v>
      </c>
      <c r="B413">
        <f t="shared" si="69"/>
        <v>202.19253952935625</v>
      </c>
      <c r="C413">
        <f t="shared" si="78"/>
        <v>0.80901699437494823</v>
      </c>
      <c r="D413">
        <f t="shared" si="71"/>
        <v>0.58778525229247203</v>
      </c>
      <c r="E413">
        <f t="shared" si="72"/>
        <v>163.57720061507771</v>
      </c>
      <c r="F413">
        <f t="shared" si="73"/>
        <v>118.84579285891829</v>
      </c>
      <c r="G413">
        <f t="shared" ca="1" si="74"/>
        <v>142.35502807995334</v>
      </c>
      <c r="H413">
        <f t="shared" ca="1" si="75"/>
        <v>47.300791643490257</v>
      </c>
      <c r="I413">
        <f t="shared" ca="1" si="76"/>
        <v>150.00772950000004</v>
      </c>
      <c r="J413">
        <f t="shared" ca="1" si="77"/>
        <v>71.619724391352975</v>
      </c>
    </row>
    <row r="414" spans="1:10" x14ac:dyDescent="0.25">
      <c r="A414">
        <f t="shared" si="70"/>
        <v>0.33583333333333337</v>
      </c>
      <c r="B414">
        <f t="shared" si="69"/>
        <v>172.4527370697916</v>
      </c>
      <c r="C414">
        <f t="shared" si="78"/>
        <v>0.5877852522924728</v>
      </c>
      <c r="D414">
        <f t="shared" si="71"/>
        <v>0.80901699437494767</v>
      </c>
      <c r="E414">
        <f t="shared" si="72"/>
        <v>101.36517556709494</v>
      </c>
      <c r="F414">
        <f t="shared" si="73"/>
        <v>139.51719501593593</v>
      </c>
      <c r="G414">
        <f t="shared" ca="1" si="74"/>
        <v>142.35502807995343</v>
      </c>
      <c r="H414">
        <f t="shared" ca="1" si="75"/>
        <v>47.300791643490264</v>
      </c>
      <c r="I414">
        <f t="shared" ca="1" si="76"/>
        <v>150.00772950000012</v>
      </c>
      <c r="J414">
        <f t="shared" ca="1" si="77"/>
        <v>71.619724391352989</v>
      </c>
    </row>
    <row r="415" spans="1:10" x14ac:dyDescent="0.25">
      <c r="A415">
        <f t="shared" si="70"/>
        <v>0.33666666666666667</v>
      </c>
      <c r="B415">
        <f t="shared" si="69"/>
        <v>125.83205915696858</v>
      </c>
      <c r="C415">
        <f t="shared" si="78"/>
        <v>0.30901699437495889</v>
      </c>
      <c r="D415">
        <f t="shared" si="71"/>
        <v>0.95105651629514987</v>
      </c>
      <c r="E415">
        <f t="shared" si="72"/>
        <v>38.884244716698454</v>
      </c>
      <c r="F415">
        <f t="shared" si="73"/>
        <v>119.67339982007175</v>
      </c>
      <c r="G415">
        <f t="shared" ca="1" si="74"/>
        <v>142.3550280799536</v>
      </c>
      <c r="H415">
        <f t="shared" ca="1" si="75"/>
        <v>47.300791643490484</v>
      </c>
      <c r="I415">
        <f t="shared" ca="1" si="76"/>
        <v>150.00772950000035</v>
      </c>
      <c r="J415">
        <f t="shared" ca="1" si="77"/>
        <v>71.619724391352932</v>
      </c>
    </row>
    <row r="416" spans="1:10" x14ac:dyDescent="0.25">
      <c r="A416">
        <f t="shared" si="70"/>
        <v>0.33750000000000002</v>
      </c>
      <c r="B416">
        <f t="shared" si="69"/>
        <v>66.89406257034635</v>
      </c>
      <c r="C416">
        <f t="shared" si="78"/>
        <v>1.0290921760580662E-14</v>
      </c>
      <c r="D416">
        <f t="shared" si="71"/>
        <v>1</v>
      </c>
      <c r="E416">
        <f t="shared" si="72"/>
        <v>6.8840156415882163E-13</v>
      </c>
      <c r="F416">
        <f t="shared" si="73"/>
        <v>66.89406257034635</v>
      </c>
      <c r="G416">
        <f t="shared" ca="1" si="74"/>
        <v>142.35502807995363</v>
      </c>
      <c r="H416">
        <f t="shared" ca="1" si="75"/>
        <v>47.300791643490591</v>
      </c>
      <c r="I416">
        <f t="shared" ca="1" si="76"/>
        <v>150.00772950000041</v>
      </c>
      <c r="J416">
        <f t="shared" ca="1" si="77"/>
        <v>71.619724391352889</v>
      </c>
    </row>
    <row r="417" spans="1:10" x14ac:dyDescent="0.25">
      <c r="A417">
        <f t="shared" si="70"/>
        <v>0.33833333333333337</v>
      </c>
      <c r="B417">
        <f t="shared" si="69"/>
        <v>1.4080090609979889</v>
      </c>
      <c r="C417">
        <f t="shared" si="78"/>
        <v>-0.30901699437495284</v>
      </c>
      <c r="D417">
        <f t="shared" si="71"/>
        <v>0.95105651629515187</v>
      </c>
      <c r="E417">
        <f t="shared" si="72"/>
        <v>-0.43509872808229816</v>
      </c>
      <c r="F417">
        <f t="shared" si="73"/>
        <v>1.3390961924647553</v>
      </c>
      <c r="G417">
        <f t="shared" ca="1" si="74"/>
        <v>142.35502807995366</v>
      </c>
      <c r="H417">
        <f t="shared" ca="1" si="75"/>
        <v>47.300791643490498</v>
      </c>
      <c r="I417">
        <f t="shared" ca="1" si="76"/>
        <v>150.00772950000041</v>
      </c>
      <c r="J417">
        <f t="shared" ca="1" si="77"/>
        <v>71.619724391352932</v>
      </c>
    </row>
    <row r="418" spans="1:10" x14ac:dyDescent="0.25">
      <c r="A418">
        <f t="shared" si="70"/>
        <v>0.33916666666666667</v>
      </c>
      <c r="B418">
        <f t="shared" si="69"/>
        <v>-64.215870185411092</v>
      </c>
      <c r="C418">
        <f t="shared" si="78"/>
        <v>-0.5877852522924677</v>
      </c>
      <c r="D418">
        <f t="shared" si="71"/>
        <v>0.80901699437495145</v>
      </c>
      <c r="E418">
        <f t="shared" si="72"/>
        <v>37.745141458112215</v>
      </c>
      <c r="F418">
        <f t="shared" si="73"/>
        <v>-51.951730288573337</v>
      </c>
      <c r="G418">
        <f t="shared" ca="1" si="74"/>
        <v>142.35502807995374</v>
      </c>
      <c r="H418">
        <f t="shared" ca="1" si="75"/>
        <v>47.300791643490435</v>
      </c>
      <c r="I418">
        <f t="shared" ca="1" si="76"/>
        <v>150.00772950000049</v>
      </c>
      <c r="J418">
        <f t="shared" ca="1" si="77"/>
        <v>71.61972439135296</v>
      </c>
    </row>
    <row r="419" spans="1:10" x14ac:dyDescent="0.25">
      <c r="A419">
        <f t="shared" si="70"/>
        <v>0.34</v>
      </c>
      <c r="B419">
        <f t="shared" si="69"/>
        <v>-123.55385263979629</v>
      </c>
      <c r="C419">
        <f t="shared" si="78"/>
        <v>-0.80901699437493613</v>
      </c>
      <c r="D419">
        <f t="shared" si="71"/>
        <v>0.58778525229248868</v>
      </c>
      <c r="E419">
        <f t="shared" si="72"/>
        <v>99.957166506091767</v>
      </c>
      <c r="F419">
        <f t="shared" si="73"/>
        <v>-72.623132445591636</v>
      </c>
      <c r="G419">
        <f t="shared" ca="1" si="74"/>
        <v>142.35502807995343</v>
      </c>
      <c r="H419">
        <f t="shared" ca="1" si="75"/>
        <v>47.300791643490435</v>
      </c>
      <c r="I419">
        <f t="shared" ca="1" si="76"/>
        <v>150.00772950000018</v>
      </c>
      <c r="J419">
        <f t="shared" ca="1" si="77"/>
        <v>71.619724391352932</v>
      </c>
    </row>
    <row r="420" spans="1:10" x14ac:dyDescent="0.25">
      <c r="A420">
        <f t="shared" si="70"/>
        <v>0.34083333333333338</v>
      </c>
      <c r="B420">
        <f t="shared" si="69"/>
        <v>-170.79752314749226</v>
      </c>
      <c r="C420">
        <f t="shared" si="78"/>
        <v>-0.95105651629515253</v>
      </c>
      <c r="D420">
        <f t="shared" si="71"/>
        <v>0.3090169943749505</v>
      </c>
      <c r="E420">
        <f t="shared" si="72"/>
        <v>162.43809735649467</v>
      </c>
      <c r="F420">
        <f t="shared" si="73"/>
        <v>-52.779337249724094</v>
      </c>
      <c r="G420">
        <f t="shared" ca="1" si="74"/>
        <v>142.35502807995331</v>
      </c>
      <c r="H420">
        <f t="shared" ca="1" si="75"/>
        <v>47.300791643490378</v>
      </c>
      <c r="I420">
        <f t="shared" ca="1" si="76"/>
        <v>150.00772950000007</v>
      </c>
      <c r="J420">
        <f t="shared" ca="1" si="77"/>
        <v>71.619724391352932</v>
      </c>
    </row>
    <row r="421" spans="1:10" x14ac:dyDescent="0.25">
      <c r="A421">
        <f t="shared" si="70"/>
        <v>0.34166666666666667</v>
      </c>
      <c r="B421">
        <f t="shared" ref="B421:B473" si="79">1.5*$B$6*SIN((A421*$C$1)+1.25)</f>
        <v>-201.32234207318982</v>
      </c>
      <c r="C421">
        <f t="shared" si="78"/>
        <v>-1</v>
      </c>
      <c r="D421">
        <f t="shared" si="71"/>
        <v>1.5681249701526845E-14</v>
      </c>
      <c r="E421">
        <f t="shared" si="72"/>
        <v>201.32234207318982</v>
      </c>
      <c r="F421">
        <f t="shared" si="73"/>
        <v>-3.156985916545893E-12</v>
      </c>
      <c r="G421">
        <f t="shared" ca="1" si="74"/>
        <v>142.35502807995326</v>
      </c>
      <c r="H421">
        <f t="shared" ca="1" si="75"/>
        <v>47.300791643490264</v>
      </c>
      <c r="I421">
        <f t="shared" ca="1" si="76"/>
        <v>150.00772949999995</v>
      </c>
      <c r="J421">
        <f t="shared" ca="1" si="77"/>
        <v>71.61972439135296</v>
      </c>
    </row>
    <row r="422" spans="1:10" x14ac:dyDescent="0.25">
      <c r="A422">
        <f t="shared" si="70"/>
        <v>0.34250000000000003</v>
      </c>
      <c r="B422">
        <f t="shared" si="79"/>
        <v>-212.14032746152756</v>
      </c>
      <c r="C422">
        <f t="shared" si="78"/>
        <v>-0.95105651629515353</v>
      </c>
      <c r="D422">
        <f t="shared" si="71"/>
        <v>-0.30901699437494773</v>
      </c>
      <c r="E422">
        <f t="shared" si="72"/>
        <v>201.7574408012735</v>
      </c>
      <c r="F422">
        <f t="shared" si="73"/>
        <v>65.554966377878429</v>
      </c>
      <c r="G422">
        <f t="shared" ca="1" si="74"/>
        <v>142.35502807995326</v>
      </c>
      <c r="H422">
        <f t="shared" ca="1" si="75"/>
        <v>47.300791643490371</v>
      </c>
      <c r="I422">
        <f t="shared" ca="1" si="76"/>
        <v>150.00772949999998</v>
      </c>
      <c r="J422">
        <f t="shared" ca="1" si="77"/>
        <v>71.619724391352932</v>
      </c>
    </row>
    <row r="423" spans="1:10" x14ac:dyDescent="0.25">
      <c r="A423">
        <f t="shared" si="70"/>
        <v>0.34333333333333338</v>
      </c>
      <c r="B423">
        <f t="shared" si="79"/>
        <v>-202.19253952935512</v>
      </c>
      <c r="C423">
        <f t="shared" si="78"/>
        <v>-0.8090169943749379</v>
      </c>
      <c r="D423">
        <f t="shared" si="71"/>
        <v>-0.58778525229248624</v>
      </c>
      <c r="E423">
        <f t="shared" si="72"/>
        <v>163.5772006150747</v>
      </c>
      <c r="F423">
        <f t="shared" si="73"/>
        <v>118.84579285892049</v>
      </c>
      <c r="G423">
        <f t="shared" ca="1" si="74"/>
        <v>142.3550280799528</v>
      </c>
      <c r="H423">
        <f t="shared" ca="1" si="75"/>
        <v>47.300791643490676</v>
      </c>
      <c r="I423">
        <f t="shared" ca="1" si="76"/>
        <v>150.00772949999967</v>
      </c>
      <c r="J423">
        <f t="shared" ca="1" si="77"/>
        <v>71.619724391352761</v>
      </c>
    </row>
    <row r="424" spans="1:10" x14ac:dyDescent="0.25">
      <c r="A424">
        <f t="shared" si="70"/>
        <v>0.34416666666666668</v>
      </c>
      <c r="B424">
        <f t="shared" si="79"/>
        <v>-172.45273706979469</v>
      </c>
      <c r="C424">
        <f t="shared" si="78"/>
        <v>-0.58778525229249301</v>
      </c>
      <c r="D424">
        <f t="shared" si="71"/>
        <v>-0.80901699437493302</v>
      </c>
      <c r="E424">
        <f t="shared" si="72"/>
        <v>101.36517556710024</v>
      </c>
      <c r="F424">
        <f t="shared" si="73"/>
        <v>139.5171950159359</v>
      </c>
      <c r="G424">
        <f t="shared" ca="1" si="74"/>
        <v>142.35502807995314</v>
      </c>
      <c r="H424">
        <f t="shared" ca="1" si="75"/>
        <v>47.300791643490676</v>
      </c>
      <c r="I424">
        <f t="shared" ca="1" si="76"/>
        <v>150.00772949999998</v>
      </c>
      <c r="J424">
        <f t="shared" ca="1" si="77"/>
        <v>71.619724391352804</v>
      </c>
    </row>
    <row r="425" spans="1:10" x14ac:dyDescent="0.25">
      <c r="A425">
        <f t="shared" si="70"/>
        <v>0.34500000000000003</v>
      </c>
      <c r="B425">
        <f t="shared" si="79"/>
        <v>-125.83205915696557</v>
      </c>
      <c r="C425">
        <f t="shared" si="78"/>
        <v>-0.30901699437495561</v>
      </c>
      <c r="D425">
        <f t="shared" si="71"/>
        <v>-0.95105651629515087</v>
      </c>
      <c r="E425">
        <f t="shared" si="72"/>
        <v>38.884244716697111</v>
      </c>
      <c r="F425">
        <f t="shared" si="73"/>
        <v>119.67339982006901</v>
      </c>
      <c r="G425">
        <f t="shared" ca="1" si="74"/>
        <v>142.35502807995326</v>
      </c>
      <c r="H425">
        <f t="shared" ca="1" si="75"/>
        <v>47.300791643490726</v>
      </c>
      <c r="I425">
        <f t="shared" ca="1" si="76"/>
        <v>150.0077295000001</v>
      </c>
      <c r="J425">
        <f t="shared" ca="1" si="77"/>
        <v>71.619724391352804</v>
      </c>
    </row>
    <row r="426" spans="1:10" x14ac:dyDescent="0.25">
      <c r="A426">
        <f t="shared" si="70"/>
        <v>0.34583333333333338</v>
      </c>
      <c r="B426">
        <f t="shared" si="79"/>
        <v>-66.894062570342797</v>
      </c>
      <c r="C426">
        <f t="shared" si="78"/>
        <v>7.3501317879309802E-15</v>
      </c>
      <c r="D426">
        <f t="shared" si="71"/>
        <v>-1</v>
      </c>
      <c r="E426">
        <f t="shared" si="72"/>
        <v>-4.9168017572212058E-13</v>
      </c>
      <c r="F426">
        <f t="shared" si="73"/>
        <v>66.894062570342797</v>
      </c>
      <c r="G426">
        <f t="shared" ca="1" si="74"/>
        <v>142.35502807995314</v>
      </c>
      <c r="H426">
        <f t="shared" ca="1" si="75"/>
        <v>47.300791643490442</v>
      </c>
      <c r="I426">
        <f t="shared" ca="1" si="76"/>
        <v>150.0077294999999</v>
      </c>
      <c r="J426">
        <f t="shared" ca="1" si="77"/>
        <v>71.619724391352889</v>
      </c>
    </row>
    <row r="427" spans="1:10" x14ac:dyDescent="0.25">
      <c r="A427">
        <f t="shared" si="70"/>
        <v>0.34666666666666668</v>
      </c>
      <c r="B427">
        <f t="shared" si="79"/>
        <v>-1.408009061000276</v>
      </c>
      <c r="C427">
        <f t="shared" si="78"/>
        <v>0.30901699437494257</v>
      </c>
      <c r="D427">
        <f t="shared" si="71"/>
        <v>-0.9510565162951552</v>
      </c>
      <c r="E427">
        <f t="shared" si="72"/>
        <v>-0.43509872808299044</v>
      </c>
      <c r="F427">
        <f t="shared" si="73"/>
        <v>1.3390961924669351</v>
      </c>
      <c r="G427">
        <f t="shared" ca="1" si="74"/>
        <v>142.35502807995317</v>
      </c>
      <c r="H427">
        <f t="shared" ca="1" si="75"/>
        <v>47.300791643490342</v>
      </c>
      <c r="I427">
        <f t="shared" ca="1" si="76"/>
        <v>150.0077294999999</v>
      </c>
      <c r="J427">
        <f t="shared" ca="1" si="77"/>
        <v>71.619724391352932</v>
      </c>
    </row>
    <row r="428" spans="1:10" x14ac:dyDescent="0.25">
      <c r="A428">
        <f t="shared" si="70"/>
        <v>0.34750000000000003</v>
      </c>
      <c r="B428">
        <f t="shared" si="79"/>
        <v>64.215870185414659</v>
      </c>
      <c r="C428">
        <f t="shared" si="78"/>
        <v>0.58778525229248191</v>
      </c>
      <c r="D428">
        <f t="shared" si="71"/>
        <v>-0.80901699437494101</v>
      </c>
      <c r="E428">
        <f t="shared" si="72"/>
        <v>37.745141458115221</v>
      </c>
      <c r="F428">
        <f t="shared" si="73"/>
        <v>-51.951730288575554</v>
      </c>
      <c r="G428">
        <f t="shared" ca="1" si="74"/>
        <v>142.35502807995329</v>
      </c>
      <c r="H428">
        <f t="shared" ca="1" si="75"/>
        <v>47.300791643490285</v>
      </c>
      <c r="I428">
        <f t="shared" ca="1" si="76"/>
        <v>150.00772949999998</v>
      </c>
      <c r="J428">
        <f t="shared" ca="1" si="77"/>
        <v>71.61972439135296</v>
      </c>
    </row>
    <row r="429" spans="1:10" x14ac:dyDescent="0.25">
      <c r="A429">
        <f t="shared" si="70"/>
        <v>0.34833333333333333</v>
      </c>
      <c r="B429">
        <f t="shared" si="79"/>
        <v>123.55385263979443</v>
      </c>
      <c r="C429">
        <f t="shared" si="78"/>
        <v>0.8090169943749298</v>
      </c>
      <c r="D429">
        <f t="shared" si="71"/>
        <v>-0.58778525229249734</v>
      </c>
      <c r="E429">
        <f t="shared" si="72"/>
        <v>99.957166506089479</v>
      </c>
      <c r="F429">
        <f t="shared" si="73"/>
        <v>-72.623132445591608</v>
      </c>
      <c r="G429">
        <f t="shared" ca="1" si="74"/>
        <v>142.35502807995292</v>
      </c>
      <c r="H429">
        <f t="shared" ca="1" si="75"/>
        <v>47.300791643490285</v>
      </c>
      <c r="I429">
        <f t="shared" ca="1" si="76"/>
        <v>150.00772949999964</v>
      </c>
      <c r="J429">
        <f t="shared" ca="1" si="77"/>
        <v>71.619724391352918</v>
      </c>
    </row>
    <row r="430" spans="1:10" x14ac:dyDescent="0.25">
      <c r="A430">
        <f t="shared" si="70"/>
        <v>0.34916666666666668</v>
      </c>
      <c r="B430">
        <f t="shared" si="79"/>
        <v>170.79752314749089</v>
      </c>
      <c r="C430">
        <f t="shared" si="78"/>
        <v>0.9510565162951492</v>
      </c>
      <c r="D430">
        <f t="shared" si="71"/>
        <v>-0.30901699437496077</v>
      </c>
      <c r="E430">
        <f t="shared" si="72"/>
        <v>162.43809735649279</v>
      </c>
      <c r="F430">
        <f t="shared" si="73"/>
        <v>-52.779337249725423</v>
      </c>
      <c r="G430">
        <f t="shared" ca="1" si="74"/>
        <v>142.35502807995286</v>
      </c>
      <c r="H430">
        <f t="shared" ca="1" si="75"/>
        <v>47.300791643490214</v>
      </c>
      <c r="I430">
        <f t="shared" ca="1" si="76"/>
        <v>150.00772949999958</v>
      </c>
      <c r="J430">
        <f t="shared" ca="1" si="77"/>
        <v>71.619724391352946</v>
      </c>
    </row>
    <row r="431" spans="1:10" x14ac:dyDescent="0.25">
      <c r="A431">
        <f t="shared" si="70"/>
        <v>0.35000000000000003</v>
      </c>
      <c r="B431">
        <f t="shared" si="79"/>
        <v>201.32234207319098</v>
      </c>
      <c r="C431">
        <f t="shared" si="78"/>
        <v>1</v>
      </c>
      <c r="D431">
        <f t="shared" si="71"/>
        <v>1.9598038469847978E-15</v>
      </c>
      <c r="E431">
        <f t="shared" si="72"/>
        <v>201.32234207319098</v>
      </c>
      <c r="F431">
        <f t="shared" si="73"/>
        <v>3.9455230047902909E-13</v>
      </c>
      <c r="G431">
        <f t="shared" ca="1" si="74"/>
        <v>142.35502807995286</v>
      </c>
      <c r="H431">
        <f t="shared" ca="1" si="75"/>
        <v>47.3007916434903</v>
      </c>
      <c r="I431">
        <f t="shared" ca="1" si="76"/>
        <v>150.00772949999958</v>
      </c>
      <c r="J431">
        <f t="shared" ca="1" si="77"/>
        <v>71.619724391352904</v>
      </c>
    </row>
    <row r="432" spans="1:10" x14ac:dyDescent="0.25">
      <c r="A432">
        <f t="shared" si="70"/>
        <v>0.35083333333333333</v>
      </c>
      <c r="B432">
        <f t="shared" si="79"/>
        <v>212.14032746152753</v>
      </c>
      <c r="C432">
        <f t="shared" si="78"/>
        <v>0.95105651629515686</v>
      </c>
      <c r="D432">
        <f t="shared" si="71"/>
        <v>0.30901699437493746</v>
      </c>
      <c r="E432">
        <f t="shared" si="72"/>
        <v>201.75744080127419</v>
      </c>
      <c r="F432">
        <f t="shared" si="73"/>
        <v>65.554966377876241</v>
      </c>
      <c r="G432">
        <f t="shared" ca="1" si="74"/>
        <v>142.35502807995286</v>
      </c>
      <c r="H432">
        <f t="shared" ca="1" si="75"/>
        <v>47.300791643490406</v>
      </c>
      <c r="I432">
        <f t="shared" ca="1" si="76"/>
        <v>150.00772949999964</v>
      </c>
      <c r="J432">
        <f t="shared" ca="1" si="77"/>
        <v>71.619724391352861</v>
      </c>
    </row>
    <row r="433" spans="1:10" x14ac:dyDescent="0.25">
      <c r="A433">
        <f t="shared" si="70"/>
        <v>0.35166666666666668</v>
      </c>
      <c r="B433">
        <f t="shared" si="79"/>
        <v>202.19253952935765</v>
      </c>
      <c r="C433">
        <f t="shared" si="78"/>
        <v>0.80901699437496088</v>
      </c>
      <c r="D433">
        <f t="shared" si="71"/>
        <v>0.5877852522924546</v>
      </c>
      <c r="E433">
        <f t="shared" si="72"/>
        <v>163.57720061508138</v>
      </c>
      <c r="F433">
        <f t="shared" si="73"/>
        <v>118.84579285891559</v>
      </c>
      <c r="G433">
        <f t="shared" ca="1" si="74"/>
        <v>142.35502807995312</v>
      </c>
      <c r="H433">
        <f t="shared" ca="1" si="75"/>
        <v>47.300791643490228</v>
      </c>
      <c r="I433">
        <f t="shared" ca="1" si="76"/>
        <v>150.00772949999981</v>
      </c>
      <c r="J433">
        <f t="shared" ca="1" si="77"/>
        <v>71.61972439135296</v>
      </c>
    </row>
    <row r="434" spans="1:10" x14ac:dyDescent="0.25">
      <c r="A434">
        <f t="shared" si="70"/>
        <v>0.35250000000000004</v>
      </c>
      <c r="B434">
        <f t="shared" si="79"/>
        <v>172.45273706979251</v>
      </c>
      <c r="C434">
        <f t="shared" si="78"/>
        <v>0.5877852522924788</v>
      </c>
      <c r="D434">
        <f t="shared" si="71"/>
        <v>0.80901699437494334</v>
      </c>
      <c r="E434">
        <f t="shared" si="72"/>
        <v>101.3651755670965</v>
      </c>
      <c r="F434">
        <f t="shared" si="73"/>
        <v>139.5171950159359</v>
      </c>
      <c r="G434">
        <f t="shared" ca="1" si="74"/>
        <v>142.35502807995323</v>
      </c>
      <c r="H434">
        <f t="shared" ca="1" si="75"/>
        <v>47.300791643490221</v>
      </c>
      <c r="I434">
        <f t="shared" ca="1" si="76"/>
        <v>150.00772949999993</v>
      </c>
      <c r="J434">
        <f t="shared" ca="1" si="77"/>
        <v>71.619724391352975</v>
      </c>
    </row>
    <row r="435" spans="1:10" x14ac:dyDescent="0.25">
      <c r="A435">
        <f t="shared" si="70"/>
        <v>0.35333333333333333</v>
      </c>
      <c r="B435">
        <f t="shared" si="79"/>
        <v>125.83205915696743</v>
      </c>
      <c r="C435">
        <f t="shared" si="78"/>
        <v>0.30901699437496588</v>
      </c>
      <c r="D435">
        <f t="shared" si="71"/>
        <v>0.95105651629514754</v>
      </c>
      <c r="E435">
        <f t="shared" si="72"/>
        <v>38.88424471669898</v>
      </c>
      <c r="F435">
        <f t="shared" si="73"/>
        <v>119.67339982007036</v>
      </c>
      <c r="G435">
        <f t="shared" ca="1" si="74"/>
        <v>142.35502807995326</v>
      </c>
      <c r="H435">
        <f t="shared" ca="1" si="75"/>
        <v>47.300791643490115</v>
      </c>
      <c r="I435">
        <f t="shared" ca="1" si="76"/>
        <v>150.0077294999999</v>
      </c>
      <c r="J435">
        <f t="shared" ca="1" si="77"/>
        <v>71.619724391353017</v>
      </c>
    </row>
    <row r="436" spans="1:10" x14ac:dyDescent="0.25">
      <c r="A436">
        <f t="shared" si="70"/>
        <v>0.35416666666666669</v>
      </c>
      <c r="B436">
        <f t="shared" si="79"/>
        <v>66.894062570344957</v>
      </c>
      <c r="C436">
        <f t="shared" si="78"/>
        <v>3.4305240939613846E-15</v>
      </c>
      <c r="D436">
        <f t="shared" si="71"/>
        <v>1</v>
      </c>
      <c r="E436">
        <f t="shared" si="72"/>
        <v>2.294816933905288E-13</v>
      </c>
      <c r="F436">
        <f t="shared" si="73"/>
        <v>66.894062570344957</v>
      </c>
      <c r="G436">
        <f t="shared" ca="1" si="74"/>
        <v>142.35502807995323</v>
      </c>
      <c r="H436">
        <f t="shared" ca="1" si="75"/>
        <v>47.300791643490022</v>
      </c>
      <c r="I436">
        <f t="shared" ca="1" si="76"/>
        <v>150.00772949999987</v>
      </c>
      <c r="J436">
        <f t="shared" ca="1" si="77"/>
        <v>71.61972439135306</v>
      </c>
    </row>
    <row r="437" spans="1:10" x14ac:dyDescent="0.25">
      <c r="A437">
        <f t="shared" si="70"/>
        <v>0.35500000000000004</v>
      </c>
      <c r="B437">
        <f t="shared" si="79"/>
        <v>1.4080090609965337</v>
      </c>
      <c r="C437">
        <f t="shared" si="78"/>
        <v>-0.30901699437495933</v>
      </c>
      <c r="D437">
        <f t="shared" si="71"/>
        <v>0.95105651629514965</v>
      </c>
      <c r="E437">
        <f t="shared" si="72"/>
        <v>-0.43509872808185762</v>
      </c>
      <c r="F437">
        <f t="shared" si="73"/>
        <v>1.3390961924633682</v>
      </c>
      <c r="G437">
        <f t="shared" ca="1" si="74"/>
        <v>142.35502807995326</v>
      </c>
      <c r="H437">
        <f t="shared" ca="1" si="75"/>
        <v>47.300791643489923</v>
      </c>
      <c r="I437">
        <f t="shared" ca="1" si="76"/>
        <v>150.00772949999984</v>
      </c>
      <c r="J437">
        <f t="shared" ca="1" si="77"/>
        <v>71.619724391353088</v>
      </c>
    </row>
    <row r="438" spans="1:10" x14ac:dyDescent="0.25">
      <c r="A438">
        <f t="shared" si="70"/>
        <v>0.35583333333333333</v>
      </c>
      <c r="B438">
        <f t="shared" si="79"/>
        <v>-64.215870185406743</v>
      </c>
      <c r="C438">
        <f t="shared" si="78"/>
        <v>-0.58778525229245027</v>
      </c>
      <c r="D438">
        <f t="shared" si="71"/>
        <v>0.8090169943749641</v>
      </c>
      <c r="E438">
        <f t="shared" si="72"/>
        <v>37.745141458108534</v>
      </c>
      <c r="F438">
        <f t="shared" si="73"/>
        <v>-51.95173028857063</v>
      </c>
      <c r="G438">
        <f t="shared" ca="1" si="74"/>
        <v>142.355028079953</v>
      </c>
      <c r="H438">
        <f t="shared" ca="1" si="75"/>
        <v>47.300791643490108</v>
      </c>
      <c r="I438">
        <f t="shared" ca="1" si="76"/>
        <v>150.00772949999967</v>
      </c>
      <c r="J438">
        <f t="shared" ca="1" si="77"/>
        <v>71.619724391352989</v>
      </c>
    </row>
    <row r="439" spans="1:10" x14ac:dyDescent="0.25">
      <c r="A439">
        <f t="shared" si="70"/>
        <v>0.35666666666666669</v>
      </c>
      <c r="B439">
        <f t="shared" si="79"/>
        <v>-123.55385263979747</v>
      </c>
      <c r="C439">
        <f t="shared" si="78"/>
        <v>-0.80901699437494012</v>
      </c>
      <c r="D439">
        <f t="shared" si="71"/>
        <v>0.58778525229248313</v>
      </c>
      <c r="E439">
        <f t="shared" si="72"/>
        <v>99.957166506093216</v>
      </c>
      <c r="F439">
        <f t="shared" si="73"/>
        <v>-72.623132445591636</v>
      </c>
      <c r="G439">
        <f t="shared" ca="1" si="74"/>
        <v>142.35502807995312</v>
      </c>
      <c r="H439">
        <f t="shared" ca="1" si="75"/>
        <v>47.300791643490108</v>
      </c>
      <c r="I439">
        <f t="shared" ca="1" si="76"/>
        <v>150.00772949999978</v>
      </c>
      <c r="J439">
        <f t="shared" ca="1" si="77"/>
        <v>71.619724391353003</v>
      </c>
    </row>
    <row r="440" spans="1:10" x14ac:dyDescent="0.25">
      <c r="A440">
        <f t="shared" si="70"/>
        <v>0.35750000000000004</v>
      </c>
      <c r="B440">
        <f t="shared" si="79"/>
        <v>-170.79752314749311</v>
      </c>
      <c r="C440">
        <f t="shared" si="78"/>
        <v>-0.95105651629515464</v>
      </c>
      <c r="D440">
        <f t="shared" si="71"/>
        <v>0.30901699437494395</v>
      </c>
      <c r="E440">
        <f t="shared" si="72"/>
        <v>162.43809735649583</v>
      </c>
      <c r="F440">
        <f t="shared" si="73"/>
        <v>-52.779337249723241</v>
      </c>
      <c r="G440">
        <f t="shared" ca="1" si="74"/>
        <v>142.35502807995317</v>
      </c>
      <c r="H440">
        <f t="shared" ca="1" si="75"/>
        <v>47.300791643490179</v>
      </c>
      <c r="I440">
        <f t="shared" ca="1" si="76"/>
        <v>150.00772949999987</v>
      </c>
      <c r="J440">
        <f t="shared" ca="1" si="77"/>
        <v>71.619724391352989</v>
      </c>
    </row>
    <row r="441" spans="1:10" x14ac:dyDescent="0.25">
      <c r="A441">
        <f t="shared" si="70"/>
        <v>0.35833333333333334</v>
      </c>
      <c r="B441">
        <f t="shared" si="79"/>
        <v>-201.32234207319024</v>
      </c>
      <c r="C441">
        <f t="shared" si="78"/>
        <v>-1</v>
      </c>
      <c r="D441">
        <f t="shared" si="71"/>
        <v>8.820852034907567E-15</v>
      </c>
      <c r="E441">
        <f t="shared" si="72"/>
        <v>201.32234207319024</v>
      </c>
      <c r="F441">
        <f t="shared" si="73"/>
        <v>-1.7758345907486575E-12</v>
      </c>
      <c r="G441">
        <f t="shared" ca="1" si="74"/>
        <v>142.35502807995317</v>
      </c>
      <c r="H441">
        <f t="shared" ca="1" si="75"/>
        <v>47.300791643490278</v>
      </c>
      <c r="I441">
        <f t="shared" ca="1" si="76"/>
        <v>150.0077294999999</v>
      </c>
      <c r="J441">
        <f t="shared" ca="1" si="77"/>
        <v>71.61972439135296</v>
      </c>
    </row>
    <row r="442" spans="1:10" x14ac:dyDescent="0.25">
      <c r="A442">
        <f t="shared" si="70"/>
        <v>0.35916666666666669</v>
      </c>
      <c r="B442">
        <f t="shared" si="79"/>
        <v>-212.14032746152756</v>
      </c>
      <c r="C442">
        <f t="shared" si="78"/>
        <v>-0.95105651629515131</v>
      </c>
      <c r="D442">
        <f t="shared" si="71"/>
        <v>-0.30901699437495422</v>
      </c>
      <c r="E442">
        <f t="shared" si="72"/>
        <v>201.75744080127302</v>
      </c>
      <c r="F442">
        <f t="shared" si="73"/>
        <v>65.554966377879808</v>
      </c>
      <c r="G442">
        <f t="shared" ca="1" si="74"/>
        <v>142.35502807995314</v>
      </c>
      <c r="H442">
        <f t="shared" ca="1" si="75"/>
        <v>47.300791643490371</v>
      </c>
      <c r="I442">
        <f t="shared" ca="1" si="76"/>
        <v>150.0077294999999</v>
      </c>
      <c r="J442">
        <f t="shared" ca="1" si="77"/>
        <v>71.619724391352918</v>
      </c>
    </row>
    <row r="443" spans="1:10" x14ac:dyDescent="0.25">
      <c r="A443">
        <f t="shared" si="70"/>
        <v>0.36000000000000004</v>
      </c>
      <c r="B443">
        <f t="shared" si="79"/>
        <v>-202.19253952935651</v>
      </c>
      <c r="C443">
        <f t="shared" si="78"/>
        <v>-0.80901699437495056</v>
      </c>
      <c r="D443">
        <f t="shared" si="71"/>
        <v>-0.58778525229246881</v>
      </c>
      <c r="E443">
        <f t="shared" si="72"/>
        <v>163.5772006150784</v>
      </c>
      <c r="F443">
        <f t="shared" si="73"/>
        <v>118.84579285891779</v>
      </c>
      <c r="G443">
        <f t="shared" ca="1" si="74"/>
        <v>142.35502807995343</v>
      </c>
      <c r="H443">
        <f t="shared" ca="1" si="75"/>
        <v>47.300791643490179</v>
      </c>
      <c r="I443">
        <f t="shared" ca="1" si="76"/>
        <v>150.0077295000001</v>
      </c>
      <c r="J443">
        <f t="shared" ca="1" si="77"/>
        <v>71.619724391353017</v>
      </c>
    </row>
    <row r="444" spans="1:10" x14ac:dyDescent="0.25">
      <c r="A444">
        <f t="shared" si="70"/>
        <v>0.36083333333333334</v>
      </c>
      <c r="B444">
        <f t="shared" si="79"/>
        <v>-172.45273706979384</v>
      </c>
      <c r="C444">
        <f t="shared" si="78"/>
        <v>-0.58778525229248746</v>
      </c>
      <c r="D444">
        <f t="shared" si="71"/>
        <v>-0.80901699437493702</v>
      </c>
      <c r="E444">
        <f t="shared" si="72"/>
        <v>101.36517556709877</v>
      </c>
      <c r="F444">
        <f t="shared" si="73"/>
        <v>139.5171950159359</v>
      </c>
      <c r="G444">
        <f t="shared" ca="1" si="74"/>
        <v>142.35502807995331</v>
      </c>
      <c r="H444">
        <f t="shared" ca="1" si="75"/>
        <v>47.300791643490172</v>
      </c>
      <c r="I444">
        <f t="shared" ca="1" si="76"/>
        <v>150.00772949999998</v>
      </c>
      <c r="J444">
        <f t="shared" ca="1" si="77"/>
        <v>71.619724391353003</v>
      </c>
    </row>
    <row r="445" spans="1:10" x14ac:dyDescent="0.25">
      <c r="A445">
        <f t="shared" si="70"/>
        <v>0.36166666666666669</v>
      </c>
      <c r="B445">
        <f t="shared" si="79"/>
        <v>-125.83205915696442</v>
      </c>
      <c r="C445">
        <f t="shared" si="78"/>
        <v>-0.30901699437494912</v>
      </c>
      <c r="D445">
        <f t="shared" si="71"/>
        <v>-0.95105651629515298</v>
      </c>
      <c r="E445">
        <f t="shared" si="72"/>
        <v>38.884244716695939</v>
      </c>
      <c r="F445">
        <f t="shared" si="73"/>
        <v>119.67339982006818</v>
      </c>
      <c r="G445">
        <f t="shared" ca="1" si="74"/>
        <v>142.35502807995323</v>
      </c>
      <c r="H445">
        <f t="shared" ca="1" si="75"/>
        <v>47.300791643490129</v>
      </c>
      <c r="I445">
        <f t="shared" ca="1" si="76"/>
        <v>150.0077294999999</v>
      </c>
      <c r="J445">
        <f t="shared" ca="1" si="77"/>
        <v>71.619724391353017</v>
      </c>
    </row>
    <row r="446" spans="1:10" x14ac:dyDescent="0.25">
      <c r="A446">
        <f t="shared" si="70"/>
        <v>0.36250000000000004</v>
      </c>
      <c r="B446">
        <f t="shared" si="79"/>
        <v>-66.894062570341418</v>
      </c>
      <c r="C446">
        <f t="shared" si="78"/>
        <v>1.4210529454550258E-14</v>
      </c>
      <c r="D446">
        <f t="shared" si="71"/>
        <v>-1</v>
      </c>
      <c r="E446">
        <f t="shared" si="72"/>
        <v>-9.5060004649036458E-13</v>
      </c>
      <c r="F446">
        <f t="shared" si="73"/>
        <v>66.894062570341418</v>
      </c>
      <c r="G446">
        <f t="shared" ca="1" si="74"/>
        <v>142.3550280799532</v>
      </c>
      <c r="H446">
        <f t="shared" ca="1" si="75"/>
        <v>47.30079164349003</v>
      </c>
      <c r="I446">
        <f t="shared" ca="1" si="76"/>
        <v>150.00772949999984</v>
      </c>
      <c r="J446">
        <f t="shared" ca="1" si="77"/>
        <v>71.619724391353046</v>
      </c>
    </row>
    <row r="447" spans="1:10" x14ac:dyDescent="0.25">
      <c r="A447">
        <f t="shared" si="70"/>
        <v>0.36333333333333334</v>
      </c>
      <c r="B447">
        <f t="shared" si="79"/>
        <v>-1.4080090610048499</v>
      </c>
      <c r="C447">
        <f t="shared" si="78"/>
        <v>0.30901699437492208</v>
      </c>
      <c r="D447">
        <f t="shared" si="71"/>
        <v>-0.95105651629516186</v>
      </c>
      <c r="E447">
        <f t="shared" si="72"/>
        <v>-0.43509872808437505</v>
      </c>
      <c r="F447">
        <f t="shared" si="73"/>
        <v>1.3390961924712945</v>
      </c>
      <c r="G447">
        <f t="shared" ca="1" si="74"/>
        <v>142.35502807995312</v>
      </c>
      <c r="H447">
        <f t="shared" ca="1" si="75"/>
        <v>47.300791643490335</v>
      </c>
      <c r="I447">
        <f t="shared" ca="1" si="76"/>
        <v>150.00772949999984</v>
      </c>
      <c r="J447">
        <f t="shared" ca="1" si="77"/>
        <v>71.619724391352932</v>
      </c>
    </row>
    <row r="448" spans="1:10" x14ac:dyDescent="0.25">
      <c r="A448">
        <f t="shared" si="70"/>
        <v>0.36416666666666669</v>
      </c>
      <c r="B448">
        <f t="shared" si="79"/>
        <v>64.21587018541031</v>
      </c>
      <c r="C448">
        <f t="shared" si="78"/>
        <v>0.58778525229246448</v>
      </c>
      <c r="D448">
        <f t="shared" si="71"/>
        <v>-0.80901699437495367</v>
      </c>
      <c r="E448">
        <f t="shared" si="72"/>
        <v>37.745141458111547</v>
      </c>
      <c r="F448">
        <f t="shared" si="73"/>
        <v>-51.951730288572847</v>
      </c>
      <c r="G448">
        <f t="shared" ca="1" si="74"/>
        <v>142.35502807995286</v>
      </c>
      <c r="H448">
        <f t="shared" ca="1" si="75"/>
        <v>47.300791643490527</v>
      </c>
      <c r="I448">
        <f t="shared" ca="1" si="76"/>
        <v>150.00772949999967</v>
      </c>
      <c r="J448">
        <f t="shared" ca="1" si="77"/>
        <v>71.619724391352833</v>
      </c>
    </row>
    <row r="449" spans="1:10" x14ac:dyDescent="0.25">
      <c r="A449">
        <f t="shared" si="70"/>
        <v>0.36500000000000005</v>
      </c>
      <c r="B449">
        <f t="shared" si="79"/>
        <v>123.5538526398005</v>
      </c>
      <c r="C449">
        <f t="shared" si="78"/>
        <v>0.80901699437495056</v>
      </c>
      <c r="D449">
        <f t="shared" si="71"/>
        <v>-0.58778525229246881</v>
      </c>
      <c r="E449">
        <f t="shared" si="72"/>
        <v>99.957166506096954</v>
      </c>
      <c r="F449">
        <f t="shared" si="73"/>
        <v>-72.623132445591651</v>
      </c>
      <c r="G449">
        <f t="shared" ca="1" si="74"/>
        <v>142.35502807995337</v>
      </c>
      <c r="H449">
        <f t="shared" ca="1" si="75"/>
        <v>47.300791643490527</v>
      </c>
      <c r="I449">
        <f t="shared" ca="1" si="76"/>
        <v>150.00772950000015</v>
      </c>
      <c r="J449">
        <f t="shared" ca="1" si="77"/>
        <v>71.619724391352889</v>
      </c>
    </row>
    <row r="450" spans="1:10" x14ac:dyDescent="0.25">
      <c r="A450">
        <f t="shared" si="70"/>
        <v>0.36583333333333334</v>
      </c>
      <c r="B450">
        <f t="shared" si="79"/>
        <v>170.79752314749175</v>
      </c>
      <c r="C450">
        <f t="shared" si="78"/>
        <v>0.95105651629515131</v>
      </c>
      <c r="D450">
        <f t="shared" si="71"/>
        <v>-0.30901699437495422</v>
      </c>
      <c r="E450">
        <f t="shared" si="72"/>
        <v>162.43809735649396</v>
      </c>
      <c r="F450">
        <f t="shared" si="73"/>
        <v>-52.77933724972457</v>
      </c>
      <c r="G450">
        <f t="shared" ca="1" si="74"/>
        <v>142.35502807995346</v>
      </c>
      <c r="H450">
        <f t="shared" ca="1" si="75"/>
        <v>47.300791643490584</v>
      </c>
      <c r="I450">
        <f t="shared" ca="1" si="76"/>
        <v>150.00772950000024</v>
      </c>
      <c r="J450">
        <f t="shared" ca="1" si="77"/>
        <v>71.619724391352875</v>
      </c>
    </row>
    <row r="451" spans="1:10" x14ac:dyDescent="0.25">
      <c r="A451">
        <f t="shared" si="70"/>
        <v>0.3666666666666667</v>
      </c>
      <c r="B451">
        <f t="shared" si="79"/>
        <v>201.32234207319144</v>
      </c>
      <c r="C451">
        <f t="shared" si="78"/>
        <v>1</v>
      </c>
      <c r="D451">
        <f t="shared" si="71"/>
        <v>8.8202015136040757E-15</v>
      </c>
      <c r="E451">
        <f t="shared" si="72"/>
        <v>201.32234207319144</v>
      </c>
      <c r="F451">
        <f t="shared" si="73"/>
        <v>1.7757036262762806E-12</v>
      </c>
      <c r="G451">
        <f t="shared" ca="1" si="74"/>
        <v>142.35502807995348</v>
      </c>
      <c r="H451">
        <f t="shared" ca="1" si="75"/>
        <v>47.300791643490683</v>
      </c>
      <c r="I451">
        <f t="shared" ca="1" si="76"/>
        <v>150.00772950000032</v>
      </c>
      <c r="J451">
        <f t="shared" ca="1" si="77"/>
        <v>71.619724391352847</v>
      </c>
    </row>
    <row r="452" spans="1:10" x14ac:dyDescent="0.25">
      <c r="A452">
        <f t="shared" si="70"/>
        <v>0.36750000000000005</v>
      </c>
      <c r="B452">
        <f t="shared" si="79"/>
        <v>212.14032746152756</v>
      </c>
      <c r="C452">
        <f t="shared" si="78"/>
        <v>0.95105651629515464</v>
      </c>
      <c r="D452">
        <f t="shared" si="71"/>
        <v>0.30901699437494395</v>
      </c>
      <c r="E452">
        <f t="shared" si="72"/>
        <v>201.75744080127373</v>
      </c>
      <c r="F452">
        <f t="shared" si="73"/>
        <v>65.554966377877633</v>
      </c>
      <c r="G452">
        <f t="shared" ca="1" si="74"/>
        <v>142.35502807995346</v>
      </c>
      <c r="H452">
        <f t="shared" ca="1" si="75"/>
        <v>47.300791643490768</v>
      </c>
      <c r="I452">
        <f t="shared" ca="1" si="76"/>
        <v>150.00772950000032</v>
      </c>
      <c r="J452">
        <f t="shared" ca="1" si="77"/>
        <v>71.619724391352804</v>
      </c>
    </row>
    <row r="453" spans="1:10" x14ac:dyDescent="0.25">
      <c r="A453">
        <f t="shared" si="70"/>
        <v>0.36833333333333335</v>
      </c>
      <c r="B453">
        <f t="shared" si="79"/>
        <v>202.19253952935719</v>
      </c>
      <c r="C453">
        <f t="shared" si="78"/>
        <v>0.80901699437495689</v>
      </c>
      <c r="D453">
        <f t="shared" si="71"/>
        <v>0.58778525229246015</v>
      </c>
      <c r="E453">
        <f t="shared" si="72"/>
        <v>163.57720061508022</v>
      </c>
      <c r="F453">
        <f t="shared" si="73"/>
        <v>118.84579285891644</v>
      </c>
      <c r="G453">
        <f t="shared" ca="1" si="74"/>
        <v>142.35502807995337</v>
      </c>
      <c r="H453">
        <f t="shared" ca="1" si="75"/>
        <v>47.300791643490832</v>
      </c>
      <c r="I453">
        <f t="shared" ca="1" si="76"/>
        <v>150.00772950000024</v>
      </c>
      <c r="J453">
        <f t="shared" ca="1" si="77"/>
        <v>71.619724391352776</v>
      </c>
    </row>
    <row r="454" spans="1:10" x14ac:dyDescent="0.25">
      <c r="A454">
        <f t="shared" si="70"/>
        <v>0.3691666666666667</v>
      </c>
      <c r="B454">
        <f t="shared" si="79"/>
        <v>172.45273706979168</v>
      </c>
      <c r="C454">
        <f t="shared" si="78"/>
        <v>0.58778525229247325</v>
      </c>
      <c r="D454">
        <f t="shared" si="71"/>
        <v>0.80901699437494734</v>
      </c>
      <c r="E454">
        <f t="shared" si="72"/>
        <v>101.36517556709505</v>
      </c>
      <c r="F454">
        <f t="shared" si="73"/>
        <v>139.51719501593593</v>
      </c>
      <c r="G454">
        <f t="shared" ca="1" si="74"/>
        <v>142.35502807995329</v>
      </c>
      <c r="H454">
        <f t="shared" ca="1" si="75"/>
        <v>47.300791643490847</v>
      </c>
      <c r="I454">
        <f t="shared" ca="1" si="76"/>
        <v>150.00772950000015</v>
      </c>
      <c r="J454">
        <f t="shared" ca="1" si="77"/>
        <v>71.619724391352761</v>
      </c>
    </row>
    <row r="455" spans="1:10" x14ac:dyDescent="0.25">
      <c r="A455">
        <f t="shared" si="70"/>
        <v>0.37000000000000005</v>
      </c>
      <c r="B455">
        <f t="shared" si="79"/>
        <v>125.83205915696141</v>
      </c>
      <c r="C455">
        <f t="shared" si="78"/>
        <v>0.30901699437493235</v>
      </c>
      <c r="D455">
        <f t="shared" si="71"/>
        <v>0.95105651629515853</v>
      </c>
      <c r="E455">
        <f t="shared" si="72"/>
        <v>38.884244716692898</v>
      </c>
      <c r="F455">
        <f t="shared" si="73"/>
        <v>119.67339982006602</v>
      </c>
      <c r="G455">
        <f t="shared" ca="1" si="74"/>
        <v>142.35502807995283</v>
      </c>
      <c r="H455">
        <f t="shared" ca="1" si="75"/>
        <v>47.300791643490534</v>
      </c>
      <c r="I455">
        <f t="shared" ca="1" si="76"/>
        <v>150.00772949999964</v>
      </c>
      <c r="J455">
        <f t="shared" ca="1" si="77"/>
        <v>71.619724391352818</v>
      </c>
    </row>
    <row r="456" spans="1:10" x14ac:dyDescent="0.25">
      <c r="A456">
        <f t="shared" si="70"/>
        <v>0.37083333333333335</v>
      </c>
      <c r="B456">
        <f t="shared" si="79"/>
        <v>66.894062570343578</v>
      </c>
      <c r="C456">
        <f t="shared" si="78"/>
        <v>-3.4298735726578933E-15</v>
      </c>
      <c r="D456">
        <f t="shared" si="71"/>
        <v>1</v>
      </c>
      <c r="E456">
        <f t="shared" si="72"/>
        <v>-2.29438177377745E-13</v>
      </c>
      <c r="F456">
        <f t="shared" si="73"/>
        <v>66.894062570343578</v>
      </c>
      <c r="G456">
        <f t="shared" ca="1" si="74"/>
        <v>142.3550280799528</v>
      </c>
      <c r="H456">
        <f t="shared" ca="1" si="75"/>
        <v>47.300791643490449</v>
      </c>
      <c r="I456">
        <f t="shared" ca="1" si="76"/>
        <v>150.00772949999958</v>
      </c>
      <c r="J456">
        <f t="shared" ca="1" si="77"/>
        <v>71.619724391352847</v>
      </c>
    </row>
    <row r="457" spans="1:10" x14ac:dyDescent="0.25">
      <c r="A457">
        <f t="shared" si="70"/>
        <v>0.3716666666666667</v>
      </c>
      <c r="B457">
        <f t="shared" si="79"/>
        <v>1.4080090610011076</v>
      </c>
      <c r="C457">
        <f t="shared" si="78"/>
        <v>-0.30901699437493885</v>
      </c>
      <c r="D457">
        <f t="shared" si="71"/>
        <v>0.95105651629515631</v>
      </c>
      <c r="E457">
        <f t="shared" si="72"/>
        <v>-0.43509872808324218</v>
      </c>
      <c r="F457">
        <f t="shared" si="73"/>
        <v>1.3390961924677276</v>
      </c>
      <c r="G457">
        <f t="shared" ca="1" si="74"/>
        <v>142.35502807995269</v>
      </c>
      <c r="H457">
        <f t="shared" ca="1" si="75"/>
        <v>47.300791643490747</v>
      </c>
      <c r="I457">
        <f t="shared" ca="1" si="76"/>
        <v>150.00772949999958</v>
      </c>
      <c r="J457">
        <f t="shared" ca="1" si="77"/>
        <v>71.619724391352719</v>
      </c>
    </row>
    <row r="458" spans="1:10" x14ac:dyDescent="0.25">
      <c r="A458">
        <f t="shared" si="70"/>
        <v>0.3725</v>
      </c>
      <c r="B458">
        <f t="shared" si="79"/>
        <v>-64.215870185408136</v>
      </c>
      <c r="C458">
        <f t="shared" si="78"/>
        <v>-0.58778525229245582</v>
      </c>
      <c r="D458">
        <f t="shared" si="71"/>
        <v>0.80901699437496</v>
      </c>
      <c r="E458">
        <f t="shared" si="72"/>
        <v>37.745141458109714</v>
      </c>
      <c r="F458">
        <f t="shared" si="73"/>
        <v>-51.951730288571497</v>
      </c>
      <c r="G458">
        <f t="shared" ca="1" si="74"/>
        <v>142.35502807995277</v>
      </c>
      <c r="H458">
        <f t="shared" ca="1" si="75"/>
        <v>47.300791643490683</v>
      </c>
      <c r="I458">
        <f t="shared" ca="1" si="76"/>
        <v>150.00772949999964</v>
      </c>
      <c r="J458">
        <f t="shared" ca="1" si="77"/>
        <v>71.619724391352747</v>
      </c>
    </row>
    <row r="459" spans="1:10" x14ac:dyDescent="0.25">
      <c r="A459">
        <f t="shared" si="70"/>
        <v>0.37333333333333335</v>
      </c>
      <c r="B459">
        <f t="shared" si="79"/>
        <v>-123.55385263979863</v>
      </c>
      <c r="C459">
        <f t="shared" si="78"/>
        <v>-0.80901699437494423</v>
      </c>
      <c r="D459">
        <f t="shared" si="71"/>
        <v>0.58778525229247758</v>
      </c>
      <c r="E459">
        <f t="shared" si="72"/>
        <v>99.957166506094666</v>
      </c>
      <c r="F459">
        <f t="shared" si="73"/>
        <v>-72.623132445591636</v>
      </c>
      <c r="G459">
        <f t="shared" ca="1" si="74"/>
        <v>142.35502807995289</v>
      </c>
      <c r="H459">
        <f t="shared" ca="1" si="75"/>
        <v>47.300791643490683</v>
      </c>
      <c r="I459">
        <f t="shared" ca="1" si="76"/>
        <v>150.00772949999973</v>
      </c>
      <c r="J459">
        <f t="shared" ca="1" si="77"/>
        <v>71.619724391352776</v>
      </c>
    </row>
    <row r="460" spans="1:10" x14ac:dyDescent="0.25">
      <c r="A460">
        <f t="shared" ref="A460:A473" si="80">(ROW($A460)-ROW($A$11))*$B$4+$B$5</f>
        <v>0.3741666666666667</v>
      </c>
      <c r="B460">
        <f t="shared" si="79"/>
        <v>-170.79752314749396</v>
      </c>
      <c r="C460">
        <f t="shared" si="78"/>
        <v>-0.95105651629515686</v>
      </c>
      <c r="D460">
        <f t="shared" ref="D460:D473" si="81">SIN(($A460-$B$5)*$C$1)</f>
        <v>0.30901699437493746</v>
      </c>
      <c r="E460">
        <f t="shared" si="72"/>
        <v>162.43809735649702</v>
      </c>
      <c r="F460">
        <f t="shared" si="73"/>
        <v>-52.779337249722396</v>
      </c>
      <c r="G460">
        <f t="shared" ca="1" si="74"/>
        <v>142.35502807995297</v>
      </c>
      <c r="H460">
        <f t="shared" ca="1" si="75"/>
        <v>47.300791643490747</v>
      </c>
      <c r="I460">
        <f t="shared" ca="1" si="76"/>
        <v>150.00772949999984</v>
      </c>
      <c r="J460">
        <f t="shared" ca="1" si="77"/>
        <v>71.619724391352747</v>
      </c>
    </row>
    <row r="461" spans="1:10" x14ac:dyDescent="0.25">
      <c r="A461">
        <f t="shared" si="80"/>
        <v>0.375</v>
      </c>
      <c r="B461">
        <f t="shared" si="79"/>
        <v>-201.32234207318882</v>
      </c>
      <c r="C461">
        <f t="shared" si="78"/>
        <v>-1</v>
      </c>
      <c r="D461">
        <f t="shared" si="81"/>
        <v>3.0382163798692297E-14</v>
      </c>
      <c r="E461">
        <f t="shared" si="72"/>
        <v>201.32234207318882</v>
      </c>
      <c r="F461">
        <f t="shared" si="73"/>
        <v>-6.1166083732039841E-12</v>
      </c>
      <c r="G461">
        <f t="shared" ca="1" si="74"/>
        <v>142.35502807995289</v>
      </c>
      <c r="H461">
        <f t="shared" ca="1" si="75"/>
        <v>47.300791643490442</v>
      </c>
      <c r="I461">
        <f t="shared" ca="1" si="76"/>
        <v>150.00772949999967</v>
      </c>
      <c r="J461">
        <f t="shared" ca="1" si="77"/>
        <v>71.619724391352847</v>
      </c>
    </row>
    <row r="462" spans="1:10" x14ac:dyDescent="0.25">
      <c r="A462">
        <f t="shared" si="80"/>
        <v>0.37583333333333335</v>
      </c>
      <c r="B462">
        <f t="shared" si="79"/>
        <v>-212.14032746152753</v>
      </c>
      <c r="C462">
        <f t="shared" si="78"/>
        <v>-0.95105651629515797</v>
      </c>
      <c r="D462">
        <f t="shared" si="81"/>
        <v>-0.30901699437493374</v>
      </c>
      <c r="E462">
        <f t="shared" si="72"/>
        <v>201.75744080127441</v>
      </c>
      <c r="F462">
        <f t="shared" si="73"/>
        <v>65.554966377875459</v>
      </c>
      <c r="G462">
        <f t="shared" ca="1" si="74"/>
        <v>142.35502807995297</v>
      </c>
      <c r="H462">
        <f t="shared" ca="1" si="75"/>
        <v>47.300791643490136</v>
      </c>
      <c r="I462">
        <f t="shared" ca="1" si="76"/>
        <v>150.00772949999964</v>
      </c>
      <c r="J462">
        <f t="shared" ca="1" si="77"/>
        <v>71.619724391352975</v>
      </c>
    </row>
    <row r="463" spans="1:10" x14ac:dyDescent="0.25">
      <c r="A463">
        <f t="shared" si="80"/>
        <v>0.37666666666666671</v>
      </c>
      <c r="B463">
        <f t="shared" si="79"/>
        <v>-202.19253952935605</v>
      </c>
      <c r="C463">
        <f t="shared" si="78"/>
        <v>-0.80901699437494645</v>
      </c>
      <c r="D463">
        <f t="shared" si="81"/>
        <v>-0.58778525229247436</v>
      </c>
      <c r="E463">
        <f t="shared" si="72"/>
        <v>163.57720061507717</v>
      </c>
      <c r="F463">
        <f t="shared" si="73"/>
        <v>118.84579285891864</v>
      </c>
      <c r="G463">
        <f t="shared" ca="1" si="74"/>
        <v>142.35502807995289</v>
      </c>
      <c r="H463">
        <f t="shared" ca="1" si="75"/>
        <v>47.3007916434902</v>
      </c>
      <c r="I463">
        <f t="shared" ca="1" si="76"/>
        <v>150.00772949999958</v>
      </c>
      <c r="J463">
        <f t="shared" ca="1" si="77"/>
        <v>71.619724391352946</v>
      </c>
    </row>
    <row r="464" spans="1:10" x14ac:dyDescent="0.25">
      <c r="A464">
        <f t="shared" si="80"/>
        <v>0.3775</v>
      </c>
      <c r="B464">
        <f t="shared" si="79"/>
        <v>-172.45273706979299</v>
      </c>
      <c r="C464">
        <f t="shared" si="78"/>
        <v>-0.58778525229248191</v>
      </c>
      <c r="D464">
        <f t="shared" si="81"/>
        <v>-0.80901699437494101</v>
      </c>
      <c r="E464">
        <f t="shared" si="72"/>
        <v>101.36517556709732</v>
      </c>
      <c r="F464">
        <f t="shared" si="73"/>
        <v>139.5171950159359</v>
      </c>
      <c r="G464">
        <f t="shared" ca="1" si="74"/>
        <v>142.35502807995277</v>
      </c>
      <c r="H464">
        <f t="shared" ca="1" si="75"/>
        <v>47.300791643490193</v>
      </c>
      <c r="I464">
        <f t="shared" ca="1" si="76"/>
        <v>150.00772949999947</v>
      </c>
      <c r="J464">
        <f t="shared" ca="1" si="77"/>
        <v>71.619724391352932</v>
      </c>
    </row>
    <row r="465" spans="1:10" x14ac:dyDescent="0.25">
      <c r="A465">
        <f t="shared" si="80"/>
        <v>0.37833333333333335</v>
      </c>
      <c r="B465">
        <f t="shared" si="79"/>
        <v>-125.83205915696324</v>
      </c>
      <c r="C465">
        <f t="shared" si="78"/>
        <v>-0.30901699437494257</v>
      </c>
      <c r="D465">
        <f t="shared" si="81"/>
        <v>-0.9510565162951552</v>
      </c>
      <c r="E465">
        <f t="shared" si="72"/>
        <v>38.884244716694752</v>
      </c>
      <c r="F465">
        <f t="shared" si="73"/>
        <v>119.67339982006735</v>
      </c>
      <c r="G465">
        <f t="shared" ca="1" si="74"/>
        <v>142.35502807995272</v>
      </c>
      <c r="H465">
        <f t="shared" ca="1" si="75"/>
        <v>47.300791643490129</v>
      </c>
      <c r="I465">
        <f t="shared" ca="1" si="76"/>
        <v>150.00772949999941</v>
      </c>
      <c r="J465">
        <f t="shared" ca="1" si="77"/>
        <v>71.61972439135296</v>
      </c>
    </row>
    <row r="466" spans="1:10" x14ac:dyDescent="0.25">
      <c r="A466">
        <f t="shared" si="80"/>
        <v>0.37916666666666671</v>
      </c>
      <c r="B466">
        <f t="shared" si="79"/>
        <v>-66.894062570345767</v>
      </c>
      <c r="C466">
        <f t="shared" si="78"/>
        <v>-7.3507823092344715E-15</v>
      </c>
      <c r="D466">
        <f t="shared" si="81"/>
        <v>-1</v>
      </c>
      <c r="E466">
        <f t="shared" si="72"/>
        <v>4.9172369173492145E-13</v>
      </c>
      <c r="F466">
        <f t="shared" si="73"/>
        <v>66.894062570345767</v>
      </c>
      <c r="G466">
        <f t="shared" ca="1" si="74"/>
        <v>142.3550280799528</v>
      </c>
      <c r="H466">
        <f t="shared" ca="1" si="75"/>
        <v>47.300791643490435</v>
      </c>
      <c r="I466">
        <f t="shared" ca="1" si="76"/>
        <v>150.00772949999958</v>
      </c>
      <c r="J466">
        <f t="shared" ca="1" si="77"/>
        <v>71.619724391352847</v>
      </c>
    </row>
    <row r="467" spans="1:10" x14ac:dyDescent="0.25">
      <c r="A467">
        <f t="shared" si="80"/>
        <v>0.38</v>
      </c>
      <c r="B467">
        <f t="shared" si="79"/>
        <v>-1.4080090610033946</v>
      </c>
      <c r="C467">
        <f t="shared" si="78"/>
        <v>0.30901699437492858</v>
      </c>
      <c r="D467">
        <f t="shared" si="81"/>
        <v>-0.95105651629515964</v>
      </c>
      <c r="E467">
        <f t="shared" si="72"/>
        <v>-0.43509872808393446</v>
      </c>
      <c r="F467">
        <f t="shared" si="73"/>
        <v>1.3390961924699074</v>
      </c>
      <c r="G467">
        <f t="shared" ca="1" si="74"/>
        <v>142.35502807995283</v>
      </c>
      <c r="H467">
        <f t="shared" ca="1" si="75"/>
        <v>47.300791643490335</v>
      </c>
      <c r="I467">
        <f t="shared" ca="1" si="76"/>
        <v>150.00772949999958</v>
      </c>
      <c r="J467">
        <f t="shared" ca="1" si="77"/>
        <v>71.619724391352889</v>
      </c>
    </row>
    <row r="468" spans="1:10" x14ac:dyDescent="0.25">
      <c r="A468">
        <f t="shared" si="80"/>
        <v>0.38083333333333336</v>
      </c>
      <c r="B468">
        <f t="shared" si="79"/>
        <v>64.215870185411703</v>
      </c>
      <c r="C468">
        <f t="shared" si="78"/>
        <v>0.58778525229247003</v>
      </c>
      <c r="D468">
        <f t="shared" si="81"/>
        <v>-0.80901699437494967</v>
      </c>
      <c r="E468">
        <f t="shared" si="72"/>
        <v>37.74514145811272</v>
      </c>
      <c r="F468">
        <f t="shared" si="73"/>
        <v>-51.951730288573721</v>
      </c>
      <c r="G468">
        <f t="shared" ca="1" si="74"/>
        <v>142.35502807995292</v>
      </c>
      <c r="H468">
        <f t="shared" ca="1" si="75"/>
        <v>47.300791643490278</v>
      </c>
      <c r="I468">
        <f t="shared" ca="1" si="76"/>
        <v>150.00772949999964</v>
      </c>
      <c r="J468">
        <f t="shared" ca="1" si="77"/>
        <v>71.619724391352918</v>
      </c>
    </row>
    <row r="469" spans="1:10" x14ac:dyDescent="0.25">
      <c r="A469">
        <f t="shared" si="80"/>
        <v>0.38166666666666671</v>
      </c>
      <c r="B469">
        <f t="shared" si="79"/>
        <v>123.55385263980168</v>
      </c>
      <c r="C469">
        <f t="shared" si="78"/>
        <v>0.80901699437495456</v>
      </c>
      <c r="D469">
        <f t="shared" si="81"/>
        <v>-0.58778525229246326</v>
      </c>
      <c r="E469">
        <f t="shared" si="72"/>
        <v>99.957166506098403</v>
      </c>
      <c r="F469">
        <f t="shared" si="73"/>
        <v>-72.623132445591651</v>
      </c>
      <c r="G469">
        <f t="shared" ca="1" si="74"/>
        <v>142.35502807995306</v>
      </c>
      <c r="H469">
        <f t="shared" ca="1" si="75"/>
        <v>47.300791643490278</v>
      </c>
      <c r="I469">
        <f t="shared" ca="1" si="76"/>
        <v>150.00772949999978</v>
      </c>
      <c r="J469">
        <f t="shared" ca="1" si="77"/>
        <v>71.619724391352946</v>
      </c>
    </row>
    <row r="470" spans="1:10" x14ac:dyDescent="0.25">
      <c r="A470">
        <f t="shared" si="80"/>
        <v>0.38250000000000001</v>
      </c>
      <c r="B470">
        <f t="shared" si="79"/>
        <v>170.79752314749263</v>
      </c>
      <c r="C470">
        <f t="shared" si="78"/>
        <v>0.95105651629515353</v>
      </c>
      <c r="D470">
        <f t="shared" si="81"/>
        <v>-0.30901699437494773</v>
      </c>
      <c r="E470">
        <f t="shared" si="72"/>
        <v>162.43809735649518</v>
      </c>
      <c r="F470">
        <f t="shared" si="73"/>
        <v>-52.779337249723731</v>
      </c>
      <c r="G470">
        <f t="shared" ca="1" si="74"/>
        <v>142.35502807995314</v>
      </c>
      <c r="H470">
        <f t="shared" ca="1" si="75"/>
        <v>47.300791643490328</v>
      </c>
      <c r="I470">
        <f t="shared" ca="1" si="76"/>
        <v>150.00772949999987</v>
      </c>
      <c r="J470">
        <f t="shared" ca="1" si="77"/>
        <v>71.619724391352932</v>
      </c>
    </row>
    <row r="471" spans="1:10" x14ac:dyDescent="0.25">
      <c r="A471">
        <f t="shared" si="80"/>
        <v>0.38333333333333336</v>
      </c>
      <c r="B471">
        <f t="shared" si="79"/>
        <v>201.32234207318999</v>
      </c>
      <c r="C471">
        <f t="shared" si="78"/>
        <v>1</v>
      </c>
      <c r="D471">
        <f t="shared" si="81"/>
        <v>-1.2741110250180654E-14</v>
      </c>
      <c r="E471">
        <f t="shared" si="72"/>
        <v>201.32234207318999</v>
      </c>
      <c r="F471">
        <f t="shared" si="73"/>
        <v>-2.5650701561790967E-12</v>
      </c>
      <c r="G471">
        <f t="shared" ca="1" si="74"/>
        <v>142.355028079953</v>
      </c>
      <c r="H471">
        <f t="shared" ca="1" si="75"/>
        <v>47.30079164349003</v>
      </c>
      <c r="I471">
        <f t="shared" ca="1" si="76"/>
        <v>150.00772949999964</v>
      </c>
      <c r="J471">
        <f t="shared" ca="1" si="77"/>
        <v>71.619724391353017</v>
      </c>
    </row>
    <row r="472" spans="1:10" x14ac:dyDescent="0.25">
      <c r="A472">
        <f t="shared" si="80"/>
        <v>0.38416666666666671</v>
      </c>
      <c r="B472">
        <f t="shared" si="79"/>
        <v>212.14032746152756</v>
      </c>
      <c r="C472">
        <f t="shared" si="78"/>
        <v>0.95105651629515253</v>
      </c>
      <c r="D472">
        <f t="shared" si="81"/>
        <v>0.3090169943749505</v>
      </c>
      <c r="E472">
        <f t="shared" si="72"/>
        <v>201.75744080127328</v>
      </c>
      <c r="F472">
        <f t="shared" si="73"/>
        <v>65.554966377879026</v>
      </c>
      <c r="G472">
        <f t="shared" ca="1" si="74"/>
        <v>142.355028079953</v>
      </c>
      <c r="H472">
        <f t="shared" ca="1" si="75"/>
        <v>47.300791643490129</v>
      </c>
      <c r="I472">
        <f t="shared" ca="1" si="76"/>
        <v>150.00772949999967</v>
      </c>
      <c r="J472">
        <f t="shared" ca="1" si="77"/>
        <v>71.619724391352975</v>
      </c>
    </row>
    <row r="473" spans="1:10" x14ac:dyDescent="0.25">
      <c r="A473">
        <f t="shared" si="80"/>
        <v>0.38500000000000001</v>
      </c>
      <c r="B473">
        <f t="shared" si="79"/>
        <v>202.19253952935676</v>
      </c>
      <c r="C473">
        <f t="shared" si="78"/>
        <v>0.80901699437495289</v>
      </c>
      <c r="D473">
        <f t="shared" si="81"/>
        <v>0.5877852522924657</v>
      </c>
      <c r="E473">
        <f t="shared" si="72"/>
        <v>163.57720061507905</v>
      </c>
      <c r="F473">
        <f t="shared" si="73"/>
        <v>118.84579285891731</v>
      </c>
      <c r="G473">
        <f t="shared" ca="1" si="74"/>
        <v>142.35502807995289</v>
      </c>
      <c r="H473">
        <f t="shared" ca="1" si="75"/>
        <v>47.3007916434902</v>
      </c>
      <c r="I473">
        <f t="shared" ca="1" si="76"/>
        <v>150.00772949999958</v>
      </c>
      <c r="J473">
        <f t="shared" ca="1" si="77"/>
        <v>71.619724391352946</v>
      </c>
    </row>
  </sheetData>
  <pageMargins left="0.511811024" right="0.511811024" top="0.78740157499999996" bottom="0.78740157499999996" header="0.31496062000000002" footer="0.31496062000000002"/>
  <headerFooter>
    <oddFooter>&amp;R_x000D_&amp;1#&amp;"Aptos"&amp;10&amp;K000000 Classificação: Direcionado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38264-86BF-4898-AA01-20B2AB9C695A}">
  <dimension ref="A1:I473"/>
  <sheetViews>
    <sheetView topLeftCell="A4" workbookViewId="0">
      <selection activeCell="F27" sqref="F27"/>
    </sheetView>
  </sheetViews>
  <sheetFormatPr defaultRowHeight="15" x14ac:dyDescent="0.25"/>
  <cols>
    <col min="4" max="5" width="12.7109375" bestFit="1" customWidth="1"/>
  </cols>
  <sheetData>
    <row r="1" spans="1:9" x14ac:dyDescent="0.25">
      <c r="A1" t="s">
        <v>0</v>
      </c>
      <c r="B1">
        <v>50</v>
      </c>
      <c r="C1">
        <f>2*PI()*$B$1</f>
        <v>314.15926535897933</v>
      </c>
      <c r="E1" t="s">
        <v>11</v>
      </c>
    </row>
    <row r="2" spans="1:9" x14ac:dyDescent="0.25">
      <c r="A2" t="s">
        <v>6</v>
      </c>
      <c r="B2">
        <v>20</v>
      </c>
      <c r="E2" t="s">
        <v>12</v>
      </c>
    </row>
    <row r="3" spans="1:9" x14ac:dyDescent="0.25">
      <c r="A3" t="s">
        <v>1</v>
      </c>
      <c r="B3">
        <f>$B$2*$B$1</f>
        <v>1000</v>
      </c>
      <c r="E3" t="s">
        <v>13</v>
      </c>
    </row>
    <row r="4" spans="1:9" x14ac:dyDescent="0.25">
      <c r="A4" t="s">
        <v>2</v>
      </c>
      <c r="B4">
        <f>1/$B$3</f>
        <v>1E-3</v>
      </c>
      <c r="E4" t="s">
        <v>14</v>
      </c>
    </row>
    <row r="5" spans="1:9" x14ac:dyDescent="0.25">
      <c r="A5" t="s">
        <v>10</v>
      </c>
      <c r="B5">
        <v>0</v>
      </c>
      <c r="E5" t="s">
        <v>15</v>
      </c>
    </row>
    <row r="6" spans="1:9" x14ac:dyDescent="0.25">
      <c r="A6" t="s">
        <v>4</v>
      </c>
      <c r="B6">
        <v>141.43</v>
      </c>
      <c r="E6" t="s">
        <v>16</v>
      </c>
    </row>
    <row r="7" spans="1:9" x14ac:dyDescent="0.25">
      <c r="A7" t="s">
        <v>5</v>
      </c>
      <c r="B7">
        <v>22.25</v>
      </c>
      <c r="C7">
        <f>$B$7*(PI()/180)</f>
        <v>0.38833575856873831</v>
      </c>
      <c r="E7" t="s">
        <v>17</v>
      </c>
    </row>
    <row r="9" spans="1:9" x14ac:dyDescent="0.25">
      <c r="F9" s="1" t="s">
        <v>18</v>
      </c>
      <c r="G9" s="1" t="s">
        <v>19</v>
      </c>
      <c r="H9" s="1" t="s">
        <v>20</v>
      </c>
      <c r="I9" s="1" t="s">
        <v>21</v>
      </c>
    </row>
    <row r="10" spans="1:9" s="1" customFormat="1" x14ac:dyDescent="0.25">
      <c r="A10" s="1" t="s">
        <v>3</v>
      </c>
      <c r="B10" s="1" t="s">
        <v>7</v>
      </c>
      <c r="C10" s="1" t="s">
        <v>8</v>
      </c>
      <c r="D10" s="1" t="s">
        <v>9</v>
      </c>
      <c r="E10" s="1" t="s">
        <v>24</v>
      </c>
    </row>
    <row r="11" spans="1:9" x14ac:dyDescent="0.25">
      <c r="A11">
        <f>(ROW($A11)-ROW($A$11))*$B$4+$B$5</f>
        <v>0</v>
      </c>
      <c r="B11">
        <f>$B$6*SIN((A11*$C$1)+$C$7)</f>
        <v>53.552273952154593</v>
      </c>
      <c r="C11">
        <f>COS($A11*$C$1)</f>
        <v>1</v>
      </c>
      <c r="D11">
        <f>SIN($A11*$C$1)</f>
        <v>0</v>
      </c>
      <c r="E11">
        <f t="shared" ref="E11:E42" ca="1" si="0">(1.4142/$B$2)*(B11-IF((ROW($A11)-ROW($A$11))&lt;$B$2,0,OFFSET($B11,-$B$2,0)))</f>
        <v>3.7866812911568508</v>
      </c>
      <c r="F11">
        <f ca="1">F10+$E11*C11</f>
        <v>3.7866812911568508</v>
      </c>
      <c r="G11">
        <f ca="1">G10+$E11*D11</f>
        <v>0</v>
      </c>
      <c r="H11">
        <f t="shared" ref="H11" ca="1" si="1">IF(F11="","",SQRT(F11^2+G11^2))</f>
        <v>3.7866812911568508</v>
      </c>
      <c r="I11">
        <f ca="1">IF(F11="","",ATAN2(G11,F11)*180/PI())</f>
        <v>90</v>
      </c>
    </row>
    <row r="12" spans="1:9" x14ac:dyDescent="0.25">
      <c r="A12">
        <f t="shared" ref="A12:A75" si="2">(ROW($A12)-ROW($A$11))*$B$4+$B$5</f>
        <v>1E-3</v>
      </c>
      <c r="B12">
        <f t="shared" ref="B12:B75" si="3">$B$6*SIN((A12*$C$1)+$C$7)</f>
        <v>91.38131444090439</v>
      </c>
      <c r="C12">
        <f t="shared" ref="C12:C75" si="4">COS($A12*$C$1)</f>
        <v>0.95105651629515353</v>
      </c>
      <c r="D12">
        <f t="shared" ref="D12:D75" si="5">SIN($A12*$C$1)</f>
        <v>0.3090169943749474</v>
      </c>
      <c r="E12">
        <f t="shared" ca="1" si="0"/>
        <v>6.4615727441163493</v>
      </c>
      <c r="F12">
        <f t="shared" ref="F12:F43" ca="1" si="6">F11+$E12*COS($A12*$C$1)</f>
        <v>9.9320021549638611</v>
      </c>
      <c r="G12">
        <f t="shared" ref="G12:G43" ca="1" si="7">G11+$E12*SIN($A12*$C$1)</f>
        <v>1.9967357883219152</v>
      </c>
      <c r="H12">
        <f t="shared" ref="H12:H75" ca="1" si="8">IF(F12="","",SQRT(F12^2+G12^2))</f>
        <v>10.13072655906635</v>
      </c>
      <c r="I12">
        <f t="shared" ref="I12:I75" ca="1" si="9">IF(F12="","",ATAN2(G12,F12)*180/PI())</f>
        <v>78.632749537858743</v>
      </c>
    </row>
    <row r="13" spans="1:9" x14ac:dyDescent="0.25">
      <c r="A13">
        <f t="shared" si="2"/>
        <v>2E-3</v>
      </c>
      <c r="B13">
        <f t="shared" si="3"/>
        <v>120.26531518112246</v>
      </c>
      <c r="C13">
        <f t="shared" si="4"/>
        <v>0.80901699437494745</v>
      </c>
      <c r="D13">
        <f t="shared" si="5"/>
        <v>0.58778525229247314</v>
      </c>
      <c r="E13">
        <f t="shared" ca="1" si="0"/>
        <v>8.5039604364571684</v>
      </c>
      <c r="F13">
        <f t="shared" ca="1" si="6"/>
        <v>16.811850667549905</v>
      </c>
      <c r="G13">
        <f t="shared" ca="1" si="7"/>
        <v>6.9952383189501024</v>
      </c>
      <c r="H13">
        <f t="shared" ca="1" si="8"/>
        <v>18.209109863112641</v>
      </c>
      <c r="I13">
        <f t="shared" ca="1" si="9"/>
        <v>67.408307160166444</v>
      </c>
    </row>
    <row r="14" spans="1:9" x14ac:dyDescent="0.25">
      <c r="A14">
        <f t="shared" si="2"/>
        <v>3.0000000000000001E-3</v>
      </c>
      <c r="B14">
        <f t="shared" si="3"/>
        <v>137.37690893368958</v>
      </c>
      <c r="C14">
        <f t="shared" si="4"/>
        <v>0.58778525229247303</v>
      </c>
      <c r="D14">
        <f t="shared" si="5"/>
        <v>0.80901699437494745</v>
      </c>
      <c r="E14">
        <f t="shared" ca="1" si="0"/>
        <v>9.7139212307011888</v>
      </c>
      <c r="F14">
        <f t="shared" ca="1" si="6"/>
        <v>22.521550308886813</v>
      </c>
      <c r="G14">
        <f t="shared" ca="1" si="7"/>
        <v>14.853965676606968</v>
      </c>
      <c r="H14">
        <f t="shared" ca="1" si="8"/>
        <v>26.978890352227936</v>
      </c>
      <c r="I14">
        <f t="shared" ca="1" si="9"/>
        <v>56.593370099754289</v>
      </c>
    </row>
    <row r="15" spans="1:9" x14ac:dyDescent="0.25">
      <c r="A15">
        <f t="shared" si="2"/>
        <v>4.0000000000000001E-3</v>
      </c>
      <c r="B15">
        <f t="shared" si="3"/>
        <v>141.04109367862026</v>
      </c>
      <c r="C15">
        <f t="shared" si="4"/>
        <v>0.30901699437494745</v>
      </c>
      <c r="D15">
        <f t="shared" si="5"/>
        <v>0.95105651629515353</v>
      </c>
      <c r="E15">
        <f t="shared" ca="1" si="0"/>
        <v>9.9730157340152381</v>
      </c>
      <c r="F15">
        <f t="shared" ca="1" si="6"/>
        <v>25.603381655866261</v>
      </c>
      <c r="G15">
        <f t="shared" ca="1" si="7"/>
        <v>24.338867277556254</v>
      </c>
      <c r="H15">
        <f t="shared" ca="1" si="8"/>
        <v>35.325820762870428</v>
      </c>
      <c r="I15">
        <f t="shared" ca="1" si="9"/>
        <v>46.450392446750115</v>
      </c>
    </row>
    <row r="16" spans="1:9" x14ac:dyDescent="0.25">
      <c r="A16">
        <f t="shared" si="2"/>
        <v>5.0000000000000001E-3</v>
      </c>
      <c r="B16">
        <f t="shared" si="3"/>
        <v>130.89919348320441</v>
      </c>
      <c r="C16">
        <f t="shared" si="4"/>
        <v>6.1257422745431001E-17</v>
      </c>
      <c r="D16">
        <f t="shared" si="5"/>
        <v>1</v>
      </c>
      <c r="E16">
        <f t="shared" ca="1" si="0"/>
        <v>9.2558819711973843</v>
      </c>
      <c r="F16">
        <f t="shared" ca="1" si="6"/>
        <v>25.603381655866261</v>
      </c>
      <c r="G16">
        <f t="shared" ca="1" si="7"/>
        <v>33.594749248753637</v>
      </c>
      <c r="H16">
        <f t="shared" ca="1" si="8"/>
        <v>42.239085327485277</v>
      </c>
      <c r="I16">
        <f t="shared" ca="1" si="9"/>
        <v>37.311913511325031</v>
      </c>
    </row>
    <row r="17" spans="1:9" x14ac:dyDescent="0.25">
      <c r="A17">
        <f t="shared" si="2"/>
        <v>6.0000000000000001E-3</v>
      </c>
      <c r="B17">
        <f t="shared" si="3"/>
        <v>107.94396820134305</v>
      </c>
      <c r="C17">
        <f t="shared" si="4"/>
        <v>-0.30901699437494756</v>
      </c>
      <c r="D17">
        <f t="shared" si="5"/>
        <v>0.95105651629515353</v>
      </c>
      <c r="E17">
        <f t="shared" ca="1" si="0"/>
        <v>7.6327179915169667</v>
      </c>
      <c r="F17">
        <f t="shared" ca="1" si="6"/>
        <v>23.244742083216103</v>
      </c>
      <c r="G17">
        <f t="shared" ca="1" si="7"/>
        <v>40.853895431629105</v>
      </c>
      <c r="H17">
        <f t="shared" ca="1" si="8"/>
        <v>47.003816934943949</v>
      </c>
      <c r="I17">
        <f t="shared" ca="1" si="9"/>
        <v>29.638684937070632</v>
      </c>
    </row>
    <row r="18" spans="1:9" x14ac:dyDescent="0.25">
      <c r="A18">
        <f t="shared" si="2"/>
        <v>7.0000000000000001E-3</v>
      </c>
      <c r="B18">
        <f t="shared" si="3"/>
        <v>74.422435222083948</v>
      </c>
      <c r="C18">
        <f t="shared" si="4"/>
        <v>-0.58778525229247303</v>
      </c>
      <c r="D18">
        <f t="shared" si="5"/>
        <v>0.80901699437494745</v>
      </c>
      <c r="E18">
        <f t="shared" ca="1" si="0"/>
        <v>5.2624103945535552</v>
      </c>
      <c r="F18">
        <f t="shared" ca="1" si="6"/>
        <v>20.151574861786909</v>
      </c>
      <c r="G18">
        <f t="shared" ca="1" si="7"/>
        <v>45.111274872198301</v>
      </c>
      <c r="H18">
        <f t="shared" ca="1" si="8"/>
        <v>49.407621780502971</v>
      </c>
      <c r="I18">
        <f t="shared" ca="1" si="9"/>
        <v>24.070705523608375</v>
      </c>
    </row>
    <row r="19" spans="1:9" x14ac:dyDescent="0.25">
      <c r="A19">
        <f t="shared" si="2"/>
        <v>8.0000000000000002E-3</v>
      </c>
      <c r="B19">
        <f t="shared" si="3"/>
        <v>33.6159157516907</v>
      </c>
      <c r="C19">
        <f t="shared" si="4"/>
        <v>-0.80901699437494734</v>
      </c>
      <c r="D19">
        <f t="shared" si="5"/>
        <v>0.58778525229247325</v>
      </c>
      <c r="E19">
        <f t="shared" ca="1" si="0"/>
        <v>2.3769814028020493</v>
      </c>
      <c r="F19">
        <f t="shared" ca="1" si="6"/>
        <v>18.228556511606847</v>
      </c>
      <c r="G19">
        <f t="shared" ca="1" si="7"/>
        <v>46.508429485738823</v>
      </c>
      <c r="H19">
        <f t="shared" ca="1" si="8"/>
        <v>49.95312088074963</v>
      </c>
      <c r="I19">
        <f t="shared" ca="1" si="9"/>
        <v>21.4022450737789</v>
      </c>
    </row>
    <row r="20" spans="1:9" x14ac:dyDescent="0.25">
      <c r="A20">
        <f t="shared" si="2"/>
        <v>9.0000000000000011E-3</v>
      </c>
      <c r="B20">
        <f t="shared" si="3"/>
        <v>-10.481163768335337</v>
      </c>
      <c r="C20">
        <f t="shared" si="4"/>
        <v>-0.95105651629515364</v>
      </c>
      <c r="D20">
        <f t="shared" si="5"/>
        <v>0.30901699437494712</v>
      </c>
      <c r="E20">
        <f t="shared" ca="1" si="0"/>
        <v>-0.74112309005899168</v>
      </c>
      <c r="F20">
        <f t="shared" ca="1" si="6"/>
        <v>18.933406455784251</v>
      </c>
      <c r="G20">
        <f t="shared" ca="1" si="7"/>
        <v>46.27940985598692</v>
      </c>
      <c r="H20">
        <f t="shared" ca="1" si="8"/>
        <v>50.002576500000004</v>
      </c>
      <c r="I20">
        <f t="shared" ca="1" si="9"/>
        <v>22.249999999999993</v>
      </c>
    </row>
    <row r="21" spans="1:9" x14ac:dyDescent="0.25">
      <c r="A21">
        <f t="shared" si="2"/>
        <v>0.01</v>
      </c>
      <c r="B21">
        <f t="shared" si="3"/>
        <v>-53.552273952154565</v>
      </c>
      <c r="C21">
        <f t="shared" si="4"/>
        <v>-1</v>
      </c>
      <c r="D21">
        <f t="shared" si="5"/>
        <v>1.22514845490862E-16</v>
      </c>
      <c r="E21">
        <f t="shared" ca="1" si="0"/>
        <v>-3.786681291156849</v>
      </c>
      <c r="F21">
        <f t="shared" ca="1" si="6"/>
        <v>22.7200877469411</v>
      </c>
      <c r="G21">
        <f t="shared" ca="1" si="7"/>
        <v>46.27940985598692</v>
      </c>
      <c r="H21">
        <f t="shared" ca="1" si="8"/>
        <v>51.555660832222124</v>
      </c>
      <c r="I21">
        <f t="shared" ca="1" si="9"/>
        <v>26.147943324642355</v>
      </c>
    </row>
    <row r="22" spans="1:9" x14ac:dyDescent="0.25">
      <c r="A22">
        <f t="shared" si="2"/>
        <v>1.0999999999999999E-2</v>
      </c>
      <c r="B22">
        <f t="shared" si="3"/>
        <v>-91.381314440904347</v>
      </c>
      <c r="C22">
        <f t="shared" si="4"/>
        <v>-0.95105651629515364</v>
      </c>
      <c r="D22">
        <f t="shared" si="5"/>
        <v>-0.30901699437494728</v>
      </c>
      <c r="E22">
        <f t="shared" ca="1" si="0"/>
        <v>-6.4615727441163457</v>
      </c>
      <c r="F22">
        <f t="shared" ca="1" si="6"/>
        <v>28.865408610748108</v>
      </c>
      <c r="G22">
        <f t="shared" ca="1" si="7"/>
        <v>48.276145644308833</v>
      </c>
      <c r="H22">
        <f t="shared" ca="1" si="8"/>
        <v>56.247649306757431</v>
      </c>
      <c r="I22">
        <f t="shared" ca="1" si="9"/>
        <v>30.876165832738</v>
      </c>
    </row>
    <row r="23" spans="1:9" x14ac:dyDescent="0.25">
      <c r="A23">
        <f t="shared" si="2"/>
        <v>1.2E-2</v>
      </c>
      <c r="B23">
        <f t="shared" si="3"/>
        <v>-120.2653151811225</v>
      </c>
      <c r="C23">
        <f t="shared" si="4"/>
        <v>-0.80901699437494723</v>
      </c>
      <c r="D23">
        <f t="shared" si="5"/>
        <v>-0.58778525229247336</v>
      </c>
      <c r="E23">
        <f t="shared" ca="1" si="0"/>
        <v>-8.5039604364571719</v>
      </c>
      <c r="F23">
        <f t="shared" ca="1" si="6"/>
        <v>35.745257123334156</v>
      </c>
      <c r="G23">
        <f t="shared" ca="1" si="7"/>
        <v>53.274648174937028</v>
      </c>
      <c r="H23">
        <f t="shared" ca="1" si="8"/>
        <v>64.155370351799789</v>
      </c>
      <c r="I23">
        <f t="shared" ca="1" si="9"/>
        <v>33.860104479717094</v>
      </c>
    </row>
    <row r="24" spans="1:9" x14ac:dyDescent="0.25">
      <c r="A24">
        <f t="shared" si="2"/>
        <v>1.3000000000000001E-2</v>
      </c>
      <c r="B24">
        <f t="shared" si="3"/>
        <v>-137.37690893368958</v>
      </c>
      <c r="C24">
        <f t="shared" si="4"/>
        <v>-0.58778525229247258</v>
      </c>
      <c r="D24">
        <f t="shared" si="5"/>
        <v>-0.8090169943749479</v>
      </c>
      <c r="E24">
        <f t="shared" ca="1" si="0"/>
        <v>-9.7139212307011888</v>
      </c>
      <c r="F24">
        <f t="shared" ca="1" si="6"/>
        <v>41.45495676467106</v>
      </c>
      <c r="G24">
        <f t="shared" ca="1" si="7"/>
        <v>61.133375532593895</v>
      </c>
      <c r="H24">
        <f t="shared" ca="1" si="8"/>
        <v>73.863408020276836</v>
      </c>
      <c r="I24">
        <f t="shared" ca="1" si="9"/>
        <v>34.141462034152887</v>
      </c>
    </row>
    <row r="25" spans="1:9" x14ac:dyDescent="0.25">
      <c r="A25">
        <f t="shared" si="2"/>
        <v>1.4E-2</v>
      </c>
      <c r="B25">
        <f t="shared" si="3"/>
        <v>-141.04109367862026</v>
      </c>
      <c r="C25">
        <f t="shared" si="4"/>
        <v>-0.30901699437494756</v>
      </c>
      <c r="D25">
        <f t="shared" si="5"/>
        <v>-0.95105651629515353</v>
      </c>
      <c r="E25">
        <f t="shared" ca="1" si="0"/>
        <v>-9.9730157340152381</v>
      </c>
      <c r="F25">
        <f t="shared" ca="1" si="6"/>
        <v>44.536788111650509</v>
      </c>
      <c r="G25">
        <f t="shared" ca="1" si="7"/>
        <v>70.618277133543188</v>
      </c>
      <c r="H25">
        <f t="shared" ca="1" si="8"/>
        <v>83.489320039223955</v>
      </c>
      <c r="I25">
        <f t="shared" ca="1" si="9"/>
        <v>32.238376752588927</v>
      </c>
    </row>
    <row r="26" spans="1:9" x14ac:dyDescent="0.25">
      <c r="A26">
        <f t="shared" si="2"/>
        <v>1.4999999999999999E-2</v>
      </c>
      <c r="B26">
        <f t="shared" si="3"/>
        <v>-130.89919348320444</v>
      </c>
      <c r="C26">
        <f t="shared" si="4"/>
        <v>-1.83772268236293E-16</v>
      </c>
      <c r="D26">
        <f t="shared" si="5"/>
        <v>-1</v>
      </c>
      <c r="E26">
        <f t="shared" ca="1" si="0"/>
        <v>-9.2558819711973861</v>
      </c>
      <c r="F26">
        <f t="shared" ca="1" si="6"/>
        <v>44.536788111650509</v>
      </c>
      <c r="G26">
        <f t="shared" ca="1" si="7"/>
        <v>79.874159104740571</v>
      </c>
      <c r="H26">
        <f t="shared" ca="1" si="8"/>
        <v>91.451663669894302</v>
      </c>
      <c r="I26">
        <f t="shared" ca="1" si="9"/>
        <v>29.143466818478842</v>
      </c>
    </row>
    <row r="27" spans="1:9" x14ac:dyDescent="0.25">
      <c r="A27">
        <f t="shared" si="2"/>
        <v>1.6E-2</v>
      </c>
      <c r="B27">
        <f t="shared" si="3"/>
        <v>-107.9439682013431</v>
      </c>
      <c r="C27">
        <f t="shared" si="4"/>
        <v>0.30901699437494723</v>
      </c>
      <c r="D27">
        <f t="shared" si="5"/>
        <v>-0.95105651629515364</v>
      </c>
      <c r="E27">
        <f t="shared" ca="1" si="0"/>
        <v>-7.6327179915169703</v>
      </c>
      <c r="F27">
        <f t="shared" ca="1" si="6"/>
        <v>42.178148539000354</v>
      </c>
      <c r="G27">
        <f t="shared" ca="1" si="7"/>
        <v>87.133305287616039</v>
      </c>
      <c r="H27">
        <f t="shared" ca="1" si="8"/>
        <v>96.805005575759751</v>
      </c>
      <c r="I27">
        <f t="shared" ca="1" si="9"/>
        <v>25.829980847330095</v>
      </c>
    </row>
    <row r="28" spans="1:9" x14ac:dyDescent="0.25">
      <c r="A28">
        <f t="shared" si="2"/>
        <v>1.7000000000000001E-2</v>
      </c>
      <c r="B28">
        <f t="shared" si="3"/>
        <v>-74.422435222083863</v>
      </c>
      <c r="C28">
        <f t="shared" si="4"/>
        <v>0.58778525229247369</v>
      </c>
      <c r="D28">
        <f t="shared" si="5"/>
        <v>-0.80901699437494701</v>
      </c>
      <c r="E28">
        <f t="shared" ca="1" si="0"/>
        <v>-5.2624103945535499</v>
      </c>
      <c r="F28">
        <f t="shared" ca="1" si="6"/>
        <v>39.084981317571163</v>
      </c>
      <c r="G28">
        <f t="shared" ca="1" si="7"/>
        <v>91.390684728185235</v>
      </c>
      <c r="H28">
        <f t="shared" ca="1" si="8"/>
        <v>99.397650976677696</v>
      </c>
      <c r="I28">
        <f t="shared" ca="1" si="9"/>
        <v>23.154903982287941</v>
      </c>
    </row>
    <row r="29" spans="1:9" x14ac:dyDescent="0.25">
      <c r="A29">
        <f t="shared" si="2"/>
        <v>1.8000000000000002E-2</v>
      </c>
      <c r="B29">
        <f t="shared" si="3"/>
        <v>-33.615915751690594</v>
      </c>
      <c r="C29">
        <f t="shared" si="4"/>
        <v>0.80901699437494778</v>
      </c>
      <c r="D29">
        <f t="shared" si="5"/>
        <v>-0.58778525229247258</v>
      </c>
      <c r="E29">
        <f t="shared" ca="1" si="0"/>
        <v>-2.3769814028020417</v>
      </c>
      <c r="F29">
        <f t="shared" ca="1" si="6"/>
        <v>37.161962967391105</v>
      </c>
      <c r="G29">
        <f t="shared" ca="1" si="7"/>
        <v>92.787839341725743</v>
      </c>
      <c r="H29">
        <f t="shared" ca="1" si="8"/>
        <v>99.952962043631572</v>
      </c>
      <c r="I29">
        <f t="shared" ca="1" si="9"/>
        <v>21.826332264853217</v>
      </c>
    </row>
    <row r="30" spans="1:9" x14ac:dyDescent="0.25">
      <c r="A30">
        <f t="shared" si="2"/>
        <v>1.9E-2</v>
      </c>
      <c r="B30">
        <f t="shared" si="3"/>
        <v>10.481163768335255</v>
      </c>
      <c r="C30">
        <f t="shared" si="4"/>
        <v>0.95105651629515353</v>
      </c>
      <c r="D30">
        <f t="shared" si="5"/>
        <v>-0.30901699437494762</v>
      </c>
      <c r="E30">
        <f t="shared" ca="1" si="0"/>
        <v>0.74112309005898591</v>
      </c>
      <c r="F30">
        <f t="shared" ca="1" si="6"/>
        <v>37.866812911568502</v>
      </c>
      <c r="G30">
        <f t="shared" ca="1" si="7"/>
        <v>92.55881971197384</v>
      </c>
      <c r="H30">
        <f t="shared" ca="1" si="8"/>
        <v>100.00515300000001</v>
      </c>
      <c r="I30">
        <f t="shared" ca="1" si="9"/>
        <v>22.249999999999993</v>
      </c>
    </row>
    <row r="31" spans="1:9" x14ac:dyDescent="0.25">
      <c r="A31">
        <f t="shared" si="2"/>
        <v>0.02</v>
      </c>
      <c r="B31">
        <f t="shared" si="3"/>
        <v>53.552273952154543</v>
      </c>
      <c r="C31">
        <f t="shared" si="4"/>
        <v>1</v>
      </c>
      <c r="D31">
        <f t="shared" si="5"/>
        <v>-2.45029690981724E-16</v>
      </c>
      <c r="E31">
        <f t="shared" ca="1" si="0"/>
        <v>-3.5169733791917676E-15</v>
      </c>
      <c r="F31">
        <f t="shared" ca="1" si="6"/>
        <v>37.866812911568502</v>
      </c>
      <c r="G31">
        <f t="shared" ca="1" si="7"/>
        <v>92.55881971197384</v>
      </c>
      <c r="H31">
        <f t="shared" ca="1" si="8"/>
        <v>100.00515300000001</v>
      </c>
      <c r="I31">
        <f t="shared" ca="1" si="9"/>
        <v>22.249999999999993</v>
      </c>
    </row>
    <row r="32" spans="1:9" x14ac:dyDescent="0.25">
      <c r="A32">
        <f t="shared" si="2"/>
        <v>2.1000000000000001E-2</v>
      </c>
      <c r="B32">
        <f t="shared" si="3"/>
        <v>91.381314440904433</v>
      </c>
      <c r="C32">
        <f t="shared" si="4"/>
        <v>0.95105651629515342</v>
      </c>
      <c r="D32">
        <f t="shared" si="5"/>
        <v>0.30901699437494801</v>
      </c>
      <c r="E32">
        <f t="shared" ca="1" si="0"/>
        <v>3.0145486107358008E-15</v>
      </c>
      <c r="F32">
        <f t="shared" ca="1" si="6"/>
        <v>37.866812911568502</v>
      </c>
      <c r="G32">
        <f t="shared" ca="1" si="7"/>
        <v>92.55881971197384</v>
      </c>
      <c r="H32">
        <f t="shared" ca="1" si="8"/>
        <v>100.00515300000001</v>
      </c>
      <c r="I32">
        <f t="shared" ca="1" si="9"/>
        <v>22.249999999999993</v>
      </c>
    </row>
    <row r="33" spans="1:9" x14ac:dyDescent="0.25">
      <c r="A33">
        <f t="shared" si="2"/>
        <v>2.1999999999999999E-2</v>
      </c>
      <c r="B33">
        <f t="shared" si="3"/>
        <v>120.26531518112243</v>
      </c>
      <c r="C33">
        <f t="shared" si="4"/>
        <v>0.80901699437494756</v>
      </c>
      <c r="D33">
        <f t="shared" si="5"/>
        <v>0.58778525229247292</v>
      </c>
      <c r="E33">
        <f t="shared" ca="1" si="0"/>
        <v>-2.0096990738238672E-15</v>
      </c>
      <c r="F33">
        <f t="shared" ca="1" si="6"/>
        <v>37.866812911568502</v>
      </c>
      <c r="G33">
        <f t="shared" ca="1" si="7"/>
        <v>92.55881971197384</v>
      </c>
      <c r="H33">
        <f t="shared" ca="1" si="8"/>
        <v>100.00515300000001</v>
      </c>
      <c r="I33">
        <f t="shared" ca="1" si="9"/>
        <v>22.249999999999993</v>
      </c>
    </row>
    <row r="34" spans="1:9" x14ac:dyDescent="0.25">
      <c r="A34">
        <f t="shared" si="2"/>
        <v>2.3E-2</v>
      </c>
      <c r="B34">
        <f t="shared" si="3"/>
        <v>137.37690893368955</v>
      </c>
      <c r="C34">
        <f t="shared" si="4"/>
        <v>0.58778525229247336</v>
      </c>
      <c r="D34">
        <f t="shared" si="5"/>
        <v>0.80901699437494723</v>
      </c>
      <c r="E34">
        <f t="shared" ca="1" si="0"/>
        <v>-2.0096990738238672E-15</v>
      </c>
      <c r="F34">
        <f t="shared" ca="1" si="6"/>
        <v>37.866812911568502</v>
      </c>
      <c r="G34">
        <f t="shared" ca="1" si="7"/>
        <v>92.55881971197384</v>
      </c>
      <c r="H34">
        <f t="shared" ca="1" si="8"/>
        <v>100.00515300000001</v>
      </c>
      <c r="I34">
        <f t="shared" ca="1" si="9"/>
        <v>22.249999999999993</v>
      </c>
    </row>
    <row r="35" spans="1:9" x14ac:dyDescent="0.25">
      <c r="A35">
        <f t="shared" si="2"/>
        <v>2.4E-2</v>
      </c>
      <c r="B35">
        <f t="shared" si="3"/>
        <v>141.04109367862026</v>
      </c>
      <c r="C35">
        <f t="shared" si="4"/>
        <v>0.30901699437494684</v>
      </c>
      <c r="D35">
        <f t="shared" si="5"/>
        <v>0.95105651629515375</v>
      </c>
      <c r="E35">
        <f t="shared" ca="1" si="0"/>
        <v>0</v>
      </c>
      <c r="F35">
        <f t="shared" ca="1" si="6"/>
        <v>37.866812911568502</v>
      </c>
      <c r="G35">
        <f t="shared" ca="1" si="7"/>
        <v>92.55881971197384</v>
      </c>
      <c r="H35">
        <f t="shared" ca="1" si="8"/>
        <v>100.00515300000001</v>
      </c>
      <c r="I35">
        <f t="shared" ca="1" si="9"/>
        <v>22.249999999999993</v>
      </c>
    </row>
    <row r="36" spans="1:9" x14ac:dyDescent="0.25">
      <c r="A36">
        <f t="shared" si="2"/>
        <v>2.5000000000000001E-2</v>
      </c>
      <c r="B36">
        <f t="shared" si="3"/>
        <v>130.89919348320436</v>
      </c>
      <c r="C36">
        <f t="shared" si="4"/>
        <v>-5.8189130597297023E-16</v>
      </c>
      <c r="D36">
        <f t="shared" si="5"/>
        <v>1</v>
      </c>
      <c r="E36">
        <f t="shared" ca="1" si="0"/>
        <v>-4.0193981476477345E-15</v>
      </c>
      <c r="F36">
        <f t="shared" ca="1" si="6"/>
        <v>37.866812911568502</v>
      </c>
      <c r="G36">
        <f t="shared" ca="1" si="7"/>
        <v>92.55881971197384</v>
      </c>
      <c r="H36">
        <f t="shared" ca="1" si="8"/>
        <v>100.00515300000001</v>
      </c>
      <c r="I36">
        <f t="shared" ca="1" si="9"/>
        <v>22.249999999999993</v>
      </c>
    </row>
    <row r="37" spans="1:9" x14ac:dyDescent="0.25">
      <c r="A37">
        <f t="shared" si="2"/>
        <v>2.6000000000000002E-2</v>
      </c>
      <c r="B37">
        <f t="shared" si="3"/>
        <v>107.94396820134294</v>
      </c>
      <c r="C37">
        <f t="shared" si="4"/>
        <v>-0.30901699437494878</v>
      </c>
      <c r="D37">
        <f t="shared" si="5"/>
        <v>0.95105651629515309</v>
      </c>
      <c r="E37">
        <f t="shared" ca="1" si="0"/>
        <v>-8.0387962952954689E-15</v>
      </c>
      <c r="F37">
        <f t="shared" ca="1" si="6"/>
        <v>37.866812911568502</v>
      </c>
      <c r="G37">
        <f t="shared" ca="1" si="7"/>
        <v>92.558819711973825</v>
      </c>
      <c r="H37">
        <f t="shared" ca="1" si="8"/>
        <v>100.00515299999998</v>
      </c>
      <c r="I37">
        <f t="shared" ca="1" si="9"/>
        <v>22.249999999999996</v>
      </c>
    </row>
    <row r="38" spans="1:9" x14ac:dyDescent="0.25">
      <c r="A38">
        <f t="shared" si="2"/>
        <v>2.7E-2</v>
      </c>
      <c r="B38">
        <f t="shared" si="3"/>
        <v>74.422435222083976</v>
      </c>
      <c r="C38">
        <f t="shared" si="4"/>
        <v>-0.58778525229247292</v>
      </c>
      <c r="D38">
        <f t="shared" si="5"/>
        <v>0.80901699437494767</v>
      </c>
      <c r="E38">
        <f t="shared" ca="1" si="0"/>
        <v>2.0096990738238672E-15</v>
      </c>
      <c r="F38">
        <f t="shared" ca="1" si="6"/>
        <v>37.866812911568502</v>
      </c>
      <c r="G38">
        <f t="shared" ca="1" si="7"/>
        <v>92.558819711973825</v>
      </c>
      <c r="H38">
        <f t="shared" ca="1" si="8"/>
        <v>100.00515299999998</v>
      </c>
      <c r="I38">
        <f t="shared" ca="1" si="9"/>
        <v>22.249999999999996</v>
      </c>
    </row>
    <row r="39" spans="1:9" x14ac:dyDescent="0.25">
      <c r="A39">
        <f t="shared" si="2"/>
        <v>2.8000000000000001E-2</v>
      </c>
      <c r="B39">
        <f t="shared" si="3"/>
        <v>33.615915751690736</v>
      </c>
      <c r="C39">
        <f t="shared" si="4"/>
        <v>-0.80901699437494723</v>
      </c>
      <c r="D39">
        <f t="shared" si="5"/>
        <v>0.58778525229247336</v>
      </c>
      <c r="E39">
        <f t="shared" ca="1" si="0"/>
        <v>2.512123842279834E-15</v>
      </c>
      <c r="F39">
        <f t="shared" ca="1" si="6"/>
        <v>37.866812911568502</v>
      </c>
      <c r="G39">
        <f t="shared" ca="1" si="7"/>
        <v>92.558819711973825</v>
      </c>
      <c r="H39">
        <f t="shared" ca="1" si="8"/>
        <v>100.00515299999998</v>
      </c>
      <c r="I39">
        <f t="shared" ca="1" si="9"/>
        <v>22.249999999999996</v>
      </c>
    </row>
    <row r="40" spans="1:9" x14ac:dyDescent="0.25">
      <c r="A40">
        <f t="shared" si="2"/>
        <v>2.9000000000000001E-2</v>
      </c>
      <c r="B40">
        <f t="shared" si="3"/>
        <v>-10.481163768335238</v>
      </c>
      <c r="C40">
        <f t="shared" si="4"/>
        <v>-0.95105651629515342</v>
      </c>
      <c r="D40">
        <f t="shared" si="5"/>
        <v>0.30901699437494778</v>
      </c>
      <c r="E40">
        <f t="shared" ca="1" si="0"/>
        <v>7.0339467583835353E-15</v>
      </c>
      <c r="F40">
        <f t="shared" ca="1" si="6"/>
        <v>37.866812911568495</v>
      </c>
      <c r="G40">
        <f t="shared" ca="1" si="7"/>
        <v>92.558819711973825</v>
      </c>
      <c r="H40">
        <f t="shared" ca="1" si="8"/>
        <v>100.00515299999998</v>
      </c>
      <c r="I40">
        <f t="shared" ca="1" si="9"/>
        <v>22.249999999999993</v>
      </c>
    </row>
    <row r="41" spans="1:9" x14ac:dyDescent="0.25">
      <c r="A41">
        <f t="shared" si="2"/>
        <v>0.03</v>
      </c>
      <c r="B41">
        <f t="shared" si="3"/>
        <v>-53.552273952154529</v>
      </c>
      <c r="C41">
        <f t="shared" si="4"/>
        <v>-1</v>
      </c>
      <c r="D41">
        <f t="shared" si="5"/>
        <v>3.67544536472586E-16</v>
      </c>
      <c r="E41">
        <f t="shared" ca="1" si="0"/>
        <v>2.512123842279834E-15</v>
      </c>
      <c r="F41">
        <f t="shared" ca="1" si="6"/>
        <v>37.866812911568495</v>
      </c>
      <c r="G41">
        <f t="shared" ca="1" si="7"/>
        <v>92.558819711973825</v>
      </c>
      <c r="H41">
        <f t="shared" ca="1" si="8"/>
        <v>100.00515299999998</v>
      </c>
      <c r="I41">
        <f t="shared" ca="1" si="9"/>
        <v>22.249999999999993</v>
      </c>
    </row>
    <row r="42" spans="1:9" x14ac:dyDescent="0.25">
      <c r="A42">
        <f t="shared" si="2"/>
        <v>3.1E-2</v>
      </c>
      <c r="B42">
        <f t="shared" si="3"/>
        <v>-91.381314440904319</v>
      </c>
      <c r="C42">
        <f t="shared" si="4"/>
        <v>-0.95105651629515364</v>
      </c>
      <c r="D42">
        <f t="shared" si="5"/>
        <v>-0.30901699437494706</v>
      </c>
      <c r="E42">
        <f t="shared" ca="1" si="0"/>
        <v>2.0096990738238672E-15</v>
      </c>
      <c r="F42">
        <f t="shared" ca="1" si="6"/>
        <v>37.866812911568495</v>
      </c>
      <c r="G42">
        <f t="shared" ca="1" si="7"/>
        <v>92.558819711973825</v>
      </c>
      <c r="H42">
        <f t="shared" ca="1" si="8"/>
        <v>100.00515299999998</v>
      </c>
      <c r="I42">
        <f t="shared" ca="1" si="9"/>
        <v>22.249999999999993</v>
      </c>
    </row>
    <row r="43" spans="1:9" x14ac:dyDescent="0.25">
      <c r="A43">
        <f t="shared" si="2"/>
        <v>3.2000000000000001E-2</v>
      </c>
      <c r="B43">
        <f t="shared" si="3"/>
        <v>-120.26531518112243</v>
      </c>
      <c r="C43">
        <f t="shared" si="4"/>
        <v>-0.80901699437494767</v>
      </c>
      <c r="D43">
        <f t="shared" si="5"/>
        <v>-0.5877852522924728</v>
      </c>
      <c r="E43">
        <f t="shared" ref="E43:E74" ca="1" si="10">(1.4142/$B$2)*(B43-IF((ROW($A43)-ROW($A$11))&lt;$B$2,0,OFFSET($B43,-$B$2,0)))</f>
        <v>5.0242476845596681E-15</v>
      </c>
      <c r="F43">
        <f t="shared" ca="1" si="6"/>
        <v>37.866812911568488</v>
      </c>
      <c r="G43">
        <f t="shared" ca="1" si="7"/>
        <v>92.558819711973825</v>
      </c>
      <c r="H43">
        <f t="shared" ca="1" si="8"/>
        <v>100.00515299999998</v>
      </c>
      <c r="I43">
        <f t="shared" ca="1" si="9"/>
        <v>22.249999999999989</v>
      </c>
    </row>
    <row r="44" spans="1:9" x14ac:dyDescent="0.25">
      <c r="A44">
        <f t="shared" si="2"/>
        <v>3.3000000000000002E-2</v>
      </c>
      <c r="B44">
        <f t="shared" si="3"/>
        <v>-137.37690893368961</v>
      </c>
      <c r="C44">
        <f t="shared" si="4"/>
        <v>-0.58778525229247203</v>
      </c>
      <c r="D44">
        <f t="shared" si="5"/>
        <v>-0.80901699437494823</v>
      </c>
      <c r="E44">
        <f t="shared" ca="1" si="10"/>
        <v>-2.0096990738238672E-15</v>
      </c>
      <c r="F44">
        <f t="shared" ref="F44:F75" ca="1" si="11">F43+$E44*COS($A44*$C$1)</f>
        <v>37.866812911568488</v>
      </c>
      <c r="G44">
        <f t="shared" ref="G44:G75" ca="1" si="12">G43+$E44*SIN($A44*$C$1)</f>
        <v>92.558819711973825</v>
      </c>
      <c r="H44">
        <f t="shared" ca="1" si="8"/>
        <v>100.00515299999998</v>
      </c>
      <c r="I44">
        <f t="shared" ca="1" si="9"/>
        <v>22.249999999999989</v>
      </c>
    </row>
    <row r="45" spans="1:9" x14ac:dyDescent="0.25">
      <c r="A45">
        <f t="shared" si="2"/>
        <v>3.4000000000000002E-2</v>
      </c>
      <c r="B45">
        <f t="shared" si="3"/>
        <v>-141.04109367862026</v>
      </c>
      <c r="C45">
        <f t="shared" si="4"/>
        <v>-0.30901699437494612</v>
      </c>
      <c r="D45">
        <f t="shared" si="5"/>
        <v>-0.95105651629515398</v>
      </c>
      <c r="E45">
        <f t="shared" ca="1" si="10"/>
        <v>0</v>
      </c>
      <c r="F45">
        <f t="shared" ca="1" si="11"/>
        <v>37.866812911568488</v>
      </c>
      <c r="G45">
        <f t="shared" ca="1" si="12"/>
        <v>92.558819711973825</v>
      </c>
      <c r="H45">
        <f t="shared" ca="1" si="8"/>
        <v>100.00515299999998</v>
      </c>
      <c r="I45">
        <f t="shared" ca="1" si="9"/>
        <v>22.249999999999989</v>
      </c>
    </row>
    <row r="46" spans="1:9" x14ac:dyDescent="0.25">
      <c r="A46">
        <f t="shared" si="2"/>
        <v>3.5000000000000003E-2</v>
      </c>
      <c r="B46">
        <f t="shared" si="3"/>
        <v>-130.89919348320436</v>
      </c>
      <c r="C46">
        <f t="shared" si="4"/>
        <v>1.3475548801822335E-15</v>
      </c>
      <c r="D46">
        <f t="shared" si="5"/>
        <v>-1</v>
      </c>
      <c r="E46">
        <f t="shared" ca="1" si="10"/>
        <v>6.0290972214716017E-15</v>
      </c>
      <c r="F46">
        <f t="shared" ca="1" si="11"/>
        <v>37.866812911568488</v>
      </c>
      <c r="G46">
        <f t="shared" ca="1" si="12"/>
        <v>92.558819711973825</v>
      </c>
      <c r="H46">
        <f t="shared" ca="1" si="8"/>
        <v>100.00515299999998</v>
      </c>
      <c r="I46">
        <f t="shared" ca="1" si="9"/>
        <v>22.249999999999989</v>
      </c>
    </row>
    <row r="47" spans="1:9" x14ac:dyDescent="0.25">
      <c r="A47">
        <f t="shared" si="2"/>
        <v>3.6000000000000004E-2</v>
      </c>
      <c r="B47">
        <f t="shared" si="3"/>
        <v>-107.94396820134295</v>
      </c>
      <c r="C47">
        <f t="shared" si="4"/>
        <v>0.30901699437494867</v>
      </c>
      <c r="D47">
        <f t="shared" si="5"/>
        <v>-0.9510565162951532</v>
      </c>
      <c r="E47">
        <f t="shared" ca="1" si="10"/>
        <v>1.0048495369119336E-14</v>
      </c>
      <c r="F47">
        <f t="shared" ca="1" si="11"/>
        <v>37.866812911568488</v>
      </c>
      <c r="G47">
        <f t="shared" ca="1" si="12"/>
        <v>92.558819711973811</v>
      </c>
      <c r="H47">
        <f t="shared" ca="1" si="8"/>
        <v>100.00515299999996</v>
      </c>
      <c r="I47">
        <f t="shared" ca="1" si="9"/>
        <v>22.249999999999993</v>
      </c>
    </row>
    <row r="48" spans="1:9" x14ac:dyDescent="0.25">
      <c r="A48">
        <f t="shared" si="2"/>
        <v>3.6999999999999998E-2</v>
      </c>
      <c r="B48">
        <f t="shared" si="3"/>
        <v>-74.422435222084005</v>
      </c>
      <c r="C48">
        <f t="shared" si="4"/>
        <v>0.5877852522924728</v>
      </c>
      <c r="D48">
        <f t="shared" si="5"/>
        <v>-0.80901699437494767</v>
      </c>
      <c r="E48">
        <f t="shared" ca="1" si="10"/>
        <v>-1.0048495369119336E-14</v>
      </c>
      <c r="F48">
        <f t="shared" ca="1" si="11"/>
        <v>37.866812911568481</v>
      </c>
      <c r="G48">
        <f t="shared" ca="1" si="12"/>
        <v>92.558819711973825</v>
      </c>
      <c r="H48">
        <f t="shared" ca="1" si="8"/>
        <v>100.00515299999998</v>
      </c>
      <c r="I48">
        <f t="shared" ca="1" si="9"/>
        <v>22.249999999999989</v>
      </c>
    </row>
    <row r="49" spans="1:9" x14ac:dyDescent="0.25">
      <c r="A49">
        <f t="shared" si="2"/>
        <v>3.7999999999999999E-2</v>
      </c>
      <c r="B49">
        <f t="shared" si="3"/>
        <v>-33.61591575169075</v>
      </c>
      <c r="C49">
        <f t="shared" si="4"/>
        <v>0.80901699437494712</v>
      </c>
      <c r="D49">
        <f t="shared" si="5"/>
        <v>-0.58778525229247347</v>
      </c>
      <c r="E49">
        <f t="shared" ca="1" si="10"/>
        <v>-1.1053344906031269E-14</v>
      </c>
      <c r="F49">
        <f t="shared" ca="1" si="11"/>
        <v>37.866812911568474</v>
      </c>
      <c r="G49">
        <f t="shared" ca="1" si="12"/>
        <v>92.558819711973825</v>
      </c>
      <c r="H49">
        <f t="shared" ca="1" si="8"/>
        <v>100.00515299999996</v>
      </c>
      <c r="I49">
        <f t="shared" ca="1" si="9"/>
        <v>22.249999999999979</v>
      </c>
    </row>
    <row r="50" spans="1:9" x14ac:dyDescent="0.25">
      <c r="A50">
        <f t="shared" si="2"/>
        <v>3.9E-2</v>
      </c>
      <c r="B50">
        <f t="shared" si="3"/>
        <v>10.48116376833522</v>
      </c>
      <c r="C50">
        <f t="shared" si="4"/>
        <v>0.95105651629515342</v>
      </c>
      <c r="D50">
        <f t="shared" si="5"/>
        <v>-0.3090169943749479</v>
      </c>
      <c r="E50">
        <f t="shared" ca="1" si="10"/>
        <v>-2.512123842279834E-15</v>
      </c>
      <c r="F50">
        <f t="shared" ca="1" si="11"/>
        <v>37.866812911568474</v>
      </c>
      <c r="G50">
        <f t="shared" ca="1" si="12"/>
        <v>92.558819711973825</v>
      </c>
      <c r="H50">
        <f t="shared" ca="1" si="8"/>
        <v>100.00515299999996</v>
      </c>
      <c r="I50">
        <f t="shared" ca="1" si="9"/>
        <v>22.249999999999979</v>
      </c>
    </row>
    <row r="51" spans="1:9" x14ac:dyDescent="0.25">
      <c r="A51">
        <f t="shared" si="2"/>
        <v>0.04</v>
      </c>
      <c r="B51">
        <f t="shared" si="3"/>
        <v>53.552273952154515</v>
      </c>
      <c r="C51">
        <f t="shared" si="4"/>
        <v>1</v>
      </c>
      <c r="D51">
        <f t="shared" si="5"/>
        <v>-4.90059381963448E-16</v>
      </c>
      <c r="E51">
        <f t="shared" ca="1" si="10"/>
        <v>-2.0096990738238672E-15</v>
      </c>
      <c r="F51">
        <f t="shared" ca="1" si="11"/>
        <v>37.866812911568474</v>
      </c>
      <c r="G51">
        <f t="shared" ca="1" si="12"/>
        <v>92.558819711973825</v>
      </c>
      <c r="H51">
        <f t="shared" ca="1" si="8"/>
        <v>100.00515299999996</v>
      </c>
      <c r="I51">
        <f t="shared" ca="1" si="9"/>
        <v>22.249999999999979</v>
      </c>
    </row>
    <row r="52" spans="1:9" x14ac:dyDescent="0.25">
      <c r="A52">
        <f t="shared" si="2"/>
        <v>4.1000000000000002E-2</v>
      </c>
      <c r="B52">
        <f t="shared" si="3"/>
        <v>91.38131444090449</v>
      </c>
      <c r="C52">
        <f t="shared" si="4"/>
        <v>0.9510565162951532</v>
      </c>
      <c r="D52">
        <f t="shared" si="5"/>
        <v>0.30901699437494862</v>
      </c>
      <c r="E52">
        <f t="shared" ca="1" si="10"/>
        <v>4.0193981476477345E-15</v>
      </c>
      <c r="F52">
        <f t="shared" ca="1" si="11"/>
        <v>37.866812911568481</v>
      </c>
      <c r="G52">
        <f t="shared" ca="1" si="12"/>
        <v>92.558819711973825</v>
      </c>
      <c r="H52">
        <f t="shared" ca="1" si="8"/>
        <v>100.00515299999998</v>
      </c>
      <c r="I52">
        <f t="shared" ca="1" si="9"/>
        <v>22.249999999999989</v>
      </c>
    </row>
    <row r="53" spans="1:9" x14ac:dyDescent="0.25">
      <c r="A53">
        <f t="shared" si="2"/>
        <v>4.2000000000000003E-2</v>
      </c>
      <c r="B53">
        <f t="shared" si="3"/>
        <v>120.26531518112253</v>
      </c>
      <c r="C53">
        <f t="shared" si="4"/>
        <v>0.80901699437494667</v>
      </c>
      <c r="D53">
        <f t="shared" si="5"/>
        <v>0.58778525229247414</v>
      </c>
      <c r="E53">
        <f t="shared" ca="1" si="10"/>
        <v>7.0339467583835353E-15</v>
      </c>
      <c r="F53">
        <f t="shared" ca="1" si="11"/>
        <v>37.866812911568488</v>
      </c>
      <c r="G53">
        <f t="shared" ca="1" si="12"/>
        <v>92.558819711973825</v>
      </c>
      <c r="H53">
        <f t="shared" ca="1" si="8"/>
        <v>100.00515299999998</v>
      </c>
      <c r="I53">
        <f t="shared" ca="1" si="9"/>
        <v>22.249999999999989</v>
      </c>
    </row>
    <row r="54" spans="1:9" x14ac:dyDescent="0.25">
      <c r="A54">
        <f t="shared" si="2"/>
        <v>4.3000000000000003E-2</v>
      </c>
      <c r="B54">
        <f t="shared" si="3"/>
        <v>137.37690893368961</v>
      </c>
      <c r="C54">
        <f t="shared" si="4"/>
        <v>0.58778525229247214</v>
      </c>
      <c r="D54">
        <f t="shared" si="5"/>
        <v>0.80901699437494812</v>
      </c>
      <c r="E54">
        <f t="shared" ca="1" si="10"/>
        <v>4.0193981476477345E-15</v>
      </c>
      <c r="F54">
        <f t="shared" ca="1" si="11"/>
        <v>37.866812911568488</v>
      </c>
      <c r="G54">
        <f t="shared" ca="1" si="12"/>
        <v>92.558819711973825</v>
      </c>
      <c r="H54">
        <f t="shared" ca="1" si="8"/>
        <v>100.00515299999998</v>
      </c>
      <c r="I54">
        <f t="shared" ca="1" si="9"/>
        <v>22.249999999999989</v>
      </c>
    </row>
    <row r="55" spans="1:9" x14ac:dyDescent="0.25">
      <c r="A55">
        <f t="shared" si="2"/>
        <v>4.3999999999999997E-2</v>
      </c>
      <c r="B55">
        <f t="shared" si="3"/>
        <v>141.04109367862026</v>
      </c>
      <c r="C55">
        <f t="shared" si="4"/>
        <v>0.30901699437494795</v>
      </c>
      <c r="D55">
        <f t="shared" si="5"/>
        <v>0.95105651629515342</v>
      </c>
      <c r="E55">
        <f t="shared" ca="1" si="10"/>
        <v>0</v>
      </c>
      <c r="F55">
        <f t="shared" ca="1" si="11"/>
        <v>37.866812911568488</v>
      </c>
      <c r="G55">
        <f t="shared" ca="1" si="12"/>
        <v>92.558819711973825</v>
      </c>
      <c r="H55">
        <f t="shared" ca="1" si="8"/>
        <v>100.00515299999998</v>
      </c>
      <c r="I55">
        <f t="shared" ca="1" si="9"/>
        <v>22.249999999999989</v>
      </c>
    </row>
    <row r="56" spans="1:9" x14ac:dyDescent="0.25">
      <c r="A56">
        <f t="shared" si="2"/>
        <v>4.4999999999999998E-2</v>
      </c>
      <c r="B56">
        <f t="shared" si="3"/>
        <v>130.89919348320444</v>
      </c>
      <c r="C56">
        <f t="shared" si="4"/>
        <v>5.51316804708879E-16</v>
      </c>
      <c r="D56">
        <f t="shared" si="5"/>
        <v>1</v>
      </c>
      <c r="E56">
        <f t="shared" ca="1" si="10"/>
        <v>6.0290972214716017E-15</v>
      </c>
      <c r="F56">
        <f t="shared" ca="1" si="11"/>
        <v>37.866812911568488</v>
      </c>
      <c r="G56">
        <f t="shared" ca="1" si="12"/>
        <v>92.558819711973825</v>
      </c>
      <c r="H56">
        <f t="shared" ca="1" si="8"/>
        <v>100.00515299999998</v>
      </c>
      <c r="I56">
        <f t="shared" ca="1" si="9"/>
        <v>22.249999999999989</v>
      </c>
    </row>
    <row r="57" spans="1:9" x14ac:dyDescent="0.25">
      <c r="A57">
        <f t="shared" si="2"/>
        <v>4.5999999999999999E-2</v>
      </c>
      <c r="B57">
        <f t="shared" si="3"/>
        <v>107.94396820134313</v>
      </c>
      <c r="C57">
        <f t="shared" si="4"/>
        <v>-0.3090169943749469</v>
      </c>
      <c r="D57">
        <f t="shared" si="5"/>
        <v>0.95105651629515375</v>
      </c>
      <c r="E57">
        <f t="shared" ca="1" si="10"/>
        <v>1.3063043979855138E-14</v>
      </c>
      <c r="F57">
        <f t="shared" ca="1" si="11"/>
        <v>37.866812911568481</v>
      </c>
      <c r="G57">
        <f t="shared" ca="1" si="12"/>
        <v>92.55881971197384</v>
      </c>
      <c r="H57">
        <f t="shared" ca="1" si="8"/>
        <v>100.00515299999999</v>
      </c>
      <c r="I57">
        <f t="shared" ca="1" si="9"/>
        <v>22.249999999999979</v>
      </c>
    </row>
    <row r="58" spans="1:9" x14ac:dyDescent="0.25">
      <c r="A58">
        <f t="shared" si="2"/>
        <v>4.7E-2</v>
      </c>
      <c r="B58">
        <f t="shared" si="3"/>
        <v>74.422435222084019</v>
      </c>
      <c r="C58">
        <f t="shared" si="4"/>
        <v>-0.58778525229247269</v>
      </c>
      <c r="D58">
        <f t="shared" si="5"/>
        <v>0.80901699437494778</v>
      </c>
      <c r="E58">
        <f t="shared" ca="1" si="10"/>
        <v>3.0145486107358008E-15</v>
      </c>
      <c r="F58">
        <f t="shared" ca="1" si="11"/>
        <v>37.866812911568481</v>
      </c>
      <c r="G58">
        <f t="shared" ca="1" si="12"/>
        <v>92.55881971197384</v>
      </c>
      <c r="H58">
        <f t="shared" ca="1" si="8"/>
        <v>100.00515299999999</v>
      </c>
      <c r="I58">
        <f t="shared" ca="1" si="9"/>
        <v>22.249999999999979</v>
      </c>
    </row>
    <row r="59" spans="1:9" x14ac:dyDescent="0.25">
      <c r="A59">
        <f t="shared" si="2"/>
        <v>4.8000000000000001E-2</v>
      </c>
      <c r="B59">
        <f t="shared" si="3"/>
        <v>33.615915751690522</v>
      </c>
      <c r="C59">
        <f t="shared" si="4"/>
        <v>-0.80901699437494812</v>
      </c>
      <c r="D59">
        <f t="shared" si="5"/>
        <v>0.58778525229247214</v>
      </c>
      <c r="E59">
        <f t="shared" ca="1" si="10"/>
        <v>-1.5072743053679003E-14</v>
      </c>
      <c r="F59">
        <f t="shared" ca="1" si="11"/>
        <v>37.866812911568495</v>
      </c>
      <c r="G59">
        <f t="shared" ca="1" si="12"/>
        <v>92.558819711973825</v>
      </c>
      <c r="H59">
        <f t="shared" ca="1" si="8"/>
        <v>100.00515299999998</v>
      </c>
      <c r="I59">
        <f t="shared" ca="1" si="9"/>
        <v>22.249999999999993</v>
      </c>
    </row>
    <row r="60" spans="1:9" x14ac:dyDescent="0.25">
      <c r="A60">
        <f t="shared" si="2"/>
        <v>4.9000000000000002E-2</v>
      </c>
      <c r="B60">
        <f t="shared" si="3"/>
        <v>-10.481163768335454</v>
      </c>
      <c r="C60">
        <f t="shared" si="4"/>
        <v>-0.95105651629515398</v>
      </c>
      <c r="D60">
        <f t="shared" si="5"/>
        <v>0.30901699437494629</v>
      </c>
      <c r="E60">
        <f t="shared" ca="1" si="10"/>
        <v>-1.5323955437906987E-14</v>
      </c>
      <c r="F60">
        <f t="shared" ca="1" si="11"/>
        <v>37.866812911568509</v>
      </c>
      <c r="G60">
        <f t="shared" ca="1" si="12"/>
        <v>92.558819711973825</v>
      </c>
      <c r="H60">
        <f t="shared" ca="1" si="8"/>
        <v>100.00515299999998</v>
      </c>
      <c r="I60">
        <f t="shared" ca="1" si="9"/>
        <v>22.25</v>
      </c>
    </row>
    <row r="61" spans="1:9" x14ac:dyDescent="0.25">
      <c r="A61">
        <f t="shared" si="2"/>
        <v>0.05</v>
      </c>
      <c r="B61">
        <f t="shared" si="3"/>
        <v>-53.552273952154728</v>
      </c>
      <c r="C61">
        <f t="shared" si="4"/>
        <v>-1</v>
      </c>
      <c r="D61">
        <f t="shared" si="5"/>
        <v>-1.1637826119459405E-15</v>
      </c>
      <c r="E61">
        <f t="shared" ca="1" si="10"/>
        <v>-1.4067893516767071E-14</v>
      </c>
      <c r="F61">
        <f t="shared" ca="1" si="11"/>
        <v>37.866812911568523</v>
      </c>
      <c r="G61">
        <f t="shared" ca="1" si="12"/>
        <v>92.558819711973825</v>
      </c>
      <c r="H61">
        <f t="shared" ca="1" si="8"/>
        <v>100.00515299999998</v>
      </c>
      <c r="I61">
        <f t="shared" ca="1" si="9"/>
        <v>22.250000000000011</v>
      </c>
    </row>
    <row r="62" spans="1:9" x14ac:dyDescent="0.25">
      <c r="A62">
        <f t="shared" si="2"/>
        <v>5.1000000000000004E-2</v>
      </c>
      <c r="B62">
        <f t="shared" si="3"/>
        <v>-91.381314440904688</v>
      </c>
      <c r="C62">
        <f t="shared" si="4"/>
        <v>-0.9510565162951532</v>
      </c>
      <c r="D62">
        <f t="shared" si="5"/>
        <v>-0.30901699437494851</v>
      </c>
      <c r="E62">
        <f t="shared" ca="1" si="10"/>
        <v>-2.6126087959710276E-14</v>
      </c>
      <c r="F62">
        <f t="shared" ca="1" si="11"/>
        <v>37.866812911568545</v>
      </c>
      <c r="G62">
        <f t="shared" ca="1" si="12"/>
        <v>92.55881971197384</v>
      </c>
      <c r="H62">
        <f t="shared" ca="1" si="8"/>
        <v>100.00515300000001</v>
      </c>
      <c r="I62">
        <f t="shared" ca="1" si="9"/>
        <v>22.250000000000014</v>
      </c>
    </row>
    <row r="63" spans="1:9" x14ac:dyDescent="0.25">
      <c r="A63">
        <f t="shared" si="2"/>
        <v>5.2000000000000005E-2</v>
      </c>
      <c r="B63">
        <f t="shared" si="3"/>
        <v>-120.2653151811228</v>
      </c>
      <c r="C63">
        <f t="shared" si="4"/>
        <v>-0.80901699437494567</v>
      </c>
      <c r="D63">
        <f t="shared" si="5"/>
        <v>-0.58778525229247547</v>
      </c>
      <c r="E63">
        <f t="shared" ca="1" si="10"/>
        <v>-2.6126087959710276E-14</v>
      </c>
      <c r="F63">
        <f t="shared" ca="1" si="11"/>
        <v>37.866812911568566</v>
      </c>
      <c r="G63">
        <f t="shared" ca="1" si="12"/>
        <v>92.558819711973854</v>
      </c>
      <c r="H63">
        <f t="shared" ca="1" si="8"/>
        <v>100.00515300000002</v>
      </c>
      <c r="I63">
        <f t="shared" ca="1" si="9"/>
        <v>22.250000000000025</v>
      </c>
    </row>
    <row r="64" spans="1:9" x14ac:dyDescent="0.25">
      <c r="A64">
        <f t="shared" si="2"/>
        <v>5.2999999999999999E-2</v>
      </c>
      <c r="B64">
        <f t="shared" si="3"/>
        <v>-137.37690893368966</v>
      </c>
      <c r="C64">
        <f t="shared" si="4"/>
        <v>-0.58778525229247225</v>
      </c>
      <c r="D64">
        <f t="shared" si="5"/>
        <v>-0.80901699437494812</v>
      </c>
      <c r="E64">
        <f t="shared" ca="1" si="10"/>
        <v>-4.0193981476477345E-15</v>
      </c>
      <c r="F64">
        <f t="shared" ca="1" si="11"/>
        <v>37.866812911568566</v>
      </c>
      <c r="G64">
        <f t="shared" ca="1" si="12"/>
        <v>92.558819711973854</v>
      </c>
      <c r="H64">
        <f t="shared" ca="1" si="8"/>
        <v>100.00515300000002</v>
      </c>
      <c r="I64">
        <f t="shared" ca="1" si="9"/>
        <v>22.250000000000025</v>
      </c>
    </row>
    <row r="65" spans="1:9" x14ac:dyDescent="0.25">
      <c r="A65">
        <f t="shared" si="2"/>
        <v>5.3999999999999999E-2</v>
      </c>
      <c r="B65">
        <f t="shared" si="3"/>
        <v>-141.04109367862026</v>
      </c>
      <c r="C65">
        <f t="shared" si="4"/>
        <v>-0.30901699437494806</v>
      </c>
      <c r="D65">
        <f t="shared" si="5"/>
        <v>-0.95105651629515342</v>
      </c>
      <c r="E65">
        <f t="shared" ca="1" si="10"/>
        <v>0</v>
      </c>
      <c r="F65">
        <f t="shared" ca="1" si="11"/>
        <v>37.866812911568566</v>
      </c>
      <c r="G65">
        <f t="shared" ca="1" si="12"/>
        <v>92.558819711973854</v>
      </c>
      <c r="H65">
        <f t="shared" ca="1" si="8"/>
        <v>100.00515300000002</v>
      </c>
      <c r="I65">
        <f t="shared" ca="1" si="9"/>
        <v>22.250000000000025</v>
      </c>
    </row>
    <row r="66" spans="1:9" x14ac:dyDescent="0.25">
      <c r="A66">
        <f t="shared" si="2"/>
        <v>5.5E-2</v>
      </c>
      <c r="B66">
        <f t="shared" si="3"/>
        <v>-130.89919348320427</v>
      </c>
      <c r="C66">
        <f t="shared" si="4"/>
        <v>1.1025251892005095E-15</v>
      </c>
      <c r="D66">
        <f t="shared" si="5"/>
        <v>-1</v>
      </c>
      <c r="E66">
        <f t="shared" ca="1" si="10"/>
        <v>6.0290972214716017E-15</v>
      </c>
      <c r="F66">
        <f t="shared" ca="1" si="11"/>
        <v>37.866812911568566</v>
      </c>
      <c r="G66">
        <f t="shared" ca="1" si="12"/>
        <v>92.558819711973854</v>
      </c>
      <c r="H66">
        <f t="shared" ca="1" si="8"/>
        <v>100.00515300000002</v>
      </c>
      <c r="I66">
        <f t="shared" ca="1" si="9"/>
        <v>22.250000000000025</v>
      </c>
    </row>
    <row r="67" spans="1:9" x14ac:dyDescent="0.25">
      <c r="A67">
        <f t="shared" si="2"/>
        <v>5.6000000000000001E-2</v>
      </c>
      <c r="B67">
        <f t="shared" si="3"/>
        <v>-107.94396820134297</v>
      </c>
      <c r="C67">
        <f t="shared" si="4"/>
        <v>0.30901699437494679</v>
      </c>
      <c r="D67">
        <f t="shared" si="5"/>
        <v>-0.95105651629515375</v>
      </c>
      <c r="E67">
        <f t="shared" ca="1" si="10"/>
        <v>-1.0048495369119336E-15</v>
      </c>
      <c r="F67">
        <f t="shared" ca="1" si="11"/>
        <v>37.866812911568566</v>
      </c>
      <c r="G67">
        <f t="shared" ca="1" si="12"/>
        <v>92.558819711973854</v>
      </c>
      <c r="H67">
        <f t="shared" ca="1" si="8"/>
        <v>100.00515300000002</v>
      </c>
      <c r="I67">
        <f t="shared" ca="1" si="9"/>
        <v>22.250000000000025</v>
      </c>
    </row>
    <row r="68" spans="1:9" x14ac:dyDescent="0.25">
      <c r="A68">
        <f t="shared" si="2"/>
        <v>5.7000000000000002E-2</v>
      </c>
      <c r="B68">
        <f t="shared" si="3"/>
        <v>-74.422435222083593</v>
      </c>
      <c r="C68">
        <f t="shared" si="4"/>
        <v>0.58778525229247403</v>
      </c>
      <c r="D68">
        <f t="shared" si="5"/>
        <v>-0.80901699437494679</v>
      </c>
      <c r="E68">
        <f t="shared" ca="1" si="10"/>
        <v>2.9140636570446072E-14</v>
      </c>
      <c r="F68">
        <f t="shared" ca="1" si="11"/>
        <v>37.86681291156858</v>
      </c>
      <c r="G68">
        <f t="shared" ca="1" si="12"/>
        <v>92.558819711973825</v>
      </c>
      <c r="H68">
        <f t="shared" ca="1" si="8"/>
        <v>100.00515300000001</v>
      </c>
      <c r="I68">
        <f t="shared" ca="1" si="9"/>
        <v>22.250000000000039</v>
      </c>
    </row>
    <row r="69" spans="1:9" x14ac:dyDescent="0.25">
      <c r="A69">
        <f t="shared" si="2"/>
        <v>5.8000000000000003E-2</v>
      </c>
      <c r="B69">
        <f t="shared" si="3"/>
        <v>-33.615915751690544</v>
      </c>
      <c r="C69">
        <f t="shared" si="4"/>
        <v>0.80901699437494701</v>
      </c>
      <c r="D69">
        <f t="shared" si="5"/>
        <v>-0.58778525229247369</v>
      </c>
      <c r="E69">
        <f t="shared" ca="1" si="10"/>
        <v>1.4570318285223036E-14</v>
      </c>
      <c r="F69">
        <f t="shared" ca="1" si="11"/>
        <v>37.866812911568594</v>
      </c>
      <c r="G69">
        <f t="shared" ca="1" si="12"/>
        <v>92.558819711973811</v>
      </c>
      <c r="H69">
        <f t="shared" ca="1" si="8"/>
        <v>100.00515300000001</v>
      </c>
      <c r="I69">
        <f t="shared" ca="1" si="9"/>
        <v>22.25000000000005</v>
      </c>
    </row>
    <row r="70" spans="1:9" x14ac:dyDescent="0.25">
      <c r="A70">
        <f t="shared" si="2"/>
        <v>5.9000000000000004E-2</v>
      </c>
      <c r="B70">
        <f t="shared" si="3"/>
        <v>10.481163768335687</v>
      </c>
      <c r="C70">
        <f t="shared" si="4"/>
        <v>0.95105651629515386</v>
      </c>
      <c r="D70">
        <f t="shared" si="5"/>
        <v>-0.3090169943749464</v>
      </c>
      <c r="E70">
        <f t="shared" ca="1" si="10"/>
        <v>3.3034428525979815E-14</v>
      </c>
      <c r="F70">
        <f t="shared" ca="1" si="11"/>
        <v>37.866812911568623</v>
      </c>
      <c r="G70">
        <f t="shared" ca="1" si="12"/>
        <v>92.558819711973797</v>
      </c>
      <c r="H70">
        <f t="shared" ca="1" si="8"/>
        <v>100.00515300000001</v>
      </c>
      <c r="I70">
        <f t="shared" ca="1" si="9"/>
        <v>22.250000000000068</v>
      </c>
    </row>
    <row r="71" spans="1:9" x14ac:dyDescent="0.25">
      <c r="A71">
        <f t="shared" si="2"/>
        <v>0.06</v>
      </c>
      <c r="B71">
        <f t="shared" si="3"/>
        <v>53.552273952154714</v>
      </c>
      <c r="C71">
        <f t="shared" si="4"/>
        <v>1</v>
      </c>
      <c r="D71">
        <f t="shared" si="5"/>
        <v>-7.3508907294517201E-16</v>
      </c>
      <c r="E71">
        <f t="shared" ca="1" si="10"/>
        <v>1.4067893516767071E-14</v>
      </c>
      <c r="F71">
        <f t="shared" ca="1" si="11"/>
        <v>37.866812911568637</v>
      </c>
      <c r="G71">
        <f t="shared" ca="1" si="12"/>
        <v>92.558819711973797</v>
      </c>
      <c r="H71">
        <f t="shared" ca="1" si="8"/>
        <v>100.00515300000001</v>
      </c>
      <c r="I71">
        <f t="shared" ca="1" si="9"/>
        <v>22.250000000000075</v>
      </c>
    </row>
    <row r="72" spans="1:9" x14ac:dyDescent="0.25">
      <c r="A72">
        <f t="shared" si="2"/>
        <v>6.0999999999999999E-2</v>
      </c>
      <c r="B72">
        <f t="shared" si="3"/>
        <v>91.38131444090466</v>
      </c>
      <c r="C72">
        <f t="shared" si="4"/>
        <v>0.95105651629515331</v>
      </c>
      <c r="D72">
        <f t="shared" si="5"/>
        <v>0.30901699437494839</v>
      </c>
      <c r="E72">
        <f t="shared" ca="1" si="10"/>
        <v>1.2058194442943203E-14</v>
      </c>
      <c r="F72">
        <f t="shared" ca="1" si="11"/>
        <v>37.866812911568651</v>
      </c>
      <c r="G72">
        <f t="shared" ca="1" si="12"/>
        <v>92.558819711973797</v>
      </c>
      <c r="H72">
        <f t="shared" ca="1" si="8"/>
        <v>100.00515300000002</v>
      </c>
      <c r="I72">
        <f t="shared" ca="1" si="9"/>
        <v>22.250000000000082</v>
      </c>
    </row>
    <row r="73" spans="1:9" x14ac:dyDescent="0.25">
      <c r="A73">
        <f t="shared" si="2"/>
        <v>6.2E-2</v>
      </c>
      <c r="B73">
        <f t="shared" si="3"/>
        <v>120.26531518112252</v>
      </c>
      <c r="C73">
        <f t="shared" si="4"/>
        <v>0.8090169943749479</v>
      </c>
      <c r="D73">
        <f t="shared" si="5"/>
        <v>0.58778525229247247</v>
      </c>
      <c r="E73">
        <f t="shared" ca="1" si="10"/>
        <v>-1.0048495369119336E-15</v>
      </c>
      <c r="F73">
        <f t="shared" ca="1" si="11"/>
        <v>37.866812911568651</v>
      </c>
      <c r="G73">
        <f t="shared" ca="1" si="12"/>
        <v>92.558819711973797</v>
      </c>
      <c r="H73">
        <f t="shared" ca="1" si="8"/>
        <v>100.00515300000002</v>
      </c>
      <c r="I73">
        <f t="shared" ca="1" si="9"/>
        <v>22.250000000000082</v>
      </c>
    </row>
    <row r="74" spans="1:9" x14ac:dyDescent="0.25">
      <c r="A74">
        <f t="shared" si="2"/>
        <v>6.3E-2</v>
      </c>
      <c r="B74">
        <f t="shared" si="3"/>
        <v>137.37690893368966</v>
      </c>
      <c r="C74">
        <f t="shared" si="4"/>
        <v>0.58778525229247236</v>
      </c>
      <c r="D74">
        <f t="shared" si="5"/>
        <v>0.80901699437494801</v>
      </c>
      <c r="E74">
        <f t="shared" ca="1" si="10"/>
        <v>4.0193981476477345E-15</v>
      </c>
      <c r="F74">
        <f t="shared" ca="1" si="11"/>
        <v>37.866812911568651</v>
      </c>
      <c r="G74">
        <f t="shared" ca="1" si="12"/>
        <v>92.558819711973797</v>
      </c>
      <c r="H74">
        <f t="shared" ca="1" si="8"/>
        <v>100.00515300000002</v>
      </c>
      <c r="I74">
        <f t="shared" ca="1" si="9"/>
        <v>22.250000000000082</v>
      </c>
    </row>
    <row r="75" spans="1:9" x14ac:dyDescent="0.25">
      <c r="A75">
        <f t="shared" si="2"/>
        <v>6.4000000000000001E-2</v>
      </c>
      <c r="B75">
        <f t="shared" si="3"/>
        <v>141.04109367862026</v>
      </c>
      <c r="C75">
        <f t="shared" si="4"/>
        <v>0.30901699437494817</v>
      </c>
      <c r="D75">
        <f t="shared" si="5"/>
        <v>0.95105651629515331</v>
      </c>
      <c r="E75">
        <f t="shared" ref="E75:E100" ca="1" si="13">(1.4142/$B$2)*(B75-IF((ROW($A75)-ROW($A$11))&lt;$B$2,0,OFFSET($B75,-$B$2,0)))</f>
        <v>0</v>
      </c>
      <c r="F75">
        <f t="shared" ca="1" si="11"/>
        <v>37.866812911568651</v>
      </c>
      <c r="G75">
        <f t="shared" ca="1" si="12"/>
        <v>92.558819711973797</v>
      </c>
      <c r="H75">
        <f t="shared" ca="1" si="8"/>
        <v>100.00515300000002</v>
      </c>
      <c r="I75">
        <f t="shared" ca="1" si="9"/>
        <v>22.250000000000082</v>
      </c>
    </row>
    <row r="76" spans="1:9" x14ac:dyDescent="0.25">
      <c r="A76">
        <f t="shared" ref="A76:A139" si="14">(ROW($A76)-ROW($A$11))*$B$4+$B$5</f>
        <v>6.5000000000000002E-2</v>
      </c>
      <c r="B76">
        <f t="shared" ref="B76:B99" si="15">$B$6*SIN((A76*$C$1)+$C$7)</f>
        <v>130.89919348320427</v>
      </c>
      <c r="C76">
        <f t="shared" ref="C76:C139" si="16">COS($A76*$C$1)</f>
        <v>-9.8001034370964746E-16</v>
      </c>
      <c r="D76">
        <f t="shared" ref="D76:D139" si="17">SIN($A76*$C$1)</f>
        <v>1</v>
      </c>
      <c r="E76">
        <f t="shared" ca="1" si="13"/>
        <v>-1.2058194442943203E-14</v>
      </c>
      <c r="F76">
        <f t="shared" ref="F76:F100" ca="1" si="18">F75+$E76*COS($A76*$C$1)</f>
        <v>37.866812911568651</v>
      </c>
      <c r="G76">
        <f t="shared" ref="G76:G100" ca="1" si="19">G75+$E76*SIN($A76*$C$1)</f>
        <v>92.558819711973783</v>
      </c>
      <c r="H76">
        <f t="shared" ref="H76:H100" ca="1" si="20">IF(F76="","",SQRT(F76^2+G76^2))</f>
        <v>100.00515300000001</v>
      </c>
      <c r="I76">
        <f t="shared" ref="I76:I100" ca="1" si="21">IF(F76="","",ATAN2(G76,F76)*180/PI())</f>
        <v>22.250000000000089</v>
      </c>
    </row>
    <row r="77" spans="1:9" x14ac:dyDescent="0.25">
      <c r="A77">
        <f t="shared" si="14"/>
        <v>6.6000000000000003E-2</v>
      </c>
      <c r="B77">
        <f t="shared" si="15"/>
        <v>107.94396820134266</v>
      </c>
      <c r="C77">
        <f t="shared" si="16"/>
        <v>-0.30901699437495006</v>
      </c>
      <c r="D77">
        <f t="shared" si="17"/>
        <v>0.95105651629515275</v>
      </c>
      <c r="E77">
        <f t="shared" ca="1" si="13"/>
        <v>-3.316003471809381E-14</v>
      </c>
      <c r="F77">
        <f t="shared" ca="1" si="18"/>
        <v>37.866812911568658</v>
      </c>
      <c r="G77">
        <f t="shared" ca="1" si="19"/>
        <v>92.558819711973754</v>
      </c>
      <c r="H77">
        <f t="shared" ca="1" si="20"/>
        <v>100.00515299999998</v>
      </c>
      <c r="I77">
        <f t="shared" ca="1" si="21"/>
        <v>22.250000000000096</v>
      </c>
    </row>
    <row r="78" spans="1:9" x14ac:dyDescent="0.25">
      <c r="A78">
        <f t="shared" si="14"/>
        <v>6.7000000000000004E-2</v>
      </c>
      <c r="B78">
        <f t="shared" si="15"/>
        <v>74.422435222083607</v>
      </c>
      <c r="C78">
        <f t="shared" si="16"/>
        <v>-0.58778525229247391</v>
      </c>
      <c r="D78">
        <f t="shared" si="17"/>
        <v>0.8090169943749469</v>
      </c>
      <c r="E78">
        <f t="shared" ca="1" si="13"/>
        <v>-2.9140636570446072E-14</v>
      </c>
      <c r="F78">
        <f t="shared" ca="1" si="18"/>
        <v>37.866812911568672</v>
      </c>
      <c r="G78">
        <f t="shared" ca="1" si="19"/>
        <v>92.558819711973726</v>
      </c>
      <c r="H78">
        <f t="shared" ca="1" si="20"/>
        <v>100.00515299999995</v>
      </c>
      <c r="I78">
        <f t="shared" ca="1" si="21"/>
        <v>22.25000000000011</v>
      </c>
    </row>
    <row r="79" spans="1:9" x14ac:dyDescent="0.25">
      <c r="A79">
        <f t="shared" si="14"/>
        <v>6.8000000000000005E-2</v>
      </c>
      <c r="B79">
        <f t="shared" si="15"/>
        <v>33.615915751690068</v>
      </c>
      <c r="C79">
        <f t="shared" si="16"/>
        <v>-0.80901699437494901</v>
      </c>
      <c r="D79">
        <f t="shared" si="17"/>
        <v>0.58778525229247092</v>
      </c>
      <c r="E79">
        <f t="shared" ca="1" si="13"/>
        <v>-3.2155185181181876E-14</v>
      </c>
      <c r="F79">
        <f t="shared" ca="1" si="18"/>
        <v>37.866812911568701</v>
      </c>
      <c r="G79">
        <f t="shared" ca="1" si="19"/>
        <v>92.558819711973712</v>
      </c>
      <c r="H79">
        <f t="shared" ca="1" si="20"/>
        <v>100.00515299999995</v>
      </c>
      <c r="I79">
        <f t="shared" ca="1" si="21"/>
        <v>22.250000000000128</v>
      </c>
    </row>
    <row r="80" spans="1:9" x14ac:dyDescent="0.25">
      <c r="A80">
        <f t="shared" si="14"/>
        <v>6.9000000000000006E-2</v>
      </c>
      <c r="B80">
        <f t="shared" si="15"/>
        <v>-10.481163768335669</v>
      </c>
      <c r="C80">
        <f t="shared" si="16"/>
        <v>-0.95105651629515386</v>
      </c>
      <c r="D80">
        <f t="shared" si="17"/>
        <v>0.30901699437494656</v>
      </c>
      <c r="E80">
        <f t="shared" ca="1" si="13"/>
        <v>-1.5198349245792995E-14</v>
      </c>
      <c r="F80">
        <f t="shared" ca="1" si="18"/>
        <v>37.866812911568715</v>
      </c>
      <c r="G80">
        <f t="shared" ca="1" si="19"/>
        <v>92.558819711973712</v>
      </c>
      <c r="H80">
        <f t="shared" ca="1" si="20"/>
        <v>100.00515299999996</v>
      </c>
      <c r="I80">
        <f t="shared" ca="1" si="21"/>
        <v>22.250000000000131</v>
      </c>
    </row>
    <row r="81" spans="1:9" x14ac:dyDescent="0.25">
      <c r="A81">
        <f t="shared" si="14"/>
        <v>7.0000000000000007E-2</v>
      </c>
      <c r="B81">
        <f t="shared" si="15"/>
        <v>-53.552273952155161</v>
      </c>
      <c r="C81">
        <f t="shared" si="16"/>
        <v>-1</v>
      </c>
      <c r="D81">
        <f t="shared" si="17"/>
        <v>-2.6951097603644669E-15</v>
      </c>
      <c r="E81">
        <f t="shared" ca="1" si="13"/>
        <v>-3.0647910875813974E-14</v>
      </c>
      <c r="F81">
        <f t="shared" ca="1" si="18"/>
        <v>37.866812911568744</v>
      </c>
      <c r="G81">
        <f t="shared" ca="1" si="19"/>
        <v>92.558819711973712</v>
      </c>
      <c r="H81">
        <f t="shared" ca="1" si="20"/>
        <v>100.00515299999998</v>
      </c>
      <c r="I81">
        <f t="shared" ca="1" si="21"/>
        <v>22.250000000000149</v>
      </c>
    </row>
    <row r="82" spans="1:9" x14ac:dyDescent="0.25">
      <c r="A82">
        <f t="shared" si="14"/>
        <v>7.1000000000000008E-2</v>
      </c>
      <c r="B82">
        <f t="shared" si="15"/>
        <v>-91.381314440904646</v>
      </c>
      <c r="C82">
        <f t="shared" si="16"/>
        <v>-0.95105651629515331</v>
      </c>
      <c r="D82">
        <f t="shared" si="17"/>
        <v>-0.30901699437494828</v>
      </c>
      <c r="E82">
        <f t="shared" ca="1" si="13"/>
        <v>3.0145486107358008E-15</v>
      </c>
      <c r="F82">
        <f t="shared" ca="1" si="18"/>
        <v>37.866812911568744</v>
      </c>
      <c r="G82">
        <f t="shared" ca="1" si="19"/>
        <v>92.558819711973712</v>
      </c>
      <c r="H82">
        <f t="shared" ca="1" si="20"/>
        <v>100.00515299999998</v>
      </c>
      <c r="I82">
        <f t="shared" ca="1" si="21"/>
        <v>22.250000000000149</v>
      </c>
    </row>
    <row r="83" spans="1:9" x14ac:dyDescent="0.25">
      <c r="A83">
        <f t="shared" si="14"/>
        <v>7.2000000000000008E-2</v>
      </c>
      <c r="B83">
        <f t="shared" si="15"/>
        <v>-120.26531518112279</v>
      </c>
      <c r="C83">
        <f t="shared" si="16"/>
        <v>-0.8090169943749459</v>
      </c>
      <c r="D83">
        <f t="shared" si="17"/>
        <v>-0.58778525229247525</v>
      </c>
      <c r="E83">
        <f t="shared" ca="1" si="13"/>
        <v>1.0048495369119336E-15</v>
      </c>
      <c r="F83">
        <f t="shared" ca="1" si="18"/>
        <v>37.866812911568744</v>
      </c>
      <c r="G83">
        <f t="shared" ca="1" si="19"/>
        <v>92.558819711973712</v>
      </c>
      <c r="H83">
        <f t="shared" ca="1" si="20"/>
        <v>100.00515299999998</v>
      </c>
      <c r="I83">
        <f t="shared" ca="1" si="21"/>
        <v>22.250000000000149</v>
      </c>
    </row>
    <row r="84" spans="1:9" x14ac:dyDescent="0.25">
      <c r="A84">
        <f t="shared" si="14"/>
        <v>7.2999999999999995E-2</v>
      </c>
      <c r="B84">
        <f t="shared" si="15"/>
        <v>-137.37690893368955</v>
      </c>
      <c r="C84">
        <f t="shared" si="16"/>
        <v>-0.58778525229247525</v>
      </c>
      <c r="D84">
        <f t="shared" si="17"/>
        <v>-0.8090169943749459</v>
      </c>
      <c r="E84">
        <f t="shared" ca="1" si="13"/>
        <v>8.0387962952954689E-15</v>
      </c>
      <c r="F84">
        <f t="shared" ca="1" si="18"/>
        <v>37.866812911568736</v>
      </c>
      <c r="G84">
        <f t="shared" ca="1" si="19"/>
        <v>92.558819711973712</v>
      </c>
      <c r="H84">
        <f t="shared" ca="1" si="20"/>
        <v>100.00515299999996</v>
      </c>
      <c r="I84">
        <f t="shared" ca="1" si="21"/>
        <v>22.250000000000146</v>
      </c>
    </row>
    <row r="85" spans="1:9" x14ac:dyDescent="0.25">
      <c r="A85">
        <f t="shared" si="14"/>
        <v>7.3999999999999996E-2</v>
      </c>
      <c r="B85">
        <f t="shared" si="15"/>
        <v>-141.04109367862026</v>
      </c>
      <c r="C85">
        <f t="shared" si="16"/>
        <v>-0.30901699437494828</v>
      </c>
      <c r="D85">
        <f t="shared" si="17"/>
        <v>-0.95105651629515331</v>
      </c>
      <c r="E85">
        <f t="shared" ca="1" si="13"/>
        <v>0</v>
      </c>
      <c r="F85">
        <f t="shared" ca="1" si="18"/>
        <v>37.866812911568736</v>
      </c>
      <c r="G85">
        <f t="shared" ca="1" si="19"/>
        <v>92.558819711973712</v>
      </c>
      <c r="H85">
        <f t="shared" ca="1" si="20"/>
        <v>100.00515299999996</v>
      </c>
      <c r="I85">
        <f t="shared" ca="1" si="21"/>
        <v>22.250000000000146</v>
      </c>
    </row>
    <row r="86" spans="1:9" x14ac:dyDescent="0.25">
      <c r="A86">
        <f t="shared" si="14"/>
        <v>7.4999999999999997E-2</v>
      </c>
      <c r="B86">
        <f t="shared" si="15"/>
        <v>-130.8991934832043</v>
      </c>
      <c r="C86">
        <f t="shared" si="16"/>
        <v>8.5749549821878546E-16</v>
      </c>
      <c r="D86">
        <f t="shared" si="17"/>
        <v>-1</v>
      </c>
      <c r="E86">
        <f t="shared" ca="1" si="13"/>
        <v>-2.0096990738238672E-15</v>
      </c>
      <c r="F86">
        <f t="shared" ca="1" si="18"/>
        <v>37.866812911568736</v>
      </c>
      <c r="G86">
        <f t="shared" ca="1" si="19"/>
        <v>92.558819711973712</v>
      </c>
      <c r="H86">
        <f t="shared" ca="1" si="20"/>
        <v>100.00515299999996</v>
      </c>
      <c r="I86">
        <f t="shared" ca="1" si="21"/>
        <v>22.250000000000146</v>
      </c>
    </row>
    <row r="87" spans="1:9" x14ac:dyDescent="0.25">
      <c r="A87">
        <f t="shared" si="14"/>
        <v>7.5999999999999998E-2</v>
      </c>
      <c r="B87">
        <f t="shared" si="15"/>
        <v>-107.94396820134301</v>
      </c>
      <c r="C87">
        <f t="shared" si="16"/>
        <v>0.30901699437494656</v>
      </c>
      <c r="D87">
        <f t="shared" si="17"/>
        <v>-0.95105651629515386</v>
      </c>
      <c r="E87">
        <f t="shared" ca="1" si="13"/>
        <v>-3.0145486107358008E-15</v>
      </c>
      <c r="F87">
        <f t="shared" ca="1" si="18"/>
        <v>37.866812911568736</v>
      </c>
      <c r="G87">
        <f t="shared" ca="1" si="19"/>
        <v>92.558819711973712</v>
      </c>
      <c r="H87">
        <f t="shared" ca="1" si="20"/>
        <v>100.00515299999996</v>
      </c>
      <c r="I87">
        <f t="shared" ca="1" si="21"/>
        <v>22.250000000000146</v>
      </c>
    </row>
    <row r="88" spans="1:9" x14ac:dyDescent="0.25">
      <c r="A88">
        <f t="shared" si="14"/>
        <v>7.6999999999999999E-2</v>
      </c>
      <c r="B88">
        <f t="shared" si="15"/>
        <v>-74.422435222083621</v>
      </c>
      <c r="C88">
        <f t="shared" si="16"/>
        <v>0.5877852522924738</v>
      </c>
      <c r="D88">
        <f t="shared" si="17"/>
        <v>-0.8090169943749469</v>
      </c>
      <c r="E88">
        <f t="shared" ca="1" si="13"/>
        <v>-2.0096990738238672E-15</v>
      </c>
      <c r="F88">
        <f t="shared" ca="1" si="18"/>
        <v>37.866812911568736</v>
      </c>
      <c r="G88">
        <f t="shared" ca="1" si="19"/>
        <v>92.558819711973712</v>
      </c>
      <c r="H88">
        <f t="shared" ca="1" si="20"/>
        <v>100.00515299999996</v>
      </c>
      <c r="I88">
        <f t="shared" ca="1" si="21"/>
        <v>22.250000000000146</v>
      </c>
    </row>
    <row r="89" spans="1:9" x14ac:dyDescent="0.25">
      <c r="A89">
        <f t="shared" si="14"/>
        <v>7.8E-2</v>
      </c>
      <c r="B89">
        <f t="shared" si="15"/>
        <v>-33.615915751690579</v>
      </c>
      <c r="C89">
        <f t="shared" si="16"/>
        <v>0.8090169943749469</v>
      </c>
      <c r="D89">
        <f t="shared" si="17"/>
        <v>-0.58778525229247391</v>
      </c>
      <c r="E89">
        <f t="shared" ca="1" si="13"/>
        <v>-2.512123842279834E-15</v>
      </c>
      <c r="F89">
        <f t="shared" ca="1" si="18"/>
        <v>37.866812911568736</v>
      </c>
      <c r="G89">
        <f t="shared" ca="1" si="19"/>
        <v>92.558819711973712</v>
      </c>
      <c r="H89">
        <f t="shared" ca="1" si="20"/>
        <v>100.00515299999996</v>
      </c>
      <c r="I89">
        <f t="shared" ca="1" si="21"/>
        <v>22.250000000000146</v>
      </c>
    </row>
    <row r="90" spans="1:9" x14ac:dyDescent="0.25">
      <c r="A90">
        <f t="shared" si="14"/>
        <v>7.9000000000000001E-2</v>
      </c>
      <c r="B90">
        <f t="shared" si="15"/>
        <v>10.481163768335652</v>
      </c>
      <c r="C90">
        <f t="shared" si="16"/>
        <v>0.95105651629515386</v>
      </c>
      <c r="D90">
        <f t="shared" si="17"/>
        <v>-0.30901699437494667</v>
      </c>
      <c r="E90">
        <f t="shared" ca="1" si="13"/>
        <v>-2.512123842279834E-15</v>
      </c>
      <c r="F90">
        <f t="shared" ca="1" si="18"/>
        <v>37.866812911568736</v>
      </c>
      <c r="G90">
        <f t="shared" ca="1" si="19"/>
        <v>92.558819711973712</v>
      </c>
      <c r="H90">
        <f t="shared" ca="1" si="20"/>
        <v>100.00515299999996</v>
      </c>
      <c r="I90">
        <f t="shared" ca="1" si="21"/>
        <v>22.250000000000146</v>
      </c>
    </row>
    <row r="91" spans="1:9" x14ac:dyDescent="0.25">
      <c r="A91">
        <f t="shared" si="14"/>
        <v>0.08</v>
      </c>
      <c r="B91">
        <f t="shared" si="15"/>
        <v>53.552273952154678</v>
      </c>
      <c r="C91">
        <f t="shared" si="16"/>
        <v>1</v>
      </c>
      <c r="D91">
        <f t="shared" si="17"/>
        <v>-9.8011876392689601E-16</v>
      </c>
      <c r="E91">
        <f t="shared" ca="1" si="13"/>
        <v>-2.512123842279834E-15</v>
      </c>
      <c r="F91">
        <f t="shared" ca="1" si="18"/>
        <v>37.866812911568736</v>
      </c>
      <c r="G91">
        <f t="shared" ca="1" si="19"/>
        <v>92.558819711973712</v>
      </c>
      <c r="H91">
        <f t="shared" ca="1" si="20"/>
        <v>100.00515299999996</v>
      </c>
      <c r="I91">
        <f t="shared" ca="1" si="21"/>
        <v>22.250000000000146</v>
      </c>
    </row>
    <row r="92" spans="1:9" x14ac:dyDescent="0.25">
      <c r="A92">
        <f t="shared" si="14"/>
        <v>8.1000000000000003E-2</v>
      </c>
      <c r="B92">
        <f t="shared" si="15"/>
        <v>91.381314440904632</v>
      </c>
      <c r="C92">
        <f t="shared" si="16"/>
        <v>0.95105651629515331</v>
      </c>
      <c r="D92">
        <f t="shared" si="17"/>
        <v>0.30901699437494817</v>
      </c>
      <c r="E92">
        <f t="shared" ca="1" si="13"/>
        <v>-2.0096990738238672E-15</v>
      </c>
      <c r="F92">
        <f t="shared" ca="1" si="18"/>
        <v>37.866812911568736</v>
      </c>
      <c r="G92">
        <f t="shared" ca="1" si="19"/>
        <v>92.558819711973712</v>
      </c>
      <c r="H92">
        <f t="shared" ca="1" si="20"/>
        <v>100.00515299999996</v>
      </c>
      <c r="I92">
        <f t="shared" ca="1" si="21"/>
        <v>22.250000000000146</v>
      </c>
    </row>
    <row r="93" spans="1:9" x14ac:dyDescent="0.25">
      <c r="A93">
        <f t="shared" si="14"/>
        <v>8.2000000000000003E-2</v>
      </c>
      <c r="B93">
        <f t="shared" si="15"/>
        <v>120.26531518112277</v>
      </c>
      <c r="C93">
        <f t="shared" si="16"/>
        <v>0.8090169943749459</v>
      </c>
      <c r="D93">
        <f t="shared" si="17"/>
        <v>0.58778525229247514</v>
      </c>
      <c r="E93">
        <f t="shared" ca="1" si="13"/>
        <v>1.8087291664414807E-14</v>
      </c>
      <c r="F93">
        <f t="shared" ca="1" si="18"/>
        <v>37.866812911568751</v>
      </c>
      <c r="G93">
        <f t="shared" ca="1" si="19"/>
        <v>92.558819711973726</v>
      </c>
      <c r="H93">
        <f t="shared" ca="1" si="20"/>
        <v>100.00515299999998</v>
      </c>
      <c r="I93">
        <f t="shared" ca="1" si="21"/>
        <v>22.250000000000149</v>
      </c>
    </row>
    <row r="94" spans="1:9" x14ac:dyDescent="0.25">
      <c r="A94">
        <f t="shared" si="14"/>
        <v>8.3000000000000004E-2</v>
      </c>
      <c r="B94">
        <f t="shared" si="15"/>
        <v>137.37690893368966</v>
      </c>
      <c r="C94">
        <f t="shared" si="16"/>
        <v>0.58778525229247247</v>
      </c>
      <c r="D94">
        <f t="shared" si="17"/>
        <v>0.8090169943749479</v>
      </c>
      <c r="E94">
        <f t="shared" ca="1" si="13"/>
        <v>0</v>
      </c>
      <c r="F94">
        <f t="shared" ca="1" si="18"/>
        <v>37.866812911568751</v>
      </c>
      <c r="G94">
        <f t="shared" ca="1" si="19"/>
        <v>92.558819711973726</v>
      </c>
      <c r="H94">
        <f t="shared" ca="1" si="20"/>
        <v>100.00515299999998</v>
      </c>
      <c r="I94">
        <f t="shared" ca="1" si="21"/>
        <v>22.250000000000149</v>
      </c>
    </row>
    <row r="95" spans="1:9" x14ac:dyDescent="0.25">
      <c r="A95">
        <f t="shared" si="14"/>
        <v>8.4000000000000005E-2</v>
      </c>
      <c r="B95">
        <f t="shared" si="15"/>
        <v>141.04109367862023</v>
      </c>
      <c r="C95">
        <f t="shared" si="16"/>
        <v>0.30901699437494501</v>
      </c>
      <c r="D95">
        <f t="shared" si="17"/>
        <v>0.95105651629515431</v>
      </c>
      <c r="E95">
        <f t="shared" ca="1" si="13"/>
        <v>-2.0096990738238672E-15</v>
      </c>
      <c r="F95">
        <f t="shared" ca="1" si="18"/>
        <v>37.866812911568751</v>
      </c>
      <c r="G95">
        <f t="shared" ca="1" si="19"/>
        <v>92.558819711973726</v>
      </c>
      <c r="H95">
        <f t="shared" ca="1" si="20"/>
        <v>100.00515299999998</v>
      </c>
      <c r="I95">
        <f t="shared" ca="1" si="21"/>
        <v>22.250000000000149</v>
      </c>
    </row>
    <row r="96" spans="1:9" x14ac:dyDescent="0.25">
      <c r="A96">
        <f t="shared" si="14"/>
        <v>8.5000000000000006E-2</v>
      </c>
      <c r="B96">
        <f t="shared" si="15"/>
        <v>130.8991934832043</v>
      </c>
      <c r="C96">
        <f t="shared" si="16"/>
        <v>-7.3498065272792346E-16</v>
      </c>
      <c r="D96">
        <f t="shared" si="17"/>
        <v>1</v>
      </c>
      <c r="E96">
        <f t="shared" ca="1" si="13"/>
        <v>2.0096990738238672E-15</v>
      </c>
      <c r="F96">
        <f t="shared" ca="1" si="18"/>
        <v>37.866812911568751</v>
      </c>
      <c r="G96">
        <f t="shared" ca="1" si="19"/>
        <v>92.558819711973726</v>
      </c>
      <c r="H96">
        <f t="shared" ca="1" si="20"/>
        <v>100.00515299999998</v>
      </c>
      <c r="I96">
        <f t="shared" ca="1" si="21"/>
        <v>22.250000000000149</v>
      </c>
    </row>
    <row r="97" spans="1:9" x14ac:dyDescent="0.25">
      <c r="A97">
        <f t="shared" si="14"/>
        <v>8.6000000000000007E-2</v>
      </c>
      <c r="B97">
        <f t="shared" si="15"/>
        <v>107.94396820134268</v>
      </c>
      <c r="C97">
        <f t="shared" si="16"/>
        <v>-0.30901699437494978</v>
      </c>
      <c r="D97">
        <f t="shared" si="17"/>
        <v>0.95105651629515275</v>
      </c>
      <c r="E97">
        <f t="shared" ca="1" si="13"/>
        <v>2.0096990738238672E-15</v>
      </c>
      <c r="F97">
        <f t="shared" ca="1" si="18"/>
        <v>37.866812911568751</v>
      </c>
      <c r="G97">
        <f t="shared" ca="1" si="19"/>
        <v>92.558819711973726</v>
      </c>
      <c r="H97">
        <f t="shared" ca="1" si="20"/>
        <v>100.00515299999998</v>
      </c>
      <c r="I97">
        <f t="shared" ca="1" si="21"/>
        <v>22.250000000000149</v>
      </c>
    </row>
    <row r="98" spans="1:9" x14ac:dyDescent="0.25">
      <c r="A98">
        <f t="shared" si="14"/>
        <v>8.7000000000000008E-2</v>
      </c>
      <c r="B98">
        <f t="shared" si="15"/>
        <v>74.422435222083209</v>
      </c>
      <c r="C98">
        <f t="shared" si="16"/>
        <v>-0.58778525229247658</v>
      </c>
      <c r="D98">
        <f t="shared" si="17"/>
        <v>0.8090169943749449</v>
      </c>
      <c r="E98">
        <f t="shared" ca="1" si="13"/>
        <v>-2.8135787033534141E-14</v>
      </c>
      <c r="F98">
        <f t="shared" ca="1" si="18"/>
        <v>37.866812911568765</v>
      </c>
      <c r="G98">
        <f t="shared" ca="1" si="19"/>
        <v>92.558819711973698</v>
      </c>
      <c r="H98">
        <f t="shared" ca="1" si="20"/>
        <v>100.00515299999996</v>
      </c>
      <c r="I98">
        <f t="shared" ca="1" si="21"/>
        <v>22.250000000000163</v>
      </c>
    </row>
    <row r="99" spans="1:9" x14ac:dyDescent="0.25">
      <c r="A99">
        <f t="shared" si="14"/>
        <v>8.7999999999999995E-2</v>
      </c>
      <c r="B99">
        <f t="shared" si="15"/>
        <v>33.615915751690594</v>
      </c>
      <c r="C99">
        <f t="shared" si="16"/>
        <v>-0.80901699437494679</v>
      </c>
      <c r="D99">
        <f t="shared" si="17"/>
        <v>0.58778525229247403</v>
      </c>
      <c r="E99">
        <f t="shared" ca="1" si="13"/>
        <v>3.7179432865741541E-14</v>
      </c>
      <c r="F99">
        <f t="shared" ca="1" si="18"/>
        <v>37.866812911568736</v>
      </c>
      <c r="G99">
        <f t="shared" ca="1" si="19"/>
        <v>92.558819711973726</v>
      </c>
      <c r="H99">
        <f t="shared" ca="1" si="20"/>
        <v>100.00515299999998</v>
      </c>
      <c r="I99">
        <f t="shared" ca="1" si="21"/>
        <v>22.250000000000142</v>
      </c>
    </row>
    <row r="100" spans="1:9" x14ac:dyDescent="0.25">
      <c r="A100">
        <f t="shared" si="14"/>
        <v>8.8999999999999996E-2</v>
      </c>
      <c r="B100">
        <f>1.5*$B$6*SIN((A100*$C$1)+PI()/2.5)</f>
        <v>-171.62891027167285</v>
      </c>
      <c r="C100">
        <f t="shared" si="16"/>
        <v>-0.95105651629515264</v>
      </c>
      <c r="D100">
        <f t="shared" si="17"/>
        <v>0.30901699437495017</v>
      </c>
      <c r="E100">
        <f t="shared" ca="1" si="13"/>
        <v>-11.394757155250971</v>
      </c>
      <c r="F100">
        <f t="shared" ca="1" si="18"/>
        <v>48.703870955670993</v>
      </c>
      <c r="G100">
        <f t="shared" ca="1" si="19"/>
        <v>89.037646104225615</v>
      </c>
      <c r="H100">
        <f t="shared" ca="1" si="20"/>
        <v>101.48777990402576</v>
      </c>
      <c r="I100">
        <f t="shared" ca="1" si="21"/>
        <v>28.678797302839513</v>
      </c>
    </row>
    <row r="101" spans="1:9" x14ac:dyDescent="0.25">
      <c r="A101">
        <f t="shared" si="14"/>
        <v>0.09</v>
      </c>
      <c r="B101">
        <f t="shared" ref="B101:B164" si="22">1.5*$B$6*SIN((A101*$C$1)+PI()/2.5)</f>
        <v>-201.76188464943527</v>
      </c>
      <c r="C101">
        <f t="shared" si="16"/>
        <v>-1</v>
      </c>
      <c r="D101">
        <f t="shared" si="17"/>
        <v>1.102633609417758E-15</v>
      </c>
      <c r="E101">
        <f t="shared" ref="E101:E164" ca="1" si="23">(1.4142/$B$2)*(B101-IF((ROW($A101)-ROW($A$11))&lt;$B$2,0,OFFSET($B101,-$B$2,0)))</f>
        <v>-10.479901572404676</v>
      </c>
      <c r="F101">
        <f t="shared" ref="F101:F164" ca="1" si="24">F100+$E101*COS($A101*$C$1)</f>
        <v>59.183772528075671</v>
      </c>
      <c r="G101">
        <f t="shared" ref="G101:G164" ca="1" si="25">G100+$E101*SIN($A101*$C$1)</f>
        <v>89.037646104225601</v>
      </c>
      <c r="H101">
        <f t="shared" ref="H101:H164" ca="1" si="26">IF(F101="","",SQRT(F101^2+G101^2))</f>
        <v>106.91314865083866</v>
      </c>
      <c r="I101">
        <f t="shared" ref="I101:I164" ca="1" si="27">IF(F101="","",ATAN2(G101,F101)*180/PI())</f>
        <v>33.612186758092236</v>
      </c>
    </row>
    <row r="102" spans="1:9" x14ac:dyDescent="0.25">
      <c r="A102">
        <f t="shared" si="14"/>
        <v>9.0999999999999998E-2</v>
      </c>
      <c r="B102">
        <f t="shared" si="22"/>
        <v>-212.14500000000001</v>
      </c>
      <c r="C102">
        <f t="shared" si="16"/>
        <v>-0.95105651629515342</v>
      </c>
      <c r="D102">
        <f t="shared" si="17"/>
        <v>-0.30901699437494806</v>
      </c>
      <c r="E102">
        <f t="shared" ca="1" si="23"/>
        <v>-8.5392002058836329</v>
      </c>
      <c r="F102">
        <f t="shared" ca="1" si="24"/>
        <v>67.305034527830216</v>
      </c>
      <c r="G102">
        <f t="shared" ca="1" si="25"/>
        <v>91.676404086213694</v>
      </c>
      <c r="H102">
        <f t="shared" ca="1" si="26"/>
        <v>113.73007842682232</v>
      </c>
      <c r="I102">
        <f t="shared" ca="1" si="27"/>
        <v>36.284579803162458</v>
      </c>
    </row>
    <row r="103" spans="1:9" x14ac:dyDescent="0.25">
      <c r="A103">
        <f t="shared" si="14"/>
        <v>9.1999999999999998E-2</v>
      </c>
      <c r="B103">
        <f t="shared" si="22"/>
        <v>-201.76188464943544</v>
      </c>
      <c r="C103">
        <f t="shared" si="16"/>
        <v>-0.80901699437494812</v>
      </c>
      <c r="D103">
        <f t="shared" si="17"/>
        <v>-0.58778525229247225</v>
      </c>
      <c r="E103">
        <f t="shared" ca="1" si="23"/>
        <v>-5.7626224271043878</v>
      </c>
      <c r="F103">
        <f t="shared" ca="1" si="24"/>
        <v>71.967094003523883</v>
      </c>
      <c r="G103">
        <f t="shared" ca="1" si="25"/>
        <v>95.063588563395498</v>
      </c>
      <c r="H103">
        <f t="shared" ca="1" si="26"/>
        <v>119.23232988523952</v>
      </c>
      <c r="I103">
        <f t="shared" ca="1" si="27"/>
        <v>37.12723772583383</v>
      </c>
    </row>
    <row r="104" spans="1:9" x14ac:dyDescent="0.25">
      <c r="A104">
        <f t="shared" si="14"/>
        <v>9.2999999999999999E-2</v>
      </c>
      <c r="B104">
        <f t="shared" si="22"/>
        <v>-171.62891027167316</v>
      </c>
      <c r="C104">
        <f t="shared" si="16"/>
        <v>-0.58778525229247258</v>
      </c>
      <c r="D104">
        <f t="shared" si="17"/>
        <v>-0.80901699437494778</v>
      </c>
      <c r="E104">
        <f t="shared" ca="1" si="23"/>
        <v>-2.421959014608821</v>
      </c>
      <c r="F104">
        <f t="shared" ca="1" si="24"/>
        <v>73.390685793967762</v>
      </c>
      <c r="G104">
        <f t="shared" ca="1" si="25"/>
        <v>97.02299456589364</v>
      </c>
      <c r="H104">
        <f t="shared" ca="1" si="26"/>
        <v>121.65382951573012</v>
      </c>
      <c r="I104">
        <f t="shared" ca="1" si="27"/>
        <v>37.104797433304959</v>
      </c>
    </row>
    <row r="105" spans="1:9" x14ac:dyDescent="0.25">
      <c r="A105">
        <f t="shared" si="14"/>
        <v>9.4E-2</v>
      </c>
      <c r="B105">
        <f t="shared" si="22"/>
        <v>-124.69570234758693</v>
      </c>
      <c r="C105">
        <f t="shared" si="16"/>
        <v>-0.30901699437494851</v>
      </c>
      <c r="D105">
        <f t="shared" si="17"/>
        <v>-0.9510565162951532</v>
      </c>
      <c r="E105">
        <f t="shared" ca="1" si="23"/>
        <v>1.1557826210173665</v>
      </c>
      <c r="F105">
        <f t="shared" ca="1" si="24"/>
        <v>73.033529322270169</v>
      </c>
      <c r="G105">
        <f t="shared" ca="1" si="25"/>
        <v>95.923779972754389</v>
      </c>
      <c r="H105">
        <f t="shared" ca="1" si="26"/>
        <v>120.56229912177476</v>
      </c>
      <c r="I105">
        <f t="shared" ca="1" si="27"/>
        <v>37.284572738124275</v>
      </c>
    </row>
    <row r="106" spans="1:9" x14ac:dyDescent="0.25">
      <c r="A106">
        <f t="shared" si="14"/>
        <v>9.5000000000000001E-2</v>
      </c>
      <c r="B106">
        <f t="shared" si="22"/>
        <v>-65.556410271673116</v>
      </c>
      <c r="C106">
        <f t="shared" si="16"/>
        <v>6.1246580723706145E-16</v>
      </c>
      <c r="D106">
        <f t="shared" si="17"/>
        <v>-1</v>
      </c>
      <c r="E106">
        <f t="shared" ca="1" si="23"/>
        <v>4.62038820088737</v>
      </c>
      <c r="F106">
        <f t="shared" ca="1" si="24"/>
        <v>73.033529322270169</v>
      </c>
      <c r="G106">
        <f t="shared" ca="1" si="25"/>
        <v>91.303391771867012</v>
      </c>
      <c r="H106">
        <f t="shared" ca="1" si="26"/>
        <v>116.919655123995</v>
      </c>
      <c r="I106">
        <f t="shared" ca="1" si="27"/>
        <v>38.656293867274563</v>
      </c>
    </row>
    <row r="107" spans="1:9" x14ac:dyDescent="0.25">
      <c r="A107">
        <f t="shared" si="14"/>
        <v>9.6000000000000002E-2</v>
      </c>
      <c r="B107">
        <f t="shared" si="22"/>
        <v>4.9378132442254311E-13</v>
      </c>
      <c r="C107">
        <f t="shared" si="16"/>
        <v>0.30901699437494967</v>
      </c>
      <c r="D107">
        <f t="shared" si="17"/>
        <v>-0.95105651629515287</v>
      </c>
      <c r="E107">
        <f t="shared" ca="1" si="23"/>
        <v>7.6327179915169987</v>
      </c>
      <c r="F107">
        <f t="shared" ca="1" si="24"/>
        <v>75.39216889492036</v>
      </c>
      <c r="G107">
        <f t="shared" ca="1" si="25"/>
        <v>84.044245588991515</v>
      </c>
      <c r="H107">
        <f t="shared" ca="1" si="26"/>
        <v>112.90444786323928</v>
      </c>
      <c r="I107">
        <f t="shared" ca="1" si="27"/>
        <v>41.893797937912971</v>
      </c>
    </row>
    <row r="108" spans="1:9" x14ac:dyDescent="0.25">
      <c r="A108">
        <f t="shared" si="14"/>
        <v>9.7000000000000003E-2</v>
      </c>
      <c r="B108">
        <f t="shared" si="22"/>
        <v>65.556410271673343</v>
      </c>
      <c r="C108">
        <f t="shared" si="16"/>
        <v>0.58778525229247358</v>
      </c>
      <c r="D108">
        <f t="shared" si="17"/>
        <v>-0.80901699437494712</v>
      </c>
      <c r="E108">
        <f t="shared" ca="1" si="23"/>
        <v>9.8979041648635544</v>
      </c>
      <c r="F108">
        <f t="shared" ca="1" si="24"/>
        <v>81.210010991631407</v>
      </c>
      <c r="G108">
        <f t="shared" ca="1" si="25"/>
        <v>76.036672910922334</v>
      </c>
      <c r="H108">
        <f t="shared" ca="1" si="26"/>
        <v>111.25035511234778</v>
      </c>
      <c r="I108">
        <f t="shared" ca="1" si="27"/>
        <v>46.884323137418988</v>
      </c>
    </row>
    <row r="109" spans="1:9" x14ac:dyDescent="0.25">
      <c r="A109">
        <f t="shared" si="14"/>
        <v>9.8000000000000004E-2</v>
      </c>
      <c r="B109">
        <f t="shared" si="22"/>
        <v>124.69570234758712</v>
      </c>
      <c r="C109">
        <f t="shared" si="16"/>
        <v>0.80901699437494878</v>
      </c>
      <c r="D109">
        <f t="shared" si="17"/>
        <v>-0.58778525229247125</v>
      </c>
      <c r="E109">
        <f t="shared" ca="1" si="23"/>
        <v>11.194214515799924</v>
      </c>
      <c r="F109">
        <f t="shared" ca="1" si="24"/>
        <v>90.266320773592284</v>
      </c>
      <c r="G109">
        <f t="shared" ca="1" si="25"/>
        <v>69.456878707536831</v>
      </c>
      <c r="H109">
        <f t="shared" ca="1" si="26"/>
        <v>113.89585886148161</v>
      </c>
      <c r="I109">
        <f t="shared" ca="1" si="27"/>
        <v>52.422935959487539</v>
      </c>
    </row>
    <row r="110" spans="1:9" x14ac:dyDescent="0.25">
      <c r="A110">
        <f t="shared" si="14"/>
        <v>9.9000000000000005E-2</v>
      </c>
      <c r="B110">
        <f t="shared" si="22"/>
        <v>171.62891027167285</v>
      </c>
      <c r="C110">
        <f t="shared" si="16"/>
        <v>0.95105651629515375</v>
      </c>
      <c r="D110">
        <f t="shared" si="17"/>
        <v>-0.3090169943749469</v>
      </c>
      <c r="E110">
        <f t="shared" ca="1" si="23"/>
        <v>11.394757155250973</v>
      </c>
      <c r="F110">
        <f t="shared" ca="1" si="24"/>
        <v>101.10337881769455</v>
      </c>
      <c r="G110">
        <f t="shared" ca="1" si="25"/>
        <v>65.935705099788748</v>
      </c>
      <c r="H110">
        <f t="shared" ca="1" si="26"/>
        <v>120.70381276231731</v>
      </c>
      <c r="I110">
        <f t="shared" ca="1" si="27"/>
        <v>56.889167396275134</v>
      </c>
    </row>
    <row r="111" spans="1:9" x14ac:dyDescent="0.25">
      <c r="A111">
        <f t="shared" si="14"/>
        <v>0.1</v>
      </c>
      <c r="B111">
        <f t="shared" si="22"/>
        <v>201.76188464943527</v>
      </c>
      <c r="C111">
        <f t="shared" si="16"/>
        <v>1</v>
      </c>
      <c r="D111">
        <f t="shared" si="17"/>
        <v>2.3275652238918809E-15</v>
      </c>
      <c r="E111">
        <f t="shared" ca="1" si="23"/>
        <v>10.47990157240471</v>
      </c>
      <c r="F111">
        <f t="shared" ca="1" si="24"/>
        <v>111.58328039009926</v>
      </c>
      <c r="G111">
        <f t="shared" ca="1" si="25"/>
        <v>65.935705099788777</v>
      </c>
      <c r="H111">
        <f t="shared" ca="1" si="26"/>
        <v>129.60843209306185</v>
      </c>
      <c r="I111">
        <f t="shared" ca="1" si="27"/>
        <v>59.420723527785761</v>
      </c>
    </row>
    <row r="112" spans="1:9" x14ac:dyDescent="0.25">
      <c r="A112">
        <f t="shared" si="14"/>
        <v>0.10100000000000001</v>
      </c>
      <c r="B112">
        <f t="shared" si="22"/>
        <v>212.14500000000001</v>
      </c>
      <c r="C112">
        <f t="shared" si="16"/>
        <v>0.95105651629515342</v>
      </c>
      <c r="D112">
        <f t="shared" si="17"/>
        <v>0.30901699437494795</v>
      </c>
      <c r="E112">
        <f t="shared" ca="1" si="23"/>
        <v>8.5392002058836329</v>
      </c>
      <c r="F112">
        <f t="shared" ca="1" si="24"/>
        <v>119.7045423898538</v>
      </c>
      <c r="G112">
        <f t="shared" ca="1" si="25"/>
        <v>68.574463081776869</v>
      </c>
      <c r="H112">
        <f t="shared" ca="1" si="26"/>
        <v>137.95519002820546</v>
      </c>
      <c r="I112">
        <f t="shared" ca="1" si="27"/>
        <v>60.19314326302932</v>
      </c>
    </row>
    <row r="113" spans="1:9" x14ac:dyDescent="0.25">
      <c r="A113">
        <f t="shared" si="14"/>
        <v>0.10200000000000001</v>
      </c>
      <c r="B113">
        <f t="shared" si="22"/>
        <v>201.76188464943522</v>
      </c>
      <c r="C113">
        <f t="shared" si="16"/>
        <v>0.80901699437494612</v>
      </c>
      <c r="D113">
        <f t="shared" si="17"/>
        <v>0.58778525229247502</v>
      </c>
      <c r="E113">
        <f t="shared" ca="1" si="23"/>
        <v>5.7626224271043727</v>
      </c>
      <c r="F113">
        <f t="shared" ca="1" si="24"/>
        <v>124.36660186554744</v>
      </c>
      <c r="G113">
        <f t="shared" ca="1" si="25"/>
        <v>71.961647558958688</v>
      </c>
      <c r="H113">
        <f t="shared" ca="1" si="26"/>
        <v>143.68552598986221</v>
      </c>
      <c r="I113">
        <f t="shared" ca="1" si="27"/>
        <v>59.945244929642989</v>
      </c>
    </row>
    <row r="114" spans="1:9" x14ac:dyDescent="0.25">
      <c r="A114">
        <f t="shared" si="14"/>
        <v>0.10300000000000001</v>
      </c>
      <c r="B114">
        <f t="shared" si="22"/>
        <v>171.62891027167271</v>
      </c>
      <c r="C114">
        <f t="shared" si="16"/>
        <v>0.58778525229246981</v>
      </c>
      <c r="D114">
        <f t="shared" si="17"/>
        <v>0.80901699437494978</v>
      </c>
      <c r="E114">
        <f t="shared" ca="1" si="23"/>
        <v>2.421959014608781</v>
      </c>
      <c r="F114">
        <f t="shared" ca="1" si="24"/>
        <v>125.79019365599129</v>
      </c>
      <c r="G114">
        <f t="shared" ca="1" si="25"/>
        <v>73.921053561456802</v>
      </c>
      <c r="H114">
        <f t="shared" ca="1" si="26"/>
        <v>145.90234740965465</v>
      </c>
      <c r="I114">
        <f t="shared" ca="1" si="27"/>
        <v>59.559224454409232</v>
      </c>
    </row>
    <row r="115" spans="1:9" x14ac:dyDescent="0.25">
      <c r="A115">
        <f t="shared" si="14"/>
        <v>0.10400000000000001</v>
      </c>
      <c r="B115">
        <f t="shared" si="22"/>
        <v>124.69570234758574</v>
      </c>
      <c r="C115">
        <f t="shared" si="16"/>
        <v>0.3090169943749419</v>
      </c>
      <c r="D115">
        <f t="shared" si="17"/>
        <v>0.95105651629515542</v>
      </c>
      <c r="E115">
        <f t="shared" ca="1" si="23"/>
        <v>-1.1557826210174489</v>
      </c>
      <c r="F115">
        <f t="shared" ca="1" si="24"/>
        <v>125.43303718429368</v>
      </c>
      <c r="G115">
        <f t="shared" ca="1" si="25"/>
        <v>72.821838968317465</v>
      </c>
      <c r="H115">
        <f t="shared" ca="1" si="26"/>
        <v>145.03953615481524</v>
      </c>
      <c r="I115">
        <f t="shared" ca="1" si="27"/>
        <v>59.862115100207596</v>
      </c>
    </row>
    <row r="116" spans="1:9" x14ac:dyDescent="0.25">
      <c r="A116">
        <f t="shared" si="14"/>
        <v>0.105</v>
      </c>
      <c r="B116">
        <f t="shared" si="22"/>
        <v>65.55641027167313</v>
      </c>
      <c r="C116">
        <f t="shared" si="16"/>
        <v>-4.8995096174619945E-16</v>
      </c>
      <c r="D116">
        <f t="shared" si="17"/>
        <v>1</v>
      </c>
      <c r="E116">
        <f t="shared" ca="1" si="23"/>
        <v>-4.6203882008873691</v>
      </c>
      <c r="F116">
        <f t="shared" ca="1" si="24"/>
        <v>125.43303718429368</v>
      </c>
      <c r="G116">
        <f t="shared" ca="1" si="25"/>
        <v>68.201450767430089</v>
      </c>
      <c r="H116">
        <f t="shared" ca="1" si="26"/>
        <v>142.77564464592197</v>
      </c>
      <c r="I116">
        <f t="shared" ca="1" si="27"/>
        <v>61.465837571544782</v>
      </c>
    </row>
    <row r="117" spans="1:9" x14ac:dyDescent="0.25">
      <c r="A117">
        <f t="shared" si="14"/>
        <v>0.106</v>
      </c>
      <c r="B117">
        <f t="shared" si="22"/>
        <v>-4.6779041252588413E-13</v>
      </c>
      <c r="C117">
        <f t="shared" si="16"/>
        <v>-0.30901699437494956</v>
      </c>
      <c r="D117">
        <f t="shared" si="17"/>
        <v>0.95105651629515287</v>
      </c>
      <c r="E117">
        <f t="shared" ca="1" si="23"/>
        <v>-7.6327179915169738</v>
      </c>
      <c r="F117">
        <f t="shared" ca="1" si="24"/>
        <v>127.79167675694386</v>
      </c>
      <c r="G117">
        <f t="shared" ca="1" si="25"/>
        <v>60.94230458455462</v>
      </c>
      <c r="H117">
        <f t="shared" ca="1" si="26"/>
        <v>141.57922565273429</v>
      </c>
      <c r="I117">
        <f t="shared" ca="1" si="27"/>
        <v>64.504090455089823</v>
      </c>
    </row>
    <row r="118" spans="1:9" x14ac:dyDescent="0.25">
      <c r="A118">
        <f t="shared" si="14"/>
        <v>0.107</v>
      </c>
      <c r="B118">
        <f t="shared" si="22"/>
        <v>-65.55641027167259</v>
      </c>
      <c r="C118">
        <f t="shared" si="16"/>
        <v>-0.58778525229247058</v>
      </c>
      <c r="D118">
        <f t="shared" si="17"/>
        <v>0.80901699437494923</v>
      </c>
      <c r="E118">
        <f t="shared" ca="1" si="23"/>
        <v>-9.8979041648634709</v>
      </c>
      <c r="F118">
        <f t="shared" ca="1" si="24"/>
        <v>133.60951885365483</v>
      </c>
      <c r="G118">
        <f t="shared" ca="1" si="25"/>
        <v>52.934731906485482</v>
      </c>
      <c r="H118">
        <f t="shared" ca="1" si="26"/>
        <v>143.71356710595086</v>
      </c>
      <c r="I118">
        <f t="shared" ca="1" si="27"/>
        <v>68.387033059663693</v>
      </c>
    </row>
    <row r="119" spans="1:9" x14ac:dyDescent="0.25">
      <c r="A119">
        <f t="shared" si="14"/>
        <v>0.108</v>
      </c>
      <c r="B119">
        <f t="shared" si="22"/>
        <v>-124.69570234758649</v>
      </c>
      <c r="C119">
        <f t="shared" si="16"/>
        <v>-0.80901699437494667</v>
      </c>
      <c r="D119">
        <f t="shared" si="17"/>
        <v>0.58778525229247425</v>
      </c>
      <c r="E119">
        <f t="shared" ca="1" si="23"/>
        <v>-11.194214515799883</v>
      </c>
      <c r="F119">
        <f t="shared" ca="1" si="24"/>
        <v>142.66582863561564</v>
      </c>
      <c r="G119">
        <f t="shared" ca="1" si="25"/>
        <v>46.354937703099971</v>
      </c>
      <c r="H119">
        <f t="shared" ca="1" si="26"/>
        <v>150.00772949999984</v>
      </c>
      <c r="I119">
        <f t="shared" ca="1" si="27"/>
        <v>72.000000000000057</v>
      </c>
    </row>
    <row r="120" spans="1:9" x14ac:dyDescent="0.25">
      <c r="A120">
        <f t="shared" si="14"/>
        <v>0.109</v>
      </c>
      <c r="B120">
        <f t="shared" si="22"/>
        <v>-171.62891027167328</v>
      </c>
      <c r="C120">
        <f t="shared" si="16"/>
        <v>-0.95105651629515375</v>
      </c>
      <c r="D120">
        <f t="shared" si="17"/>
        <v>0.30901699437494701</v>
      </c>
      <c r="E120">
        <f t="shared" ca="1" si="23"/>
        <v>-3.0145486107358007E-14</v>
      </c>
      <c r="F120">
        <f t="shared" ca="1" si="24"/>
        <v>142.66582863561567</v>
      </c>
      <c r="G120">
        <f t="shared" ca="1" si="25"/>
        <v>46.354937703099964</v>
      </c>
      <c r="H120">
        <f t="shared" ca="1" si="26"/>
        <v>150.0077294999999</v>
      </c>
      <c r="I120">
        <f t="shared" ca="1" si="27"/>
        <v>72.000000000000057</v>
      </c>
    </row>
    <row r="121" spans="1:9" x14ac:dyDescent="0.25">
      <c r="A121">
        <f t="shared" si="14"/>
        <v>0.11</v>
      </c>
      <c r="B121">
        <f t="shared" si="22"/>
        <v>-201.7618846494355</v>
      </c>
      <c r="C121">
        <f t="shared" si="16"/>
        <v>-1</v>
      </c>
      <c r="D121">
        <f t="shared" si="17"/>
        <v>-2.2050503784010189E-15</v>
      </c>
      <c r="E121">
        <f t="shared" ca="1" si="23"/>
        <v>-1.6077592590590938E-14</v>
      </c>
      <c r="F121">
        <f t="shared" ca="1" si="24"/>
        <v>142.6658286356157</v>
      </c>
      <c r="G121">
        <f t="shared" ca="1" si="25"/>
        <v>46.354937703099964</v>
      </c>
      <c r="H121">
        <f t="shared" ca="1" si="26"/>
        <v>150.0077294999999</v>
      </c>
      <c r="I121">
        <f t="shared" ca="1" si="27"/>
        <v>72.000000000000057</v>
      </c>
    </row>
    <row r="122" spans="1:9" x14ac:dyDescent="0.25">
      <c r="A122">
        <f t="shared" si="14"/>
        <v>0.111</v>
      </c>
      <c r="B122">
        <f t="shared" si="22"/>
        <v>-212.14500000000001</v>
      </c>
      <c r="C122">
        <f t="shared" si="16"/>
        <v>-0.95105651629515231</v>
      </c>
      <c r="D122">
        <f t="shared" si="17"/>
        <v>-0.30901699437495123</v>
      </c>
      <c r="E122">
        <f t="shared" ca="1" si="23"/>
        <v>0</v>
      </c>
      <c r="F122">
        <f t="shared" ca="1" si="24"/>
        <v>142.6658286356157</v>
      </c>
      <c r="G122">
        <f t="shared" ca="1" si="25"/>
        <v>46.354937703099964</v>
      </c>
      <c r="H122">
        <f t="shared" ca="1" si="26"/>
        <v>150.0077294999999</v>
      </c>
      <c r="I122">
        <f t="shared" ca="1" si="27"/>
        <v>72.000000000000057</v>
      </c>
    </row>
    <row r="123" spans="1:9" x14ac:dyDescent="0.25">
      <c r="A123">
        <f t="shared" si="14"/>
        <v>0.112</v>
      </c>
      <c r="B123">
        <f t="shared" si="22"/>
        <v>-201.76188464943544</v>
      </c>
      <c r="C123">
        <f t="shared" si="16"/>
        <v>-0.80901699437494823</v>
      </c>
      <c r="D123">
        <f t="shared" si="17"/>
        <v>-0.58778525229247203</v>
      </c>
      <c r="E123">
        <f t="shared" ca="1" si="23"/>
        <v>0</v>
      </c>
      <c r="F123">
        <f t="shared" ca="1" si="24"/>
        <v>142.6658286356157</v>
      </c>
      <c r="G123">
        <f t="shared" ca="1" si="25"/>
        <v>46.354937703099964</v>
      </c>
      <c r="H123">
        <f t="shared" ca="1" si="26"/>
        <v>150.0077294999999</v>
      </c>
      <c r="I123">
        <f t="shared" ca="1" si="27"/>
        <v>72.000000000000057</v>
      </c>
    </row>
    <row r="124" spans="1:9" x14ac:dyDescent="0.25">
      <c r="A124">
        <f t="shared" si="14"/>
        <v>0.113</v>
      </c>
      <c r="B124">
        <f t="shared" si="22"/>
        <v>-171.62891027167319</v>
      </c>
      <c r="C124">
        <f t="shared" si="16"/>
        <v>-0.5877852522924728</v>
      </c>
      <c r="D124">
        <f t="shared" si="17"/>
        <v>-0.80901699437494767</v>
      </c>
      <c r="E124">
        <f t="shared" ca="1" si="23"/>
        <v>-2.0096990738238672E-15</v>
      </c>
      <c r="F124">
        <f t="shared" ca="1" si="24"/>
        <v>142.6658286356157</v>
      </c>
      <c r="G124">
        <f t="shared" ca="1" si="25"/>
        <v>46.354937703099964</v>
      </c>
      <c r="H124">
        <f t="shared" ca="1" si="26"/>
        <v>150.0077294999999</v>
      </c>
      <c r="I124">
        <f t="shared" ca="1" si="27"/>
        <v>72.000000000000057</v>
      </c>
    </row>
    <row r="125" spans="1:9" x14ac:dyDescent="0.25">
      <c r="A125">
        <f t="shared" si="14"/>
        <v>0.114</v>
      </c>
      <c r="B125">
        <f t="shared" si="22"/>
        <v>-124.69570234758636</v>
      </c>
      <c r="C125">
        <f t="shared" si="16"/>
        <v>-0.3090169943749454</v>
      </c>
      <c r="D125">
        <f t="shared" si="17"/>
        <v>-0.9510565162951542</v>
      </c>
      <c r="E125">
        <f t="shared" ca="1" si="23"/>
        <v>4.0193981476477345E-14</v>
      </c>
      <c r="F125">
        <f t="shared" ca="1" si="24"/>
        <v>142.6658286356157</v>
      </c>
      <c r="G125">
        <f t="shared" ca="1" si="25"/>
        <v>46.354937703099928</v>
      </c>
      <c r="H125">
        <f t="shared" ca="1" si="26"/>
        <v>150.0077294999999</v>
      </c>
      <c r="I125">
        <f t="shared" ca="1" si="27"/>
        <v>72.000000000000071</v>
      </c>
    </row>
    <row r="126" spans="1:9" x14ac:dyDescent="0.25">
      <c r="A126">
        <f t="shared" si="14"/>
        <v>0.115</v>
      </c>
      <c r="B126">
        <f t="shared" si="22"/>
        <v>-65.556410271672448</v>
      </c>
      <c r="C126">
        <f t="shared" si="16"/>
        <v>3.9201497950558384E-15</v>
      </c>
      <c r="D126">
        <f t="shared" si="17"/>
        <v>-1</v>
      </c>
      <c r="E126">
        <f t="shared" ca="1" si="23"/>
        <v>4.7227928234860879E-14</v>
      </c>
      <c r="F126">
        <f t="shared" ca="1" si="24"/>
        <v>142.6658286356157</v>
      </c>
      <c r="G126">
        <f t="shared" ca="1" si="25"/>
        <v>46.354937703099878</v>
      </c>
      <c r="H126">
        <f t="shared" ca="1" si="26"/>
        <v>150.0077294999999</v>
      </c>
      <c r="I126">
        <f t="shared" ca="1" si="27"/>
        <v>72.000000000000085</v>
      </c>
    </row>
    <row r="127" spans="1:9" x14ac:dyDescent="0.25">
      <c r="A127">
        <f t="shared" si="14"/>
        <v>0.11600000000000001</v>
      </c>
      <c r="B127">
        <f t="shared" si="22"/>
        <v>-3.1189094275990705E-13</v>
      </c>
      <c r="C127">
        <f t="shared" si="16"/>
        <v>0.30901699437494606</v>
      </c>
      <c r="D127">
        <f t="shared" si="17"/>
        <v>-0.95105651629515398</v>
      </c>
      <c r="E127">
        <f t="shared" ca="1" si="23"/>
        <v>-5.6969086012471042E-14</v>
      </c>
      <c r="F127">
        <f t="shared" ca="1" si="24"/>
        <v>142.66582863561567</v>
      </c>
      <c r="G127">
        <f t="shared" ca="1" si="25"/>
        <v>46.354937703099935</v>
      </c>
      <c r="H127">
        <f t="shared" ca="1" si="26"/>
        <v>150.00772949999987</v>
      </c>
      <c r="I127">
        <f t="shared" ca="1" si="27"/>
        <v>72.000000000000057</v>
      </c>
    </row>
    <row r="128" spans="1:9" x14ac:dyDescent="0.25">
      <c r="A128">
        <f t="shared" si="14"/>
        <v>0.11700000000000001</v>
      </c>
      <c r="B128">
        <f t="shared" si="22"/>
        <v>65.556410271673286</v>
      </c>
      <c r="C128">
        <f t="shared" si="16"/>
        <v>0.58778525229247336</v>
      </c>
      <c r="D128">
        <f t="shared" si="17"/>
        <v>-0.80901699437494723</v>
      </c>
      <c r="E128">
        <f t="shared" ca="1" si="23"/>
        <v>-4.0193981476477345E-15</v>
      </c>
      <c r="F128">
        <f t="shared" ca="1" si="24"/>
        <v>142.66582863561567</v>
      </c>
      <c r="G128">
        <f t="shared" ca="1" si="25"/>
        <v>46.354937703099935</v>
      </c>
      <c r="H128">
        <f t="shared" ca="1" si="26"/>
        <v>150.00772949999987</v>
      </c>
      <c r="I128">
        <f t="shared" ca="1" si="27"/>
        <v>72.000000000000057</v>
      </c>
    </row>
    <row r="129" spans="1:9" x14ac:dyDescent="0.25">
      <c r="A129">
        <f t="shared" si="14"/>
        <v>0.11800000000000001</v>
      </c>
      <c r="B129">
        <f t="shared" si="22"/>
        <v>124.69570234758707</v>
      </c>
      <c r="C129">
        <f t="shared" si="16"/>
        <v>0.80901699437494867</v>
      </c>
      <c r="D129">
        <f t="shared" si="17"/>
        <v>-0.58778525229247147</v>
      </c>
      <c r="E129">
        <f t="shared" ca="1" si="23"/>
        <v>-3.0145486107358008E-15</v>
      </c>
      <c r="F129">
        <f t="shared" ca="1" si="24"/>
        <v>142.66582863561567</v>
      </c>
      <c r="G129">
        <f t="shared" ca="1" si="25"/>
        <v>46.354937703099935</v>
      </c>
      <c r="H129">
        <f t="shared" ca="1" si="26"/>
        <v>150.00772949999987</v>
      </c>
      <c r="I129">
        <f t="shared" ca="1" si="27"/>
        <v>72.000000000000057</v>
      </c>
    </row>
    <row r="130" spans="1:9" x14ac:dyDescent="0.25">
      <c r="A130">
        <f t="shared" si="14"/>
        <v>0.11900000000000001</v>
      </c>
      <c r="B130">
        <f t="shared" si="22"/>
        <v>171.6289102716737</v>
      </c>
      <c r="C130">
        <f t="shared" si="16"/>
        <v>0.95105651629515475</v>
      </c>
      <c r="D130">
        <f t="shared" si="17"/>
        <v>-0.30901699437494373</v>
      </c>
      <c r="E130">
        <f t="shared" ca="1" si="23"/>
        <v>6.0290972214716014E-14</v>
      </c>
      <c r="F130">
        <f t="shared" ca="1" si="24"/>
        <v>142.66582863561572</v>
      </c>
      <c r="G130">
        <f t="shared" ca="1" si="25"/>
        <v>46.354937703099914</v>
      </c>
      <c r="H130">
        <f t="shared" ca="1" si="26"/>
        <v>150.00772949999993</v>
      </c>
      <c r="I130">
        <f t="shared" ca="1" si="27"/>
        <v>72.000000000000071</v>
      </c>
    </row>
    <row r="131" spans="1:9" x14ac:dyDescent="0.25">
      <c r="A131">
        <f t="shared" si="14"/>
        <v>0.12</v>
      </c>
      <c r="B131">
        <f t="shared" si="22"/>
        <v>201.76188464943527</v>
      </c>
      <c r="C131">
        <f t="shared" si="16"/>
        <v>1</v>
      </c>
      <c r="D131">
        <f t="shared" si="17"/>
        <v>-1.470178145890344E-15</v>
      </c>
      <c r="E131">
        <f t="shared" ca="1" si="23"/>
        <v>0</v>
      </c>
      <c r="F131">
        <f t="shared" ca="1" si="24"/>
        <v>142.66582863561572</v>
      </c>
      <c r="G131">
        <f t="shared" ca="1" si="25"/>
        <v>46.354937703099914</v>
      </c>
      <c r="H131">
        <f t="shared" ca="1" si="26"/>
        <v>150.00772949999993</v>
      </c>
      <c r="I131">
        <f t="shared" ca="1" si="27"/>
        <v>72.000000000000071</v>
      </c>
    </row>
    <row r="132" spans="1:9" x14ac:dyDescent="0.25">
      <c r="A132">
        <f t="shared" si="14"/>
        <v>0.121</v>
      </c>
      <c r="B132">
        <f t="shared" si="22"/>
        <v>212.14500000000001</v>
      </c>
      <c r="C132">
        <f t="shared" si="16"/>
        <v>0.95105651629515353</v>
      </c>
      <c r="D132">
        <f t="shared" si="17"/>
        <v>0.30901699437494773</v>
      </c>
      <c r="E132">
        <f t="shared" ca="1" si="23"/>
        <v>0</v>
      </c>
      <c r="F132">
        <f t="shared" ca="1" si="24"/>
        <v>142.66582863561572</v>
      </c>
      <c r="G132">
        <f t="shared" ca="1" si="25"/>
        <v>46.354937703099914</v>
      </c>
      <c r="H132">
        <f t="shared" ca="1" si="26"/>
        <v>150.00772949999993</v>
      </c>
      <c r="I132">
        <f t="shared" ca="1" si="27"/>
        <v>72.000000000000071</v>
      </c>
    </row>
    <row r="133" spans="1:9" x14ac:dyDescent="0.25">
      <c r="A133">
        <f t="shared" si="14"/>
        <v>0.122</v>
      </c>
      <c r="B133">
        <f t="shared" si="22"/>
        <v>201.76188464943525</v>
      </c>
      <c r="C133">
        <f t="shared" si="16"/>
        <v>0.80901699437494623</v>
      </c>
      <c r="D133">
        <f t="shared" si="17"/>
        <v>0.5877852522924748</v>
      </c>
      <c r="E133">
        <f t="shared" ca="1" si="23"/>
        <v>2.0096990738238672E-15</v>
      </c>
      <c r="F133">
        <f t="shared" ca="1" si="24"/>
        <v>142.66582863561572</v>
      </c>
      <c r="G133">
        <f t="shared" ca="1" si="25"/>
        <v>46.354937703099914</v>
      </c>
      <c r="H133">
        <f t="shared" ca="1" si="26"/>
        <v>150.00772949999993</v>
      </c>
      <c r="I133">
        <f t="shared" ca="1" si="27"/>
        <v>72.000000000000071</v>
      </c>
    </row>
    <row r="134" spans="1:9" x14ac:dyDescent="0.25">
      <c r="A134">
        <f t="shared" si="14"/>
        <v>0.123</v>
      </c>
      <c r="B134">
        <f t="shared" si="22"/>
        <v>171.62891027167365</v>
      </c>
      <c r="C134">
        <f t="shared" si="16"/>
        <v>0.5877852522924758</v>
      </c>
      <c r="D134">
        <f t="shared" si="17"/>
        <v>0.80901699437494545</v>
      </c>
      <c r="E134">
        <f t="shared" ca="1" si="23"/>
        <v>6.632006943618762E-14</v>
      </c>
      <c r="F134">
        <f t="shared" ca="1" si="24"/>
        <v>142.66582863561575</v>
      </c>
      <c r="G134">
        <f t="shared" ca="1" si="25"/>
        <v>46.354937703099971</v>
      </c>
      <c r="H134">
        <f t="shared" ca="1" si="26"/>
        <v>150.00772949999995</v>
      </c>
      <c r="I134">
        <f t="shared" ca="1" si="27"/>
        <v>72.000000000000057</v>
      </c>
    </row>
    <row r="135" spans="1:9" x14ac:dyDescent="0.25">
      <c r="A135">
        <f t="shared" si="14"/>
        <v>0.124</v>
      </c>
      <c r="B135">
        <f t="shared" si="22"/>
        <v>124.69570234758697</v>
      </c>
      <c r="C135">
        <f t="shared" si="16"/>
        <v>0.30901699437494889</v>
      </c>
      <c r="D135">
        <f t="shared" si="17"/>
        <v>0.95105651629515309</v>
      </c>
      <c r="E135">
        <f t="shared" ca="1" si="23"/>
        <v>8.742190971133823E-14</v>
      </c>
      <c r="F135">
        <f t="shared" ca="1" si="24"/>
        <v>142.66582863561578</v>
      </c>
      <c r="G135">
        <f t="shared" ca="1" si="25"/>
        <v>46.354937703100056</v>
      </c>
      <c r="H135">
        <f t="shared" ca="1" si="26"/>
        <v>150.00772950000001</v>
      </c>
      <c r="I135">
        <f t="shared" ca="1" si="27"/>
        <v>72.000000000000043</v>
      </c>
    </row>
    <row r="136" spans="1:9" x14ac:dyDescent="0.25">
      <c r="A136">
        <f t="shared" si="14"/>
        <v>0.125</v>
      </c>
      <c r="B136">
        <f t="shared" si="22"/>
        <v>65.556410271673187</v>
      </c>
      <c r="C136">
        <f t="shared" si="16"/>
        <v>-2.4492127076447545E-16</v>
      </c>
      <c r="D136">
        <f t="shared" si="17"/>
        <v>1</v>
      </c>
      <c r="E136">
        <f t="shared" ca="1" si="23"/>
        <v>4.0193981476477345E-15</v>
      </c>
      <c r="F136">
        <f t="shared" ca="1" si="24"/>
        <v>142.66582863561578</v>
      </c>
      <c r="G136">
        <f t="shared" ca="1" si="25"/>
        <v>46.354937703100063</v>
      </c>
      <c r="H136">
        <f t="shared" ca="1" si="26"/>
        <v>150.00772950000001</v>
      </c>
      <c r="I136">
        <f t="shared" ca="1" si="27"/>
        <v>72.000000000000043</v>
      </c>
    </row>
    <row r="137" spans="1:9" x14ac:dyDescent="0.25">
      <c r="A137">
        <f t="shared" si="14"/>
        <v>0.126</v>
      </c>
      <c r="B137">
        <f t="shared" si="22"/>
        <v>-4.1580858873256633E-13</v>
      </c>
      <c r="C137">
        <f t="shared" si="16"/>
        <v>-0.30901699437494934</v>
      </c>
      <c r="D137">
        <f t="shared" si="17"/>
        <v>0.95105651629515298</v>
      </c>
      <c r="E137">
        <f t="shared" ca="1" si="23"/>
        <v>3.6756347604255022E-15</v>
      </c>
      <c r="F137">
        <f t="shared" ca="1" si="24"/>
        <v>142.66582863561578</v>
      </c>
      <c r="G137">
        <f t="shared" ca="1" si="25"/>
        <v>46.354937703100063</v>
      </c>
      <c r="H137">
        <f t="shared" ca="1" si="26"/>
        <v>150.00772950000001</v>
      </c>
      <c r="I137">
        <f t="shared" ca="1" si="27"/>
        <v>72.000000000000043</v>
      </c>
    </row>
    <row r="138" spans="1:9" x14ac:dyDescent="0.25">
      <c r="A138">
        <f t="shared" si="14"/>
        <v>0.127</v>
      </c>
      <c r="B138">
        <f t="shared" si="22"/>
        <v>-65.556410271673968</v>
      </c>
      <c r="C138">
        <f t="shared" si="16"/>
        <v>-0.58778525229247613</v>
      </c>
      <c r="D138">
        <f t="shared" si="17"/>
        <v>0.80901699437494523</v>
      </c>
      <c r="E138">
        <f t="shared" ca="1" si="23"/>
        <v>-9.7470405080457561E-14</v>
      </c>
      <c r="F138">
        <f t="shared" ca="1" si="24"/>
        <v>142.66582863561584</v>
      </c>
      <c r="G138">
        <f t="shared" ca="1" si="25"/>
        <v>46.354937703099985</v>
      </c>
      <c r="H138">
        <f t="shared" ca="1" si="26"/>
        <v>150.00772950000004</v>
      </c>
      <c r="I138">
        <f t="shared" ca="1" si="27"/>
        <v>72.000000000000057</v>
      </c>
    </row>
    <row r="139" spans="1:9" x14ac:dyDescent="0.25">
      <c r="A139">
        <f t="shared" si="14"/>
        <v>0.128</v>
      </c>
      <c r="B139">
        <f t="shared" si="22"/>
        <v>-124.69570234758643</v>
      </c>
      <c r="C139">
        <f t="shared" si="16"/>
        <v>-0.80901699437494645</v>
      </c>
      <c r="D139">
        <f t="shared" si="17"/>
        <v>0.58778525229247436</v>
      </c>
      <c r="E139">
        <f t="shared" ca="1" si="23"/>
        <v>4.0193981476477345E-15</v>
      </c>
      <c r="F139">
        <f t="shared" ca="1" si="24"/>
        <v>142.66582863561584</v>
      </c>
      <c r="G139">
        <f t="shared" ca="1" si="25"/>
        <v>46.354937703099985</v>
      </c>
      <c r="H139">
        <f t="shared" ca="1" si="26"/>
        <v>150.00772950000004</v>
      </c>
      <c r="I139">
        <f t="shared" ca="1" si="27"/>
        <v>72.000000000000057</v>
      </c>
    </row>
    <row r="140" spans="1:9" x14ac:dyDescent="0.25">
      <c r="A140">
        <f t="shared" ref="A140:A203" si="28">(ROW($A140)-ROW($A$11))*$B$4+$B$5</f>
        <v>0.129</v>
      </c>
      <c r="B140">
        <f t="shared" si="22"/>
        <v>-171.62891027167325</v>
      </c>
      <c r="C140">
        <f t="shared" ref="C140:C203" si="29">COS($A140*$C$1)</f>
        <v>-0.95105651629515364</v>
      </c>
      <c r="D140">
        <f t="shared" ref="D140:D203" si="30">SIN($A140*$C$1)</f>
        <v>0.30901699437494723</v>
      </c>
      <c r="E140">
        <f t="shared" ca="1" si="23"/>
        <v>2.0096990738238672E-15</v>
      </c>
      <c r="F140">
        <f t="shared" ca="1" si="24"/>
        <v>142.66582863561584</v>
      </c>
      <c r="G140">
        <f t="shared" ca="1" si="25"/>
        <v>46.354937703099985</v>
      </c>
      <c r="H140">
        <f t="shared" ca="1" si="26"/>
        <v>150.00772950000004</v>
      </c>
      <c r="I140">
        <f t="shared" ca="1" si="27"/>
        <v>72.000000000000057</v>
      </c>
    </row>
    <row r="141" spans="1:9" x14ac:dyDescent="0.25">
      <c r="A141">
        <f t="shared" si="28"/>
        <v>0.13</v>
      </c>
      <c r="B141">
        <f t="shared" si="22"/>
        <v>-201.7618846494355</v>
      </c>
      <c r="C141">
        <f t="shared" si="29"/>
        <v>-1</v>
      </c>
      <c r="D141">
        <f t="shared" si="30"/>
        <v>-1.9600206874192949E-15</v>
      </c>
      <c r="E141">
        <f t="shared" ca="1" si="23"/>
        <v>0</v>
      </c>
      <c r="F141">
        <f t="shared" ca="1" si="24"/>
        <v>142.66582863561584</v>
      </c>
      <c r="G141">
        <f t="shared" ca="1" si="25"/>
        <v>46.354937703099985</v>
      </c>
      <c r="H141">
        <f t="shared" ca="1" si="26"/>
        <v>150.00772950000004</v>
      </c>
      <c r="I141">
        <f t="shared" ca="1" si="27"/>
        <v>72.000000000000057</v>
      </c>
    </row>
    <row r="142" spans="1:9" x14ac:dyDescent="0.25">
      <c r="A142">
        <f t="shared" si="28"/>
        <v>0.13100000000000001</v>
      </c>
      <c r="B142">
        <f t="shared" si="22"/>
        <v>-212.14500000000001</v>
      </c>
      <c r="C142">
        <f t="shared" si="29"/>
        <v>-0.95105651629515242</v>
      </c>
      <c r="D142">
        <f t="shared" si="30"/>
        <v>-0.30901699437495095</v>
      </c>
      <c r="E142">
        <f t="shared" ca="1" si="23"/>
        <v>0</v>
      </c>
      <c r="F142">
        <f t="shared" ca="1" si="24"/>
        <v>142.66582863561584</v>
      </c>
      <c r="G142">
        <f t="shared" ca="1" si="25"/>
        <v>46.354937703099985</v>
      </c>
      <c r="H142">
        <f t="shared" ca="1" si="26"/>
        <v>150.00772950000004</v>
      </c>
      <c r="I142">
        <f t="shared" ca="1" si="27"/>
        <v>72.000000000000057</v>
      </c>
    </row>
    <row r="143" spans="1:9" x14ac:dyDescent="0.25">
      <c r="A143">
        <f t="shared" si="28"/>
        <v>0.13200000000000001</v>
      </c>
      <c r="B143">
        <f t="shared" si="22"/>
        <v>-201.76188464943499</v>
      </c>
      <c r="C143">
        <f t="shared" si="29"/>
        <v>-0.80901699437494423</v>
      </c>
      <c r="D143">
        <f t="shared" si="30"/>
        <v>-0.58778525229247758</v>
      </c>
      <c r="E143">
        <f t="shared" ca="1" si="23"/>
        <v>3.2155185181181876E-14</v>
      </c>
      <c r="F143">
        <f t="shared" ca="1" si="24"/>
        <v>142.66582863561581</v>
      </c>
      <c r="G143">
        <f t="shared" ca="1" si="25"/>
        <v>46.354937703099964</v>
      </c>
      <c r="H143">
        <f t="shared" ca="1" si="26"/>
        <v>150.00772950000001</v>
      </c>
      <c r="I143">
        <f t="shared" ca="1" si="27"/>
        <v>72.000000000000071</v>
      </c>
    </row>
    <row r="144" spans="1:9" x14ac:dyDescent="0.25">
      <c r="A144">
        <f t="shared" si="28"/>
        <v>0.13300000000000001</v>
      </c>
      <c r="B144">
        <f t="shared" si="22"/>
        <v>-171.62891027167322</v>
      </c>
      <c r="C144">
        <f t="shared" si="29"/>
        <v>-0.58778525229247303</v>
      </c>
      <c r="D144">
        <f t="shared" si="30"/>
        <v>-0.80901699437494756</v>
      </c>
      <c r="E144">
        <f t="shared" ca="1" si="23"/>
        <v>-2.0096990738238672E-15</v>
      </c>
      <c r="F144">
        <f t="shared" ca="1" si="24"/>
        <v>142.66582863561581</v>
      </c>
      <c r="G144">
        <f t="shared" ca="1" si="25"/>
        <v>46.354937703099964</v>
      </c>
      <c r="H144">
        <f t="shared" ca="1" si="26"/>
        <v>150.00772950000001</v>
      </c>
      <c r="I144">
        <f t="shared" ca="1" si="27"/>
        <v>72.000000000000071</v>
      </c>
    </row>
    <row r="145" spans="1:9" x14ac:dyDescent="0.25">
      <c r="A145">
        <f t="shared" si="28"/>
        <v>0.13400000000000001</v>
      </c>
      <c r="B145">
        <f t="shared" si="22"/>
        <v>-124.69570234758639</v>
      </c>
      <c r="C145">
        <f t="shared" si="29"/>
        <v>-0.30901699437494562</v>
      </c>
      <c r="D145">
        <f t="shared" si="30"/>
        <v>-0.9510565162951542</v>
      </c>
      <c r="E145">
        <f t="shared" ca="1" si="23"/>
        <v>-2.0096990738238672E-15</v>
      </c>
      <c r="F145">
        <f t="shared" ca="1" si="24"/>
        <v>142.66582863561581</v>
      </c>
      <c r="G145">
        <f t="shared" ca="1" si="25"/>
        <v>46.354937703099964</v>
      </c>
      <c r="H145">
        <f t="shared" ca="1" si="26"/>
        <v>150.00772950000001</v>
      </c>
      <c r="I145">
        <f t="shared" ca="1" si="27"/>
        <v>72.000000000000071</v>
      </c>
    </row>
    <row r="146" spans="1:9" x14ac:dyDescent="0.25">
      <c r="A146">
        <f t="shared" si="28"/>
        <v>0.13500000000000001</v>
      </c>
      <c r="B146">
        <f t="shared" si="22"/>
        <v>-65.55641027167249</v>
      </c>
      <c r="C146">
        <f t="shared" si="29"/>
        <v>3.6751201040741144E-15</v>
      </c>
      <c r="D146">
        <f t="shared" si="30"/>
        <v>-1</v>
      </c>
      <c r="E146">
        <f t="shared" ca="1" si="23"/>
        <v>-3.0145486107358008E-15</v>
      </c>
      <c r="F146">
        <f t="shared" ca="1" si="24"/>
        <v>142.66582863561581</v>
      </c>
      <c r="G146">
        <f t="shared" ca="1" si="25"/>
        <v>46.354937703099964</v>
      </c>
      <c r="H146">
        <f t="shared" ca="1" si="26"/>
        <v>150.00772950000001</v>
      </c>
      <c r="I146">
        <f t="shared" ca="1" si="27"/>
        <v>72.000000000000071</v>
      </c>
    </row>
    <row r="147" spans="1:9" x14ac:dyDescent="0.25">
      <c r="A147">
        <f t="shared" si="28"/>
        <v>0.13600000000000001</v>
      </c>
      <c r="B147">
        <f t="shared" si="22"/>
        <v>1.1435081202250397E-12</v>
      </c>
      <c r="C147">
        <f t="shared" si="29"/>
        <v>0.30901699437495261</v>
      </c>
      <c r="D147">
        <f t="shared" si="30"/>
        <v>-0.95105651629515187</v>
      </c>
      <c r="E147">
        <f t="shared" ca="1" si="23"/>
        <v>1.0291126774366557E-13</v>
      </c>
      <c r="F147">
        <f t="shared" ca="1" si="24"/>
        <v>142.66582863561584</v>
      </c>
      <c r="G147">
        <f t="shared" ca="1" si="25"/>
        <v>46.354937703099864</v>
      </c>
      <c r="H147">
        <f t="shared" ca="1" si="26"/>
        <v>150.00772950000001</v>
      </c>
      <c r="I147">
        <f t="shared" ca="1" si="27"/>
        <v>72.000000000000114</v>
      </c>
    </row>
    <row r="148" spans="1:9" x14ac:dyDescent="0.25">
      <c r="A148">
        <f t="shared" si="28"/>
        <v>0.13700000000000001</v>
      </c>
      <c r="B148">
        <f t="shared" si="22"/>
        <v>65.556410271673229</v>
      </c>
      <c r="C148">
        <f t="shared" si="29"/>
        <v>0.58778525229247325</v>
      </c>
      <c r="D148">
        <f t="shared" si="30"/>
        <v>-0.80901699437494734</v>
      </c>
      <c r="E148">
        <f t="shared" ca="1" si="23"/>
        <v>-4.0193981476477345E-15</v>
      </c>
      <c r="F148">
        <f t="shared" ca="1" si="24"/>
        <v>142.66582863561584</v>
      </c>
      <c r="G148">
        <f t="shared" ca="1" si="25"/>
        <v>46.354937703099864</v>
      </c>
      <c r="H148">
        <f t="shared" ca="1" si="26"/>
        <v>150.00772950000001</v>
      </c>
      <c r="I148">
        <f t="shared" ca="1" si="27"/>
        <v>72.000000000000114</v>
      </c>
    </row>
    <row r="149" spans="1:9" x14ac:dyDescent="0.25">
      <c r="A149">
        <f t="shared" si="28"/>
        <v>0.13800000000000001</v>
      </c>
      <c r="B149">
        <f t="shared" si="22"/>
        <v>124.69570234758703</v>
      </c>
      <c r="C149">
        <f t="shared" si="29"/>
        <v>0.80901699437494856</v>
      </c>
      <c r="D149">
        <f t="shared" si="30"/>
        <v>-0.58778525229247158</v>
      </c>
      <c r="E149">
        <f t="shared" ca="1" si="23"/>
        <v>-3.0145486107358008E-15</v>
      </c>
      <c r="F149">
        <f t="shared" ca="1" si="24"/>
        <v>142.66582863561584</v>
      </c>
      <c r="G149">
        <f t="shared" ca="1" si="25"/>
        <v>46.354937703099864</v>
      </c>
      <c r="H149">
        <f t="shared" ca="1" si="26"/>
        <v>150.00772950000001</v>
      </c>
      <c r="I149">
        <f t="shared" ca="1" si="27"/>
        <v>72.000000000000114</v>
      </c>
    </row>
    <row r="150" spans="1:9" x14ac:dyDescent="0.25">
      <c r="A150">
        <f t="shared" si="28"/>
        <v>0.13900000000000001</v>
      </c>
      <c r="B150">
        <f t="shared" si="22"/>
        <v>171.62891027167367</v>
      </c>
      <c r="C150">
        <f t="shared" si="29"/>
        <v>0.95105651629515464</v>
      </c>
      <c r="D150">
        <f t="shared" si="30"/>
        <v>-0.30901699437494395</v>
      </c>
      <c r="E150">
        <f t="shared" ca="1" si="23"/>
        <v>-2.0096990738238672E-15</v>
      </c>
      <c r="F150">
        <f t="shared" ca="1" si="24"/>
        <v>142.66582863561584</v>
      </c>
      <c r="G150">
        <f t="shared" ca="1" si="25"/>
        <v>46.354937703099864</v>
      </c>
      <c r="H150">
        <f t="shared" ca="1" si="26"/>
        <v>150.00772950000001</v>
      </c>
      <c r="I150">
        <f t="shared" ca="1" si="27"/>
        <v>72.000000000000114</v>
      </c>
    </row>
    <row r="151" spans="1:9" x14ac:dyDescent="0.25">
      <c r="A151">
        <f t="shared" si="28"/>
        <v>0.14000000000000001</v>
      </c>
      <c r="B151">
        <f t="shared" si="22"/>
        <v>201.7618846494357</v>
      </c>
      <c r="C151">
        <f t="shared" si="29"/>
        <v>1</v>
      </c>
      <c r="D151">
        <f t="shared" si="30"/>
        <v>5.3902195207289338E-15</v>
      </c>
      <c r="E151">
        <f t="shared" ca="1" si="23"/>
        <v>3.0145486107358007E-14</v>
      </c>
      <c r="F151">
        <f t="shared" ca="1" si="24"/>
        <v>142.66582863561587</v>
      </c>
      <c r="G151">
        <f t="shared" ca="1" si="25"/>
        <v>46.354937703099864</v>
      </c>
      <c r="H151">
        <f t="shared" ca="1" si="26"/>
        <v>150.00772950000004</v>
      </c>
      <c r="I151">
        <f t="shared" ca="1" si="27"/>
        <v>72.000000000000114</v>
      </c>
    </row>
    <row r="152" spans="1:9" x14ac:dyDescent="0.25">
      <c r="A152">
        <f t="shared" si="28"/>
        <v>0.14100000000000001</v>
      </c>
      <c r="B152">
        <f t="shared" si="22"/>
        <v>212.14500000000001</v>
      </c>
      <c r="C152">
        <f t="shared" si="29"/>
        <v>0.95105651629515131</v>
      </c>
      <c r="D152">
        <f t="shared" si="30"/>
        <v>0.30901699437495422</v>
      </c>
      <c r="E152">
        <f t="shared" ca="1" si="23"/>
        <v>0</v>
      </c>
      <c r="F152">
        <f t="shared" ca="1" si="24"/>
        <v>142.66582863561587</v>
      </c>
      <c r="G152">
        <f t="shared" ca="1" si="25"/>
        <v>46.354937703099864</v>
      </c>
      <c r="H152">
        <f t="shared" ca="1" si="26"/>
        <v>150.00772950000004</v>
      </c>
      <c r="I152">
        <f t="shared" ca="1" si="27"/>
        <v>72.000000000000114</v>
      </c>
    </row>
    <row r="153" spans="1:9" x14ac:dyDescent="0.25">
      <c r="A153">
        <f t="shared" si="28"/>
        <v>0.14200000000000002</v>
      </c>
      <c r="B153">
        <f t="shared" si="22"/>
        <v>201.76188464943525</v>
      </c>
      <c r="C153">
        <f t="shared" si="29"/>
        <v>0.80901699437494634</v>
      </c>
      <c r="D153">
        <f t="shared" si="30"/>
        <v>0.58778525229247458</v>
      </c>
      <c r="E153">
        <f t="shared" ca="1" si="23"/>
        <v>0</v>
      </c>
      <c r="F153">
        <f t="shared" ca="1" si="24"/>
        <v>142.66582863561587</v>
      </c>
      <c r="G153">
        <f t="shared" ca="1" si="25"/>
        <v>46.354937703099864</v>
      </c>
      <c r="H153">
        <f t="shared" ca="1" si="26"/>
        <v>150.00772950000004</v>
      </c>
      <c r="I153">
        <f t="shared" ca="1" si="27"/>
        <v>72.000000000000114</v>
      </c>
    </row>
    <row r="154" spans="1:9" x14ac:dyDescent="0.25">
      <c r="A154">
        <f t="shared" si="28"/>
        <v>0.14300000000000002</v>
      </c>
      <c r="B154">
        <f t="shared" si="22"/>
        <v>171.62891027167279</v>
      </c>
      <c r="C154">
        <f t="shared" si="29"/>
        <v>0.58778525229247025</v>
      </c>
      <c r="D154">
        <f t="shared" si="30"/>
        <v>0.80901699437494956</v>
      </c>
      <c r="E154">
        <f t="shared" ca="1" si="23"/>
        <v>-6.0290972214716014E-14</v>
      </c>
      <c r="F154">
        <f t="shared" ca="1" si="24"/>
        <v>142.66582863561584</v>
      </c>
      <c r="G154">
        <f t="shared" ca="1" si="25"/>
        <v>46.354937703099814</v>
      </c>
      <c r="H154">
        <f t="shared" ca="1" si="26"/>
        <v>150.00772949999998</v>
      </c>
      <c r="I154">
        <f t="shared" ca="1" si="27"/>
        <v>72.000000000000128</v>
      </c>
    </row>
    <row r="155" spans="1:9" x14ac:dyDescent="0.25">
      <c r="A155">
        <f t="shared" si="28"/>
        <v>0.14400000000000002</v>
      </c>
      <c r="B155">
        <f t="shared" si="22"/>
        <v>124.69570234758581</v>
      </c>
      <c r="C155">
        <f t="shared" si="29"/>
        <v>0.30901699437494234</v>
      </c>
      <c r="D155">
        <f t="shared" si="30"/>
        <v>0.9510565162951552</v>
      </c>
      <c r="E155">
        <f t="shared" ca="1" si="23"/>
        <v>-8.2397662026778558E-14</v>
      </c>
      <c r="F155">
        <f t="shared" ca="1" si="24"/>
        <v>142.66582863561581</v>
      </c>
      <c r="G155">
        <f t="shared" ca="1" si="25"/>
        <v>46.354937703099736</v>
      </c>
      <c r="H155">
        <f t="shared" ca="1" si="26"/>
        <v>150.00772949999995</v>
      </c>
      <c r="I155">
        <f t="shared" ca="1" si="27"/>
        <v>72.000000000000156</v>
      </c>
    </row>
    <row r="156" spans="1:9" x14ac:dyDescent="0.25">
      <c r="A156">
        <f t="shared" si="28"/>
        <v>0.14499999999999999</v>
      </c>
      <c r="B156">
        <f t="shared" si="22"/>
        <v>65.556410271673229</v>
      </c>
      <c r="C156">
        <f t="shared" si="29"/>
        <v>1.0842021724855044E-19</v>
      </c>
      <c r="D156">
        <f t="shared" si="30"/>
        <v>1</v>
      </c>
      <c r="E156">
        <f t="shared" ca="1" si="23"/>
        <v>3.0145486107358008E-15</v>
      </c>
      <c r="F156">
        <f t="shared" ca="1" si="24"/>
        <v>142.66582863561581</v>
      </c>
      <c r="G156">
        <f t="shared" ca="1" si="25"/>
        <v>46.354937703099736</v>
      </c>
      <c r="H156">
        <f t="shared" ca="1" si="26"/>
        <v>150.00772949999995</v>
      </c>
      <c r="I156">
        <f t="shared" ca="1" si="27"/>
        <v>72.000000000000156</v>
      </c>
    </row>
    <row r="157" spans="1:9" x14ac:dyDescent="0.25">
      <c r="A157">
        <f t="shared" si="28"/>
        <v>0.14599999999999999</v>
      </c>
      <c r="B157">
        <f t="shared" si="22"/>
        <v>1.1435541218390162E-12</v>
      </c>
      <c r="C157">
        <f t="shared" si="29"/>
        <v>-0.30901699437494234</v>
      </c>
      <c r="D157">
        <f t="shared" si="30"/>
        <v>0.9510565162951552</v>
      </c>
      <c r="E157">
        <f t="shared" ca="1" si="23"/>
        <v>1.1026253726451659E-13</v>
      </c>
      <c r="F157">
        <f t="shared" ca="1" si="24"/>
        <v>142.66582863561578</v>
      </c>
      <c r="G157">
        <f t="shared" ca="1" si="25"/>
        <v>46.354937703099843</v>
      </c>
      <c r="H157">
        <f t="shared" ca="1" si="26"/>
        <v>150.00772949999995</v>
      </c>
      <c r="I157">
        <f t="shared" ca="1" si="27"/>
        <v>72.000000000000114</v>
      </c>
    </row>
    <row r="158" spans="1:9" x14ac:dyDescent="0.25">
      <c r="A158">
        <f t="shared" si="28"/>
        <v>0.14699999999999999</v>
      </c>
      <c r="B158">
        <f t="shared" si="22"/>
        <v>-65.55641027167249</v>
      </c>
      <c r="C158">
        <f t="shared" si="29"/>
        <v>-0.58778525229247025</v>
      </c>
      <c r="D158">
        <f t="shared" si="30"/>
        <v>0.80901699437494956</v>
      </c>
      <c r="E158">
        <f t="shared" ca="1" si="23"/>
        <v>1.045043518388411E-13</v>
      </c>
      <c r="F158">
        <f t="shared" ca="1" si="24"/>
        <v>142.66582863561572</v>
      </c>
      <c r="G158">
        <f t="shared" ca="1" si="25"/>
        <v>46.354937703099928</v>
      </c>
      <c r="H158">
        <f t="shared" ca="1" si="26"/>
        <v>150.00772949999993</v>
      </c>
      <c r="I158">
        <f t="shared" ca="1" si="27"/>
        <v>72.000000000000071</v>
      </c>
    </row>
    <row r="159" spans="1:9" x14ac:dyDescent="0.25">
      <c r="A159">
        <f t="shared" si="28"/>
        <v>0.14799999999999999</v>
      </c>
      <c r="B159">
        <f t="shared" si="22"/>
        <v>-124.69570234758639</v>
      </c>
      <c r="C159">
        <f t="shared" si="29"/>
        <v>-0.80901699437494634</v>
      </c>
      <c r="D159">
        <f t="shared" si="30"/>
        <v>0.58778525229247458</v>
      </c>
      <c r="E159">
        <f t="shared" ca="1" si="23"/>
        <v>3.0145486107358008E-15</v>
      </c>
      <c r="F159">
        <f t="shared" ca="1" si="24"/>
        <v>142.66582863561572</v>
      </c>
      <c r="G159">
        <f t="shared" ca="1" si="25"/>
        <v>46.354937703099928</v>
      </c>
      <c r="H159">
        <f t="shared" ca="1" si="26"/>
        <v>150.00772949999993</v>
      </c>
      <c r="I159">
        <f t="shared" ca="1" si="27"/>
        <v>72.000000000000071</v>
      </c>
    </row>
    <row r="160" spans="1:9" x14ac:dyDescent="0.25">
      <c r="A160">
        <f t="shared" si="28"/>
        <v>0.14899999999999999</v>
      </c>
      <c r="B160">
        <f t="shared" si="22"/>
        <v>-171.62891027167322</v>
      </c>
      <c r="C160">
        <f t="shared" si="29"/>
        <v>-0.95105651629515353</v>
      </c>
      <c r="D160">
        <f t="shared" si="30"/>
        <v>0.30901699437494745</v>
      </c>
      <c r="E160">
        <f t="shared" ca="1" si="23"/>
        <v>2.0096990738238672E-15</v>
      </c>
      <c r="F160">
        <f t="shared" ca="1" si="24"/>
        <v>142.66582863561572</v>
      </c>
      <c r="G160">
        <f t="shared" ca="1" si="25"/>
        <v>46.354937703099928</v>
      </c>
      <c r="H160">
        <f t="shared" ca="1" si="26"/>
        <v>150.00772949999993</v>
      </c>
      <c r="I160">
        <f t="shared" ca="1" si="27"/>
        <v>72.000000000000071</v>
      </c>
    </row>
    <row r="161" spans="1:9" x14ac:dyDescent="0.25">
      <c r="A161">
        <f t="shared" si="28"/>
        <v>0.15</v>
      </c>
      <c r="B161">
        <f t="shared" si="22"/>
        <v>-201.76188464943547</v>
      </c>
      <c r="C161">
        <f t="shared" si="29"/>
        <v>-1</v>
      </c>
      <c r="D161">
        <f t="shared" si="30"/>
        <v>-1.7149909964375709E-15</v>
      </c>
      <c r="E161">
        <f t="shared" ca="1" si="23"/>
        <v>2.0096990738238672E-15</v>
      </c>
      <c r="F161">
        <f t="shared" ca="1" si="24"/>
        <v>142.66582863561572</v>
      </c>
      <c r="G161">
        <f t="shared" ca="1" si="25"/>
        <v>46.354937703099928</v>
      </c>
      <c r="H161">
        <f t="shared" ca="1" si="26"/>
        <v>150.00772949999993</v>
      </c>
      <c r="I161">
        <f t="shared" ca="1" si="27"/>
        <v>72.000000000000071</v>
      </c>
    </row>
    <row r="162" spans="1:9" x14ac:dyDescent="0.25">
      <c r="A162">
        <f t="shared" si="28"/>
        <v>0.151</v>
      </c>
      <c r="B162">
        <f t="shared" si="22"/>
        <v>-212.14500000000001</v>
      </c>
      <c r="C162">
        <f t="shared" si="29"/>
        <v>-0.95105651629515464</v>
      </c>
      <c r="D162">
        <f t="shared" si="30"/>
        <v>-0.30901699437494395</v>
      </c>
      <c r="E162">
        <f t="shared" ca="1" si="23"/>
        <v>0</v>
      </c>
      <c r="F162">
        <f t="shared" ca="1" si="24"/>
        <v>142.66582863561572</v>
      </c>
      <c r="G162">
        <f t="shared" ca="1" si="25"/>
        <v>46.354937703099928</v>
      </c>
      <c r="H162">
        <f t="shared" ca="1" si="26"/>
        <v>150.00772949999993</v>
      </c>
      <c r="I162">
        <f t="shared" ca="1" si="27"/>
        <v>72.000000000000071</v>
      </c>
    </row>
    <row r="163" spans="1:9" x14ac:dyDescent="0.25">
      <c r="A163">
        <f t="shared" si="28"/>
        <v>0.152</v>
      </c>
      <c r="B163">
        <f t="shared" si="22"/>
        <v>-201.7618846494355</v>
      </c>
      <c r="C163">
        <f t="shared" si="29"/>
        <v>-0.80901699437494856</v>
      </c>
      <c r="D163">
        <f t="shared" si="30"/>
        <v>-0.58778525229247158</v>
      </c>
      <c r="E163">
        <f t="shared" ca="1" si="23"/>
        <v>-3.6174583328829613E-14</v>
      </c>
      <c r="F163">
        <f t="shared" ca="1" si="24"/>
        <v>142.66582863561575</v>
      </c>
      <c r="G163">
        <f t="shared" ca="1" si="25"/>
        <v>46.354937703099949</v>
      </c>
      <c r="H163">
        <f t="shared" ca="1" si="26"/>
        <v>150.00772949999995</v>
      </c>
      <c r="I163">
        <f t="shared" ca="1" si="27"/>
        <v>72.000000000000071</v>
      </c>
    </row>
    <row r="164" spans="1:9" x14ac:dyDescent="0.25">
      <c r="A164">
        <f t="shared" si="28"/>
        <v>0.153</v>
      </c>
      <c r="B164">
        <f t="shared" si="22"/>
        <v>-171.62891027167325</v>
      </c>
      <c r="C164">
        <f t="shared" si="29"/>
        <v>-0.58778525229247325</v>
      </c>
      <c r="D164">
        <f t="shared" si="30"/>
        <v>-0.80901699437494734</v>
      </c>
      <c r="E164">
        <f t="shared" ca="1" si="23"/>
        <v>-2.0096990738238672E-15</v>
      </c>
      <c r="F164">
        <f t="shared" ca="1" si="24"/>
        <v>142.66582863561575</v>
      </c>
      <c r="G164">
        <f t="shared" ca="1" si="25"/>
        <v>46.354937703099949</v>
      </c>
      <c r="H164">
        <f t="shared" ca="1" si="26"/>
        <v>150.00772949999995</v>
      </c>
      <c r="I164">
        <f t="shared" ca="1" si="27"/>
        <v>72.000000000000071</v>
      </c>
    </row>
    <row r="165" spans="1:9" x14ac:dyDescent="0.25">
      <c r="A165">
        <f t="shared" si="28"/>
        <v>0.154</v>
      </c>
      <c r="B165">
        <f t="shared" ref="B165:B228" si="31">1.5*$B$6*SIN((A165*$C$1)+PI()/2.5)</f>
        <v>-124.69570234758643</v>
      </c>
      <c r="C165">
        <f t="shared" si="29"/>
        <v>-0.30901699437494584</v>
      </c>
      <c r="D165">
        <f t="shared" si="30"/>
        <v>-0.95105651629515409</v>
      </c>
      <c r="E165">
        <f t="shared" ref="E165:E228" ca="1" si="32">(1.4142/$B$2)*(B165-IF((ROW($A165)-ROW($A$11))&lt;$B$2,0,OFFSET($B165,-$B$2,0)))</f>
        <v>-3.0145486107358008E-15</v>
      </c>
      <c r="F165">
        <f t="shared" ref="F165:F228" ca="1" si="33">F164+$E165*COS($A165*$C$1)</f>
        <v>142.66582863561575</v>
      </c>
      <c r="G165">
        <f t="shared" ref="G165:G228" ca="1" si="34">G164+$E165*SIN($A165*$C$1)</f>
        <v>46.354937703099949</v>
      </c>
      <c r="H165">
        <f t="shared" ref="H165:H228" ca="1" si="35">IF(F165="","",SQRT(F165^2+G165^2))</f>
        <v>150.00772949999995</v>
      </c>
      <c r="I165">
        <f t="shared" ref="I165:I228" ca="1" si="36">IF(F165="","",ATAN2(G165,F165)*180/PI())</f>
        <v>72.000000000000071</v>
      </c>
    </row>
    <row r="166" spans="1:9" x14ac:dyDescent="0.25">
      <c r="A166">
        <f t="shared" si="28"/>
        <v>0.155</v>
      </c>
      <c r="B166">
        <f t="shared" si="31"/>
        <v>-65.556410271672547</v>
      </c>
      <c r="C166">
        <f t="shared" si="29"/>
        <v>3.4300904130923904E-15</v>
      </c>
      <c r="D166">
        <f t="shared" si="30"/>
        <v>-1</v>
      </c>
      <c r="E166">
        <f t="shared" ca="1" si="32"/>
        <v>-4.0193981476477345E-15</v>
      </c>
      <c r="F166">
        <f t="shared" ca="1" si="33"/>
        <v>142.66582863561575</v>
      </c>
      <c r="G166">
        <f t="shared" ca="1" si="34"/>
        <v>46.354937703099957</v>
      </c>
      <c r="H166">
        <f t="shared" ca="1" si="35"/>
        <v>150.00772949999995</v>
      </c>
      <c r="I166">
        <f t="shared" ca="1" si="36"/>
        <v>72.000000000000057</v>
      </c>
    </row>
    <row r="167" spans="1:9" x14ac:dyDescent="0.25">
      <c r="A167">
        <f t="shared" si="28"/>
        <v>0.156</v>
      </c>
      <c r="B167">
        <f t="shared" si="31"/>
        <v>-4.1585459034654272E-13</v>
      </c>
      <c r="C167">
        <f t="shared" si="29"/>
        <v>0.30901699437494562</v>
      </c>
      <c r="D167">
        <f t="shared" si="30"/>
        <v>-0.9510565162951542</v>
      </c>
      <c r="E167">
        <f t="shared" ca="1" si="32"/>
        <v>-1.1026253726451658E-13</v>
      </c>
      <c r="F167">
        <f t="shared" ca="1" si="33"/>
        <v>142.66582863561572</v>
      </c>
      <c r="G167">
        <f t="shared" ca="1" si="34"/>
        <v>46.354937703100063</v>
      </c>
      <c r="H167">
        <f t="shared" ca="1" si="35"/>
        <v>150.00772949999995</v>
      </c>
      <c r="I167">
        <f t="shared" ca="1" si="36"/>
        <v>72.000000000000028</v>
      </c>
    </row>
    <row r="168" spans="1:9" x14ac:dyDescent="0.25">
      <c r="A168">
        <f t="shared" si="28"/>
        <v>0.157</v>
      </c>
      <c r="B168">
        <f t="shared" si="31"/>
        <v>65.556410271673187</v>
      </c>
      <c r="C168">
        <f t="shared" si="29"/>
        <v>0.58778525229247303</v>
      </c>
      <c r="D168">
        <f t="shared" si="30"/>
        <v>-0.80901699437494756</v>
      </c>
      <c r="E168">
        <f t="shared" ca="1" si="32"/>
        <v>-3.0145486107358008E-15</v>
      </c>
      <c r="F168">
        <f t="shared" ca="1" si="33"/>
        <v>142.66582863561572</v>
      </c>
      <c r="G168">
        <f t="shared" ca="1" si="34"/>
        <v>46.354937703100063</v>
      </c>
      <c r="H168">
        <f t="shared" ca="1" si="35"/>
        <v>150.00772949999995</v>
      </c>
      <c r="I168">
        <f t="shared" ca="1" si="36"/>
        <v>72.000000000000028</v>
      </c>
    </row>
    <row r="169" spans="1:9" x14ac:dyDescent="0.25">
      <c r="A169">
        <f t="shared" si="28"/>
        <v>0.158</v>
      </c>
      <c r="B169">
        <f t="shared" si="31"/>
        <v>124.69570234758697</v>
      </c>
      <c r="C169">
        <f t="shared" si="29"/>
        <v>0.80901699437494834</v>
      </c>
      <c r="D169">
        <f t="shared" si="30"/>
        <v>-0.5877852522924718</v>
      </c>
      <c r="E169">
        <f t="shared" ca="1" si="32"/>
        <v>-4.0193981476477345E-15</v>
      </c>
      <c r="F169">
        <f t="shared" ca="1" si="33"/>
        <v>142.66582863561572</v>
      </c>
      <c r="G169">
        <f t="shared" ca="1" si="34"/>
        <v>46.354937703100063</v>
      </c>
      <c r="H169">
        <f t="shared" ca="1" si="35"/>
        <v>150.00772949999995</v>
      </c>
      <c r="I169">
        <f t="shared" ca="1" si="36"/>
        <v>72.000000000000028</v>
      </c>
    </row>
    <row r="170" spans="1:9" x14ac:dyDescent="0.25">
      <c r="A170">
        <f t="shared" si="28"/>
        <v>0.159</v>
      </c>
      <c r="B170">
        <f t="shared" si="31"/>
        <v>171.62891027167365</v>
      </c>
      <c r="C170">
        <f t="shared" si="29"/>
        <v>0.95105651629515464</v>
      </c>
      <c r="D170">
        <f t="shared" si="30"/>
        <v>-0.30901699437494423</v>
      </c>
      <c r="E170">
        <f t="shared" ca="1" si="32"/>
        <v>-2.0096990738238672E-15</v>
      </c>
      <c r="F170">
        <f t="shared" ca="1" si="33"/>
        <v>142.66582863561572</v>
      </c>
      <c r="G170">
        <f t="shared" ca="1" si="34"/>
        <v>46.354937703100063</v>
      </c>
      <c r="H170">
        <f t="shared" ca="1" si="35"/>
        <v>150.00772949999995</v>
      </c>
      <c r="I170">
        <f t="shared" ca="1" si="36"/>
        <v>72.000000000000028</v>
      </c>
    </row>
    <row r="171" spans="1:9" x14ac:dyDescent="0.25">
      <c r="A171">
        <f t="shared" si="28"/>
        <v>0.16</v>
      </c>
      <c r="B171">
        <f t="shared" si="31"/>
        <v>201.76188464943525</v>
      </c>
      <c r="C171">
        <f t="shared" si="29"/>
        <v>1</v>
      </c>
      <c r="D171">
        <f t="shared" si="30"/>
        <v>-1.960237527853792E-15</v>
      </c>
      <c r="E171">
        <f t="shared" ca="1" si="32"/>
        <v>-3.2155185181181876E-14</v>
      </c>
      <c r="F171">
        <f t="shared" ca="1" si="33"/>
        <v>142.6658286356157</v>
      </c>
      <c r="G171">
        <f t="shared" ca="1" si="34"/>
        <v>46.354937703100063</v>
      </c>
      <c r="H171">
        <f t="shared" ca="1" si="35"/>
        <v>150.00772949999993</v>
      </c>
      <c r="I171">
        <f t="shared" ca="1" si="36"/>
        <v>72.000000000000028</v>
      </c>
    </row>
    <row r="172" spans="1:9" x14ac:dyDescent="0.25">
      <c r="A172">
        <f t="shared" si="28"/>
        <v>0.161</v>
      </c>
      <c r="B172">
        <f t="shared" si="31"/>
        <v>212.14500000000001</v>
      </c>
      <c r="C172">
        <f t="shared" si="29"/>
        <v>0.95105651629515364</v>
      </c>
      <c r="D172">
        <f t="shared" si="30"/>
        <v>0.30901699437494723</v>
      </c>
      <c r="E172">
        <f t="shared" ca="1" si="32"/>
        <v>0</v>
      </c>
      <c r="F172">
        <f t="shared" ca="1" si="33"/>
        <v>142.6658286356157</v>
      </c>
      <c r="G172">
        <f t="shared" ca="1" si="34"/>
        <v>46.354937703100063</v>
      </c>
      <c r="H172">
        <f t="shared" ca="1" si="35"/>
        <v>150.00772949999993</v>
      </c>
      <c r="I172">
        <f t="shared" ca="1" si="36"/>
        <v>72.000000000000028</v>
      </c>
    </row>
    <row r="173" spans="1:9" x14ac:dyDescent="0.25">
      <c r="A173">
        <f t="shared" si="28"/>
        <v>0.16200000000000001</v>
      </c>
      <c r="B173">
        <f t="shared" si="31"/>
        <v>201.76188464943527</v>
      </c>
      <c r="C173">
        <f t="shared" si="29"/>
        <v>0.80901699437494645</v>
      </c>
      <c r="D173">
        <f t="shared" si="30"/>
        <v>0.58778525229247436</v>
      </c>
      <c r="E173">
        <f t="shared" ca="1" si="32"/>
        <v>2.0096990738238672E-15</v>
      </c>
      <c r="F173">
        <f t="shared" ca="1" si="33"/>
        <v>142.6658286356157</v>
      </c>
      <c r="G173">
        <f t="shared" ca="1" si="34"/>
        <v>46.354937703100063</v>
      </c>
      <c r="H173">
        <f t="shared" ca="1" si="35"/>
        <v>150.00772949999993</v>
      </c>
      <c r="I173">
        <f t="shared" ca="1" si="36"/>
        <v>72.000000000000028</v>
      </c>
    </row>
    <row r="174" spans="1:9" x14ac:dyDescent="0.25">
      <c r="A174">
        <f t="shared" si="28"/>
        <v>0.16300000000000001</v>
      </c>
      <c r="B174">
        <f t="shared" si="31"/>
        <v>171.62891027167282</v>
      </c>
      <c r="C174">
        <f t="shared" si="29"/>
        <v>0.58778525229247047</v>
      </c>
      <c r="D174">
        <f t="shared" si="30"/>
        <v>0.80901699437494934</v>
      </c>
      <c r="E174">
        <f t="shared" ca="1" si="32"/>
        <v>2.0096990738238672E-15</v>
      </c>
      <c r="F174">
        <f t="shared" ca="1" si="33"/>
        <v>142.6658286356157</v>
      </c>
      <c r="G174">
        <f t="shared" ca="1" si="34"/>
        <v>46.354937703100063</v>
      </c>
      <c r="H174">
        <f t="shared" ca="1" si="35"/>
        <v>150.00772949999993</v>
      </c>
      <c r="I174">
        <f t="shared" ca="1" si="36"/>
        <v>72.000000000000028</v>
      </c>
    </row>
    <row r="175" spans="1:9" x14ac:dyDescent="0.25">
      <c r="A175">
        <f t="shared" si="28"/>
        <v>0.16400000000000001</v>
      </c>
      <c r="B175">
        <f t="shared" si="31"/>
        <v>124.69570234758585</v>
      </c>
      <c r="C175">
        <f t="shared" si="29"/>
        <v>0.30901699437494257</v>
      </c>
      <c r="D175">
        <f t="shared" si="30"/>
        <v>0.9510565162951552</v>
      </c>
      <c r="E175">
        <f t="shared" ca="1" si="32"/>
        <v>3.0145486107358008E-15</v>
      </c>
      <c r="F175">
        <f t="shared" ca="1" si="33"/>
        <v>142.6658286356157</v>
      </c>
      <c r="G175">
        <f t="shared" ca="1" si="34"/>
        <v>46.354937703100063</v>
      </c>
      <c r="H175">
        <f t="shared" ca="1" si="35"/>
        <v>150.00772949999993</v>
      </c>
      <c r="I175">
        <f t="shared" ca="1" si="36"/>
        <v>72.000000000000028</v>
      </c>
    </row>
    <row r="176" spans="1:9" x14ac:dyDescent="0.25">
      <c r="A176">
        <f t="shared" si="28"/>
        <v>0.16500000000000001</v>
      </c>
      <c r="B176">
        <f t="shared" si="31"/>
        <v>65.556410271673286</v>
      </c>
      <c r="C176">
        <f t="shared" si="29"/>
        <v>2.4513811119897255E-16</v>
      </c>
      <c r="D176">
        <f t="shared" si="30"/>
        <v>1</v>
      </c>
      <c r="E176">
        <f t="shared" ca="1" si="32"/>
        <v>4.0193981476477345E-15</v>
      </c>
      <c r="F176">
        <f t="shared" ca="1" si="33"/>
        <v>142.6658286356157</v>
      </c>
      <c r="G176">
        <f t="shared" ca="1" si="34"/>
        <v>46.35493770310007</v>
      </c>
      <c r="H176">
        <f t="shared" ca="1" si="35"/>
        <v>150.00772949999995</v>
      </c>
      <c r="I176">
        <f t="shared" ca="1" si="36"/>
        <v>72.000000000000028</v>
      </c>
    </row>
    <row r="177" spans="1:9" x14ac:dyDescent="0.25">
      <c r="A177">
        <f t="shared" si="28"/>
        <v>0.16600000000000001</v>
      </c>
      <c r="B177">
        <f t="shared" si="31"/>
        <v>-3.1184494114593066E-13</v>
      </c>
      <c r="C177">
        <f t="shared" si="29"/>
        <v>-0.30901699437494889</v>
      </c>
      <c r="D177">
        <f t="shared" si="30"/>
        <v>0.95105651629515309</v>
      </c>
      <c r="E177">
        <f t="shared" ca="1" si="32"/>
        <v>-1.0291126774366558E-13</v>
      </c>
      <c r="F177">
        <f t="shared" ca="1" si="33"/>
        <v>142.66582863561572</v>
      </c>
      <c r="G177">
        <f t="shared" ca="1" si="34"/>
        <v>46.354937703099971</v>
      </c>
      <c r="H177">
        <f t="shared" ca="1" si="35"/>
        <v>150.00772949999993</v>
      </c>
      <c r="I177">
        <f t="shared" ca="1" si="36"/>
        <v>72.000000000000057</v>
      </c>
    </row>
    <row r="178" spans="1:9" x14ac:dyDescent="0.25">
      <c r="A178">
        <f t="shared" si="28"/>
        <v>0.16700000000000001</v>
      </c>
      <c r="B178">
        <f t="shared" si="31"/>
        <v>-65.556410271673883</v>
      </c>
      <c r="C178">
        <f t="shared" si="29"/>
        <v>-0.5877852522924758</v>
      </c>
      <c r="D178">
        <f t="shared" si="30"/>
        <v>0.80901699437494545</v>
      </c>
      <c r="E178">
        <f t="shared" ca="1" si="32"/>
        <v>-9.8475254617369496E-14</v>
      </c>
      <c r="F178">
        <f t="shared" ca="1" si="33"/>
        <v>142.66582863561578</v>
      </c>
      <c r="G178">
        <f t="shared" ca="1" si="34"/>
        <v>46.354937703099893</v>
      </c>
      <c r="H178">
        <f t="shared" ca="1" si="35"/>
        <v>150.00772949999998</v>
      </c>
      <c r="I178">
        <f t="shared" ca="1" si="36"/>
        <v>72.000000000000099</v>
      </c>
    </row>
    <row r="179" spans="1:9" x14ac:dyDescent="0.25">
      <c r="A179">
        <f t="shared" si="28"/>
        <v>0.16800000000000001</v>
      </c>
      <c r="B179">
        <f t="shared" si="31"/>
        <v>-124.69570234758757</v>
      </c>
      <c r="C179">
        <f t="shared" si="29"/>
        <v>-0.80901699437495034</v>
      </c>
      <c r="D179">
        <f t="shared" si="30"/>
        <v>0.58778525229246903</v>
      </c>
      <c r="E179">
        <f t="shared" ca="1" si="32"/>
        <v>-8.3402511563690492E-14</v>
      </c>
      <c r="F179">
        <f t="shared" ca="1" si="33"/>
        <v>142.66582863561584</v>
      </c>
      <c r="G179">
        <f t="shared" ca="1" si="34"/>
        <v>46.354937703099843</v>
      </c>
      <c r="H179">
        <f t="shared" ca="1" si="35"/>
        <v>150.00772950000001</v>
      </c>
      <c r="I179">
        <f t="shared" ca="1" si="36"/>
        <v>72.000000000000114</v>
      </c>
    </row>
    <row r="180" spans="1:9" x14ac:dyDescent="0.25">
      <c r="A180">
        <f t="shared" si="28"/>
        <v>0.16900000000000001</v>
      </c>
      <c r="B180">
        <f t="shared" si="31"/>
        <v>-171.62891027167407</v>
      </c>
      <c r="C180">
        <f t="shared" si="29"/>
        <v>-0.95105651629515564</v>
      </c>
      <c r="D180">
        <f t="shared" si="30"/>
        <v>0.30901699437494096</v>
      </c>
      <c r="E180">
        <f t="shared" ca="1" si="32"/>
        <v>-6.0290972214716014E-14</v>
      </c>
      <c r="F180">
        <f t="shared" ca="1" si="33"/>
        <v>142.6658286356159</v>
      </c>
      <c r="G180">
        <f t="shared" ca="1" si="34"/>
        <v>46.354937703099822</v>
      </c>
      <c r="H180">
        <f t="shared" ca="1" si="35"/>
        <v>150.00772950000007</v>
      </c>
      <c r="I180">
        <f t="shared" ca="1" si="36"/>
        <v>72.000000000000142</v>
      </c>
    </row>
    <row r="181" spans="1:9" x14ac:dyDescent="0.25">
      <c r="A181">
        <f t="shared" si="28"/>
        <v>0.17</v>
      </c>
      <c r="B181">
        <f t="shared" si="31"/>
        <v>-201.76188464943544</v>
      </c>
      <c r="C181">
        <f t="shared" si="29"/>
        <v>-1</v>
      </c>
      <c r="D181">
        <f t="shared" si="30"/>
        <v>-1.4699613054558469E-15</v>
      </c>
      <c r="E181">
        <f t="shared" ca="1" si="32"/>
        <v>2.0096990738238672E-15</v>
      </c>
      <c r="F181">
        <f t="shared" ca="1" si="33"/>
        <v>142.6658286356159</v>
      </c>
      <c r="G181">
        <f t="shared" ca="1" si="34"/>
        <v>46.354937703099822</v>
      </c>
      <c r="H181">
        <f t="shared" ca="1" si="35"/>
        <v>150.00772950000007</v>
      </c>
      <c r="I181">
        <f t="shared" ca="1" si="36"/>
        <v>72.000000000000142</v>
      </c>
    </row>
    <row r="182" spans="1:9" x14ac:dyDescent="0.25">
      <c r="A182">
        <f t="shared" si="28"/>
        <v>0.17100000000000001</v>
      </c>
      <c r="B182">
        <f t="shared" si="31"/>
        <v>-212.14500000000001</v>
      </c>
      <c r="C182">
        <f t="shared" si="29"/>
        <v>-0.95105651629515253</v>
      </c>
      <c r="D182">
        <f t="shared" si="30"/>
        <v>-0.3090169943749505</v>
      </c>
      <c r="E182">
        <f t="shared" ca="1" si="32"/>
        <v>0</v>
      </c>
      <c r="F182">
        <f t="shared" ca="1" si="33"/>
        <v>142.6658286356159</v>
      </c>
      <c r="G182">
        <f t="shared" ca="1" si="34"/>
        <v>46.354937703099822</v>
      </c>
      <c r="H182">
        <f t="shared" ca="1" si="35"/>
        <v>150.00772950000007</v>
      </c>
      <c r="I182">
        <f t="shared" ca="1" si="36"/>
        <v>72.000000000000142</v>
      </c>
    </row>
    <row r="183" spans="1:9" x14ac:dyDescent="0.25">
      <c r="A183">
        <f t="shared" si="28"/>
        <v>0.17200000000000001</v>
      </c>
      <c r="B183">
        <f t="shared" si="31"/>
        <v>-201.76188464943505</v>
      </c>
      <c r="C183">
        <f t="shared" si="29"/>
        <v>-0.80901699437494445</v>
      </c>
      <c r="D183">
        <f t="shared" si="30"/>
        <v>-0.58778525229247713</v>
      </c>
      <c r="E183">
        <f t="shared" ca="1" si="32"/>
        <v>3.2155185181181876E-14</v>
      </c>
      <c r="F183">
        <f t="shared" ca="1" si="33"/>
        <v>142.66582863561587</v>
      </c>
      <c r="G183">
        <f t="shared" ca="1" si="34"/>
        <v>46.3549377030998</v>
      </c>
      <c r="H183">
        <f t="shared" ca="1" si="35"/>
        <v>150.00772950000001</v>
      </c>
      <c r="I183">
        <f t="shared" ca="1" si="36"/>
        <v>72.000000000000142</v>
      </c>
    </row>
    <row r="184" spans="1:9" x14ac:dyDescent="0.25">
      <c r="A184">
        <f t="shared" si="28"/>
        <v>0.17300000000000001</v>
      </c>
      <c r="B184">
        <f t="shared" si="31"/>
        <v>-171.6289102716724</v>
      </c>
      <c r="C184">
        <f t="shared" si="29"/>
        <v>-0.5877852522924677</v>
      </c>
      <c r="D184">
        <f t="shared" si="30"/>
        <v>-0.80901699437495145</v>
      </c>
      <c r="E184">
        <f t="shared" ca="1" si="32"/>
        <v>6.0290972214716014E-14</v>
      </c>
      <c r="F184">
        <f t="shared" ca="1" si="33"/>
        <v>142.66582863561584</v>
      </c>
      <c r="G184">
        <f t="shared" ca="1" si="34"/>
        <v>46.35493770309975</v>
      </c>
      <c r="H184">
        <f t="shared" ca="1" si="35"/>
        <v>150.00772949999998</v>
      </c>
      <c r="I184">
        <f t="shared" ca="1" si="36"/>
        <v>72.000000000000156</v>
      </c>
    </row>
    <row r="185" spans="1:9" x14ac:dyDescent="0.25">
      <c r="A185">
        <f t="shared" si="28"/>
        <v>0.17400000000000002</v>
      </c>
      <c r="B185">
        <f t="shared" si="31"/>
        <v>-124.69570234758525</v>
      </c>
      <c r="C185">
        <f t="shared" si="29"/>
        <v>-0.30901699437493929</v>
      </c>
      <c r="D185">
        <f t="shared" si="30"/>
        <v>-0.9510565162951562</v>
      </c>
      <c r="E185">
        <f t="shared" ca="1" si="32"/>
        <v>8.3402511563690492E-14</v>
      </c>
      <c r="F185">
        <f t="shared" ca="1" si="33"/>
        <v>142.66582863561581</v>
      </c>
      <c r="G185">
        <f t="shared" ca="1" si="34"/>
        <v>46.354937703099672</v>
      </c>
      <c r="H185">
        <f t="shared" ca="1" si="35"/>
        <v>150.00772949999993</v>
      </c>
      <c r="I185">
        <f t="shared" ca="1" si="36"/>
        <v>72.000000000000185</v>
      </c>
    </row>
    <row r="186" spans="1:9" x14ac:dyDescent="0.25">
      <c r="A186">
        <f t="shared" si="28"/>
        <v>0.17500000000000002</v>
      </c>
      <c r="B186">
        <f t="shared" si="31"/>
        <v>-65.55641027167259</v>
      </c>
      <c r="C186">
        <f t="shared" si="29"/>
        <v>3.1850607221106664E-15</v>
      </c>
      <c r="D186">
        <f t="shared" si="30"/>
        <v>-1</v>
      </c>
      <c r="E186">
        <f t="shared" ca="1" si="32"/>
        <v>-3.0145486107358008E-15</v>
      </c>
      <c r="F186">
        <f t="shared" ca="1" si="33"/>
        <v>142.66582863561581</v>
      </c>
      <c r="G186">
        <f t="shared" ca="1" si="34"/>
        <v>46.354937703099672</v>
      </c>
      <c r="H186">
        <f t="shared" ca="1" si="35"/>
        <v>150.00772949999993</v>
      </c>
      <c r="I186">
        <f t="shared" ca="1" si="36"/>
        <v>72.000000000000185</v>
      </c>
    </row>
    <row r="187" spans="1:9" x14ac:dyDescent="0.25">
      <c r="A187">
        <f t="shared" si="28"/>
        <v>0.17599999999999999</v>
      </c>
      <c r="B187">
        <f t="shared" si="31"/>
        <v>-4.6783641413986053E-13</v>
      </c>
      <c r="C187">
        <f t="shared" si="29"/>
        <v>0.3090169943749454</v>
      </c>
      <c r="D187">
        <f t="shared" si="30"/>
        <v>-0.9510565162951542</v>
      </c>
      <c r="E187">
        <f t="shared" ca="1" si="32"/>
        <v>-3.6756347604255022E-15</v>
      </c>
      <c r="F187">
        <f t="shared" ca="1" si="33"/>
        <v>142.66582863561581</v>
      </c>
      <c r="G187">
        <f t="shared" ca="1" si="34"/>
        <v>46.354937703099672</v>
      </c>
      <c r="H187">
        <f t="shared" ca="1" si="35"/>
        <v>150.00772949999993</v>
      </c>
      <c r="I187">
        <f t="shared" ca="1" si="36"/>
        <v>72.000000000000185</v>
      </c>
    </row>
    <row r="188" spans="1:9" x14ac:dyDescent="0.25">
      <c r="A188">
        <f t="shared" si="28"/>
        <v>0.17699999999999999</v>
      </c>
      <c r="B188">
        <f t="shared" si="31"/>
        <v>65.55641027167313</v>
      </c>
      <c r="C188">
        <f t="shared" si="29"/>
        <v>0.5877852522924728</v>
      </c>
      <c r="D188">
        <f t="shared" si="30"/>
        <v>-0.80901699437494767</v>
      </c>
      <c r="E188">
        <f t="shared" ca="1" si="32"/>
        <v>-4.0193981476477345E-15</v>
      </c>
      <c r="F188">
        <f t="shared" ca="1" si="33"/>
        <v>142.66582863561581</v>
      </c>
      <c r="G188">
        <f t="shared" ca="1" si="34"/>
        <v>46.354937703099672</v>
      </c>
      <c r="H188">
        <f t="shared" ca="1" si="35"/>
        <v>150.00772949999993</v>
      </c>
      <c r="I188">
        <f t="shared" ca="1" si="36"/>
        <v>72.000000000000185</v>
      </c>
    </row>
    <row r="189" spans="1:9" x14ac:dyDescent="0.25">
      <c r="A189">
        <f t="shared" si="28"/>
        <v>0.17799999999999999</v>
      </c>
      <c r="B189">
        <f t="shared" si="31"/>
        <v>124.69570234758574</v>
      </c>
      <c r="C189">
        <f t="shared" si="29"/>
        <v>0.80901699437494401</v>
      </c>
      <c r="D189">
        <f t="shared" si="30"/>
        <v>-0.5877852522924778</v>
      </c>
      <c r="E189">
        <f t="shared" ca="1" si="32"/>
        <v>-8.742190971133823E-14</v>
      </c>
      <c r="F189">
        <f t="shared" ca="1" si="33"/>
        <v>142.66582863561575</v>
      </c>
      <c r="G189">
        <f t="shared" ca="1" si="34"/>
        <v>46.354937703099722</v>
      </c>
      <c r="H189">
        <f t="shared" ca="1" si="35"/>
        <v>150.0077294999999</v>
      </c>
      <c r="I189">
        <f t="shared" ca="1" si="36"/>
        <v>72.000000000000156</v>
      </c>
    </row>
    <row r="190" spans="1:9" x14ac:dyDescent="0.25">
      <c r="A190">
        <f t="shared" si="28"/>
        <v>0.17899999999999999</v>
      </c>
      <c r="B190">
        <f t="shared" si="31"/>
        <v>171.62891027167271</v>
      </c>
      <c r="C190">
        <f t="shared" si="29"/>
        <v>0.95105651629515231</v>
      </c>
      <c r="D190">
        <f t="shared" si="30"/>
        <v>-0.30901699437495123</v>
      </c>
      <c r="E190">
        <f t="shared" ca="1" si="32"/>
        <v>-6.632006943618762E-14</v>
      </c>
      <c r="F190">
        <f t="shared" ca="1" si="33"/>
        <v>142.6658286356157</v>
      </c>
      <c r="G190">
        <f t="shared" ca="1" si="34"/>
        <v>46.354937703099743</v>
      </c>
      <c r="H190">
        <f t="shared" ca="1" si="35"/>
        <v>150.00772949999984</v>
      </c>
      <c r="I190">
        <f t="shared" ca="1" si="36"/>
        <v>72.000000000000142</v>
      </c>
    </row>
    <row r="191" spans="1:9" x14ac:dyDescent="0.25">
      <c r="A191">
        <f t="shared" si="28"/>
        <v>0.18</v>
      </c>
      <c r="B191">
        <f t="shared" si="31"/>
        <v>201.76188464943522</v>
      </c>
      <c r="C191">
        <f t="shared" si="29"/>
        <v>1</v>
      </c>
      <c r="D191">
        <f t="shared" si="30"/>
        <v>-2.205267218835516E-15</v>
      </c>
      <c r="E191">
        <f t="shared" ca="1" si="32"/>
        <v>-2.0096990738238672E-15</v>
      </c>
      <c r="F191">
        <f t="shared" ca="1" si="33"/>
        <v>142.6658286356157</v>
      </c>
      <c r="G191">
        <f t="shared" ca="1" si="34"/>
        <v>46.354937703099743</v>
      </c>
      <c r="H191">
        <f t="shared" ca="1" si="35"/>
        <v>150.00772949999984</v>
      </c>
      <c r="I191">
        <f t="shared" ca="1" si="36"/>
        <v>72.000000000000142</v>
      </c>
    </row>
    <row r="192" spans="1:9" x14ac:dyDescent="0.25">
      <c r="A192">
        <f t="shared" si="28"/>
        <v>0.18099999999999999</v>
      </c>
      <c r="B192">
        <f t="shared" si="31"/>
        <v>212.14500000000001</v>
      </c>
      <c r="C192">
        <f t="shared" si="29"/>
        <v>0.95105651629515375</v>
      </c>
      <c r="D192">
        <f t="shared" si="30"/>
        <v>0.30901699437494701</v>
      </c>
      <c r="E192">
        <f t="shared" ca="1" si="32"/>
        <v>0</v>
      </c>
      <c r="F192">
        <f t="shared" ca="1" si="33"/>
        <v>142.6658286356157</v>
      </c>
      <c r="G192">
        <f t="shared" ca="1" si="34"/>
        <v>46.354937703099743</v>
      </c>
      <c r="H192">
        <f t="shared" ca="1" si="35"/>
        <v>150.00772949999984</v>
      </c>
      <c r="I192">
        <f t="shared" ca="1" si="36"/>
        <v>72.000000000000142</v>
      </c>
    </row>
    <row r="193" spans="1:9" x14ac:dyDescent="0.25">
      <c r="A193">
        <f t="shared" si="28"/>
        <v>0.182</v>
      </c>
      <c r="B193">
        <f t="shared" si="31"/>
        <v>201.76188464943527</v>
      </c>
      <c r="C193">
        <f t="shared" si="29"/>
        <v>0.80901699437494667</v>
      </c>
      <c r="D193">
        <f t="shared" si="30"/>
        <v>0.58778525229247425</v>
      </c>
      <c r="E193">
        <f t="shared" ca="1" si="32"/>
        <v>0</v>
      </c>
      <c r="F193">
        <f t="shared" ca="1" si="33"/>
        <v>142.6658286356157</v>
      </c>
      <c r="G193">
        <f t="shared" ca="1" si="34"/>
        <v>46.354937703099743</v>
      </c>
      <c r="H193">
        <f t="shared" ca="1" si="35"/>
        <v>150.00772949999984</v>
      </c>
      <c r="I193">
        <f t="shared" ca="1" si="36"/>
        <v>72.000000000000142</v>
      </c>
    </row>
    <row r="194" spans="1:9" x14ac:dyDescent="0.25">
      <c r="A194">
        <f t="shared" si="28"/>
        <v>0.183</v>
      </c>
      <c r="B194">
        <f t="shared" si="31"/>
        <v>171.62891027167373</v>
      </c>
      <c r="C194">
        <f t="shared" si="29"/>
        <v>0.58778525229247636</v>
      </c>
      <c r="D194">
        <f t="shared" si="30"/>
        <v>0.80901699437494501</v>
      </c>
      <c r="E194">
        <f t="shared" ca="1" si="32"/>
        <v>6.4310370362363751E-14</v>
      </c>
      <c r="F194">
        <f t="shared" ca="1" si="33"/>
        <v>142.66582863561572</v>
      </c>
      <c r="G194">
        <f t="shared" ca="1" si="34"/>
        <v>46.354937703099793</v>
      </c>
      <c r="H194">
        <f t="shared" ca="1" si="35"/>
        <v>150.00772949999987</v>
      </c>
      <c r="I194">
        <f t="shared" ca="1" si="36"/>
        <v>72.000000000000128</v>
      </c>
    </row>
    <row r="195" spans="1:9" x14ac:dyDescent="0.25">
      <c r="A195">
        <f t="shared" si="28"/>
        <v>0.184</v>
      </c>
      <c r="B195">
        <f t="shared" si="31"/>
        <v>124.69570234758712</v>
      </c>
      <c r="C195">
        <f t="shared" si="29"/>
        <v>0.30901699437494956</v>
      </c>
      <c r="D195">
        <f t="shared" si="30"/>
        <v>0.95105651629515287</v>
      </c>
      <c r="E195">
        <f t="shared" ca="1" si="32"/>
        <v>8.9431608785162086E-14</v>
      </c>
      <c r="F195">
        <f t="shared" ca="1" si="33"/>
        <v>142.66582863561575</v>
      </c>
      <c r="G195">
        <f t="shared" ca="1" si="34"/>
        <v>46.354937703099878</v>
      </c>
      <c r="H195">
        <f t="shared" ca="1" si="35"/>
        <v>150.00772949999993</v>
      </c>
      <c r="I195">
        <f t="shared" ca="1" si="36"/>
        <v>72.000000000000099</v>
      </c>
    </row>
    <row r="196" spans="1:9" x14ac:dyDescent="0.25">
      <c r="A196">
        <f t="shared" si="28"/>
        <v>0.185</v>
      </c>
      <c r="B196">
        <f t="shared" si="31"/>
        <v>65.556410271673343</v>
      </c>
      <c r="C196">
        <f t="shared" si="29"/>
        <v>4.9016780218069655E-16</v>
      </c>
      <c r="D196">
        <f t="shared" si="30"/>
        <v>1</v>
      </c>
      <c r="E196">
        <f t="shared" ca="1" si="32"/>
        <v>4.0193981476477345E-15</v>
      </c>
      <c r="F196">
        <f t="shared" ca="1" si="33"/>
        <v>142.66582863561575</v>
      </c>
      <c r="G196">
        <f t="shared" ca="1" si="34"/>
        <v>46.354937703099885</v>
      </c>
      <c r="H196">
        <f t="shared" ca="1" si="35"/>
        <v>150.00772949999993</v>
      </c>
      <c r="I196">
        <f t="shared" ca="1" si="36"/>
        <v>72.000000000000099</v>
      </c>
    </row>
    <row r="197" spans="1:9" x14ac:dyDescent="0.25">
      <c r="A197">
        <f t="shared" si="28"/>
        <v>0.186</v>
      </c>
      <c r="B197">
        <f t="shared" si="31"/>
        <v>-2.598631173526128E-13</v>
      </c>
      <c r="C197">
        <f t="shared" si="29"/>
        <v>-0.30901699437494862</v>
      </c>
      <c r="D197">
        <f t="shared" si="30"/>
        <v>0.9510565162951532</v>
      </c>
      <c r="E197">
        <f t="shared" ca="1" si="32"/>
        <v>3.6756347604255053E-15</v>
      </c>
      <c r="F197">
        <f t="shared" ca="1" si="33"/>
        <v>142.66582863561575</v>
      </c>
      <c r="G197">
        <f t="shared" ca="1" si="34"/>
        <v>46.354937703099885</v>
      </c>
      <c r="H197">
        <f t="shared" ca="1" si="35"/>
        <v>150.00772949999993</v>
      </c>
      <c r="I197">
        <f t="shared" ca="1" si="36"/>
        <v>72.000000000000099</v>
      </c>
    </row>
    <row r="198" spans="1:9" x14ac:dyDescent="0.25">
      <c r="A198">
        <f t="shared" si="28"/>
        <v>0.187</v>
      </c>
      <c r="B198">
        <f t="shared" si="31"/>
        <v>-65.556410271673826</v>
      </c>
      <c r="C198">
        <f t="shared" si="29"/>
        <v>-0.58778525229247558</v>
      </c>
      <c r="D198">
        <f t="shared" si="30"/>
        <v>0.80901699437494567</v>
      </c>
      <c r="E198">
        <f t="shared" ca="1" si="32"/>
        <v>4.0193981476477345E-15</v>
      </c>
      <c r="F198">
        <f t="shared" ca="1" si="33"/>
        <v>142.66582863561575</v>
      </c>
      <c r="G198">
        <f t="shared" ca="1" si="34"/>
        <v>46.354937703099885</v>
      </c>
      <c r="H198">
        <f t="shared" ca="1" si="35"/>
        <v>150.00772949999993</v>
      </c>
      <c r="I198">
        <f t="shared" ca="1" si="36"/>
        <v>72.000000000000099</v>
      </c>
    </row>
    <row r="199" spans="1:9" x14ac:dyDescent="0.25">
      <c r="A199">
        <f t="shared" si="28"/>
        <v>0.188</v>
      </c>
      <c r="B199">
        <f t="shared" si="31"/>
        <v>-124.69570234758632</v>
      </c>
      <c r="C199">
        <f t="shared" si="29"/>
        <v>-0.80901699437494612</v>
      </c>
      <c r="D199">
        <f t="shared" si="30"/>
        <v>0.58778525229247502</v>
      </c>
      <c r="E199">
        <f t="shared" ca="1" si="32"/>
        <v>8.8426759248250152E-14</v>
      </c>
      <c r="F199">
        <f t="shared" ca="1" si="33"/>
        <v>142.66582863561567</v>
      </c>
      <c r="G199">
        <f t="shared" ca="1" si="34"/>
        <v>46.354937703099935</v>
      </c>
      <c r="H199">
        <f t="shared" ca="1" si="35"/>
        <v>150.00772949999987</v>
      </c>
      <c r="I199">
        <f t="shared" ca="1" si="36"/>
        <v>72.000000000000057</v>
      </c>
    </row>
    <row r="200" spans="1:9" x14ac:dyDescent="0.25">
      <c r="A200">
        <f t="shared" si="28"/>
        <v>0.189</v>
      </c>
      <c r="B200">
        <f t="shared" si="31"/>
        <v>-171.62891027167316</v>
      </c>
      <c r="C200">
        <f t="shared" si="29"/>
        <v>-0.95105651629515342</v>
      </c>
      <c r="D200">
        <f t="shared" si="30"/>
        <v>0.30901699437494795</v>
      </c>
      <c r="E200">
        <f t="shared" ca="1" si="32"/>
        <v>6.4310370362363751E-14</v>
      </c>
      <c r="F200">
        <f t="shared" ca="1" si="33"/>
        <v>142.66582863561561</v>
      </c>
      <c r="G200">
        <f t="shared" ca="1" si="34"/>
        <v>46.354937703099957</v>
      </c>
      <c r="H200">
        <f t="shared" ca="1" si="35"/>
        <v>150.00772949999981</v>
      </c>
      <c r="I200">
        <f t="shared" ca="1" si="36"/>
        <v>72.000000000000057</v>
      </c>
    </row>
    <row r="201" spans="1:9" x14ac:dyDescent="0.25">
      <c r="A201">
        <f t="shared" si="28"/>
        <v>0.19</v>
      </c>
      <c r="B201">
        <f t="shared" si="31"/>
        <v>-201.76188464943544</v>
      </c>
      <c r="C201">
        <f t="shared" si="29"/>
        <v>-1</v>
      </c>
      <c r="D201">
        <f t="shared" si="30"/>
        <v>-1.2249316144741229E-15</v>
      </c>
      <c r="E201">
        <f t="shared" ca="1" si="32"/>
        <v>0</v>
      </c>
      <c r="F201">
        <f t="shared" ca="1" si="33"/>
        <v>142.66582863561561</v>
      </c>
      <c r="G201">
        <f t="shared" ca="1" si="34"/>
        <v>46.354937703099957</v>
      </c>
      <c r="H201">
        <f t="shared" ca="1" si="35"/>
        <v>150.00772949999981</v>
      </c>
      <c r="I201">
        <f t="shared" ca="1" si="36"/>
        <v>72.000000000000057</v>
      </c>
    </row>
    <row r="202" spans="1:9" x14ac:dyDescent="0.25">
      <c r="A202">
        <f t="shared" si="28"/>
        <v>0.191</v>
      </c>
      <c r="B202">
        <f t="shared" si="31"/>
        <v>-212.14500000000001</v>
      </c>
      <c r="C202">
        <f t="shared" si="29"/>
        <v>-0.95105651629515264</v>
      </c>
      <c r="D202">
        <f t="shared" si="30"/>
        <v>-0.30901699437495028</v>
      </c>
      <c r="E202">
        <f t="shared" ca="1" si="32"/>
        <v>0</v>
      </c>
      <c r="F202">
        <f t="shared" ca="1" si="33"/>
        <v>142.66582863561561</v>
      </c>
      <c r="G202">
        <f t="shared" ca="1" si="34"/>
        <v>46.354937703099957</v>
      </c>
      <c r="H202">
        <f t="shared" ca="1" si="35"/>
        <v>150.00772949999981</v>
      </c>
      <c r="I202">
        <f t="shared" ca="1" si="36"/>
        <v>72.000000000000057</v>
      </c>
    </row>
    <row r="203" spans="1:9" x14ac:dyDescent="0.25">
      <c r="A203">
        <f t="shared" si="28"/>
        <v>0.192</v>
      </c>
      <c r="B203">
        <f t="shared" si="31"/>
        <v>-201.76188464943505</v>
      </c>
      <c r="C203">
        <f t="shared" si="29"/>
        <v>-0.80901699437494468</v>
      </c>
      <c r="D203">
        <f t="shared" si="30"/>
        <v>-0.58778525229247702</v>
      </c>
      <c r="E203">
        <f t="shared" ca="1" si="32"/>
        <v>0</v>
      </c>
      <c r="F203">
        <f t="shared" ca="1" si="33"/>
        <v>142.66582863561561</v>
      </c>
      <c r="G203">
        <f t="shared" ca="1" si="34"/>
        <v>46.354937703099957</v>
      </c>
      <c r="H203">
        <f t="shared" ca="1" si="35"/>
        <v>150.00772949999981</v>
      </c>
      <c r="I203">
        <f t="shared" ca="1" si="36"/>
        <v>72.000000000000057</v>
      </c>
    </row>
    <row r="204" spans="1:9" x14ac:dyDescent="0.25">
      <c r="A204">
        <f t="shared" ref="A204:A267" si="37">(ROW($A204)-ROW($A$11))*$B$4+$B$5</f>
        <v>0.193</v>
      </c>
      <c r="B204">
        <f t="shared" si="31"/>
        <v>-171.62891027167331</v>
      </c>
      <c r="C204">
        <f t="shared" ref="C204:C267" si="38">COS($A204*$C$1)</f>
        <v>-0.58778525229247358</v>
      </c>
      <c r="D204">
        <f t="shared" ref="D204:D267" si="39">SIN($A204*$C$1)</f>
        <v>-0.80901699437494712</v>
      </c>
      <c r="E204">
        <f t="shared" ca="1" si="32"/>
        <v>-6.4310370362363751E-14</v>
      </c>
      <c r="F204">
        <f t="shared" ca="1" si="33"/>
        <v>142.66582863561564</v>
      </c>
      <c r="G204">
        <f t="shared" ca="1" si="34"/>
        <v>46.354937703100006</v>
      </c>
      <c r="H204">
        <f t="shared" ca="1" si="35"/>
        <v>150.00772949999987</v>
      </c>
      <c r="I204">
        <f t="shared" ca="1" si="36"/>
        <v>72.000000000000043</v>
      </c>
    </row>
    <row r="205" spans="1:9" x14ac:dyDescent="0.25">
      <c r="A205">
        <f t="shared" si="37"/>
        <v>0.19400000000000001</v>
      </c>
      <c r="B205">
        <f t="shared" si="31"/>
        <v>-124.69570234758653</v>
      </c>
      <c r="C205">
        <f t="shared" si="38"/>
        <v>-0.30901699437494629</v>
      </c>
      <c r="D205">
        <f t="shared" si="39"/>
        <v>-0.95105651629515398</v>
      </c>
      <c r="E205">
        <f t="shared" ca="1" si="32"/>
        <v>-9.043645832207402E-14</v>
      </c>
      <c r="F205">
        <f t="shared" ca="1" si="33"/>
        <v>142.66582863561567</v>
      </c>
      <c r="G205">
        <f t="shared" ca="1" si="34"/>
        <v>46.354937703100092</v>
      </c>
      <c r="H205">
        <f t="shared" ca="1" si="35"/>
        <v>150.00772949999993</v>
      </c>
      <c r="I205">
        <f t="shared" ca="1" si="36"/>
        <v>72.000000000000014</v>
      </c>
    </row>
    <row r="206" spans="1:9" x14ac:dyDescent="0.25">
      <c r="A206">
        <f t="shared" si="37"/>
        <v>0.19500000000000001</v>
      </c>
      <c r="B206">
        <f t="shared" si="31"/>
        <v>-65.556410271672647</v>
      </c>
      <c r="C206">
        <f t="shared" si="38"/>
        <v>2.9400310311289424E-15</v>
      </c>
      <c r="D206">
        <f t="shared" si="39"/>
        <v>-1</v>
      </c>
      <c r="E206">
        <f t="shared" ca="1" si="32"/>
        <v>-4.0193981476477345E-15</v>
      </c>
      <c r="F206">
        <f t="shared" ca="1" si="33"/>
        <v>142.66582863561567</v>
      </c>
      <c r="G206">
        <f t="shared" ca="1" si="34"/>
        <v>46.354937703100099</v>
      </c>
      <c r="H206">
        <f t="shared" ca="1" si="35"/>
        <v>150.00772949999993</v>
      </c>
      <c r="I206">
        <f t="shared" ca="1" si="36"/>
        <v>72.000000000000014</v>
      </c>
    </row>
    <row r="207" spans="1:9" x14ac:dyDescent="0.25">
      <c r="A207">
        <f t="shared" si="37"/>
        <v>0.19600000000000001</v>
      </c>
      <c r="B207">
        <f t="shared" si="31"/>
        <v>9.8756264884508623E-13</v>
      </c>
      <c r="C207">
        <f t="shared" si="38"/>
        <v>0.30901699437495189</v>
      </c>
      <c r="D207">
        <f t="shared" si="39"/>
        <v>-0.95105651629515209</v>
      </c>
      <c r="E207">
        <f t="shared" ca="1" si="32"/>
        <v>1.0291126774366557E-13</v>
      </c>
      <c r="F207">
        <f t="shared" ca="1" si="33"/>
        <v>142.6658286356157</v>
      </c>
      <c r="G207">
        <f t="shared" ca="1" si="34"/>
        <v>46.354937703099999</v>
      </c>
      <c r="H207">
        <f t="shared" ca="1" si="35"/>
        <v>150.00772949999993</v>
      </c>
      <c r="I207">
        <f t="shared" ca="1" si="36"/>
        <v>72.000000000000057</v>
      </c>
    </row>
    <row r="208" spans="1:9" x14ac:dyDescent="0.25">
      <c r="A208">
        <f t="shared" si="37"/>
        <v>0.19700000000000001</v>
      </c>
      <c r="B208">
        <f t="shared" si="31"/>
        <v>65.556410271674508</v>
      </c>
      <c r="C208">
        <f t="shared" si="38"/>
        <v>0.58778525229247836</v>
      </c>
      <c r="D208">
        <f t="shared" si="39"/>
        <v>-0.80901699437494368</v>
      </c>
      <c r="E208">
        <f t="shared" ca="1" si="32"/>
        <v>9.7470405080457561E-14</v>
      </c>
      <c r="F208">
        <f t="shared" ca="1" si="33"/>
        <v>142.66582863561575</v>
      </c>
      <c r="G208">
        <f t="shared" ca="1" si="34"/>
        <v>46.354937703099921</v>
      </c>
      <c r="H208">
        <f t="shared" ca="1" si="35"/>
        <v>150.00772949999995</v>
      </c>
      <c r="I208">
        <f t="shared" ca="1" si="36"/>
        <v>72.000000000000071</v>
      </c>
    </row>
    <row r="209" spans="1:9" x14ac:dyDescent="0.25">
      <c r="A209">
        <f t="shared" si="37"/>
        <v>0.19800000000000001</v>
      </c>
      <c r="B209">
        <f t="shared" si="31"/>
        <v>124.6957023475869</v>
      </c>
      <c r="C209">
        <f t="shared" si="38"/>
        <v>0.80901699437494812</v>
      </c>
      <c r="D209">
        <f t="shared" si="39"/>
        <v>-0.58778525229247225</v>
      </c>
      <c r="E209">
        <f t="shared" ca="1" si="32"/>
        <v>8.2397662026778558E-14</v>
      </c>
      <c r="F209">
        <f t="shared" ca="1" si="33"/>
        <v>142.66582863561581</v>
      </c>
      <c r="G209">
        <f t="shared" ca="1" si="34"/>
        <v>46.354937703099871</v>
      </c>
      <c r="H209">
        <f t="shared" ca="1" si="35"/>
        <v>150.00772949999998</v>
      </c>
      <c r="I209">
        <f t="shared" ca="1" si="36"/>
        <v>72.000000000000099</v>
      </c>
    </row>
    <row r="210" spans="1:9" x14ac:dyDescent="0.25">
      <c r="A210">
        <f t="shared" si="37"/>
        <v>0.19900000000000001</v>
      </c>
      <c r="B210">
        <f t="shared" si="31"/>
        <v>171.62891027167359</v>
      </c>
      <c r="C210">
        <f t="shared" si="38"/>
        <v>0.95105651629515442</v>
      </c>
      <c r="D210">
        <f t="shared" si="39"/>
        <v>-0.30901699437494468</v>
      </c>
      <c r="E210">
        <f t="shared" ca="1" si="32"/>
        <v>6.2300671288539882E-14</v>
      </c>
      <c r="F210">
        <f t="shared" ca="1" si="33"/>
        <v>142.66582863561587</v>
      </c>
      <c r="G210">
        <f t="shared" ca="1" si="34"/>
        <v>46.35493770309985</v>
      </c>
      <c r="H210">
        <f t="shared" ca="1" si="35"/>
        <v>150.00772950000004</v>
      </c>
      <c r="I210">
        <f t="shared" ca="1" si="36"/>
        <v>72.000000000000114</v>
      </c>
    </row>
    <row r="211" spans="1:9" x14ac:dyDescent="0.25">
      <c r="A211">
        <f t="shared" si="37"/>
        <v>0.2</v>
      </c>
      <c r="B211">
        <f t="shared" si="31"/>
        <v>201.76188464943567</v>
      </c>
      <c r="C211">
        <f t="shared" si="38"/>
        <v>1</v>
      </c>
      <c r="D211">
        <f t="shared" si="39"/>
        <v>4.6551304477837618E-15</v>
      </c>
      <c r="E211">
        <f t="shared" ca="1" si="32"/>
        <v>3.2155185181181876E-14</v>
      </c>
      <c r="F211">
        <f t="shared" ca="1" si="33"/>
        <v>142.6658286356159</v>
      </c>
      <c r="G211">
        <f t="shared" ca="1" si="34"/>
        <v>46.35493770309985</v>
      </c>
      <c r="H211">
        <f t="shared" ca="1" si="35"/>
        <v>150.00772950000007</v>
      </c>
      <c r="I211">
        <f t="shared" ca="1" si="36"/>
        <v>72.000000000000128</v>
      </c>
    </row>
    <row r="212" spans="1:9" x14ac:dyDescent="0.25">
      <c r="A212">
        <f t="shared" si="37"/>
        <v>0.20100000000000001</v>
      </c>
      <c r="B212">
        <f t="shared" si="31"/>
        <v>212.14500000000001</v>
      </c>
      <c r="C212">
        <f t="shared" si="38"/>
        <v>0.95105651629515164</v>
      </c>
      <c r="D212">
        <f t="shared" si="39"/>
        <v>0.3090169943749535</v>
      </c>
      <c r="E212">
        <f t="shared" ca="1" si="32"/>
        <v>0</v>
      </c>
      <c r="F212">
        <f t="shared" ca="1" si="33"/>
        <v>142.6658286356159</v>
      </c>
      <c r="G212">
        <f t="shared" ca="1" si="34"/>
        <v>46.35493770309985</v>
      </c>
      <c r="H212">
        <f t="shared" ca="1" si="35"/>
        <v>150.00772950000007</v>
      </c>
      <c r="I212">
        <f t="shared" ca="1" si="36"/>
        <v>72.000000000000128</v>
      </c>
    </row>
    <row r="213" spans="1:9" x14ac:dyDescent="0.25">
      <c r="A213">
        <f t="shared" si="37"/>
        <v>0.20200000000000001</v>
      </c>
      <c r="B213">
        <f t="shared" si="31"/>
        <v>201.76188464943576</v>
      </c>
      <c r="C213">
        <f t="shared" si="38"/>
        <v>0.80901699437494679</v>
      </c>
      <c r="D213">
        <f t="shared" si="39"/>
        <v>0.58778525229247403</v>
      </c>
      <c r="E213">
        <f t="shared" ca="1" si="32"/>
        <v>3.4164884255005744E-14</v>
      </c>
      <c r="F213">
        <f t="shared" ca="1" si="33"/>
        <v>142.66582863561592</v>
      </c>
      <c r="G213">
        <f t="shared" ca="1" si="34"/>
        <v>46.354937703099871</v>
      </c>
      <c r="H213">
        <f t="shared" ca="1" si="35"/>
        <v>150.0077295000001</v>
      </c>
      <c r="I213">
        <f t="shared" ca="1" si="36"/>
        <v>72.000000000000114</v>
      </c>
    </row>
    <row r="214" spans="1:9" x14ac:dyDescent="0.25">
      <c r="A214">
        <f t="shared" si="37"/>
        <v>0.20300000000000001</v>
      </c>
      <c r="B214">
        <f t="shared" si="31"/>
        <v>171.628910271672</v>
      </c>
      <c r="C214">
        <f t="shared" si="38"/>
        <v>0.58778525229247081</v>
      </c>
      <c r="D214">
        <f t="shared" si="39"/>
        <v>0.80901699437494912</v>
      </c>
      <c r="E214">
        <f t="shared" ca="1" si="32"/>
        <v>-1.225916435032559E-13</v>
      </c>
      <c r="F214">
        <f t="shared" ca="1" si="33"/>
        <v>142.66582863561584</v>
      </c>
      <c r="G214">
        <f t="shared" ca="1" si="34"/>
        <v>46.354937703099772</v>
      </c>
      <c r="H214">
        <f t="shared" ca="1" si="35"/>
        <v>150.00772949999998</v>
      </c>
      <c r="I214">
        <f t="shared" ca="1" si="36"/>
        <v>72.000000000000156</v>
      </c>
    </row>
    <row r="215" spans="1:9" x14ac:dyDescent="0.25">
      <c r="A215">
        <f t="shared" si="37"/>
        <v>0.20400000000000001</v>
      </c>
      <c r="B215">
        <f t="shared" si="31"/>
        <v>124.69570234758714</v>
      </c>
      <c r="C215">
        <f t="shared" si="38"/>
        <v>0.30901699437494307</v>
      </c>
      <c r="D215">
        <f t="shared" si="39"/>
        <v>0.95105651629515497</v>
      </c>
      <c r="E215">
        <f t="shared" ca="1" si="32"/>
        <v>2.0096990738238672E-15</v>
      </c>
      <c r="F215">
        <f t="shared" ca="1" si="33"/>
        <v>142.66582863561584</v>
      </c>
      <c r="G215">
        <f t="shared" ca="1" si="34"/>
        <v>46.354937703099772</v>
      </c>
      <c r="H215">
        <f t="shared" ca="1" si="35"/>
        <v>150.00772949999998</v>
      </c>
      <c r="I215">
        <f t="shared" ca="1" si="36"/>
        <v>72.000000000000156</v>
      </c>
    </row>
    <row r="216" spans="1:9" x14ac:dyDescent="0.25">
      <c r="A216">
        <f t="shared" si="37"/>
        <v>0.20500000000000002</v>
      </c>
      <c r="B216">
        <f t="shared" si="31"/>
        <v>65.556410271670515</v>
      </c>
      <c r="C216">
        <f t="shared" si="38"/>
        <v>-6.3702298644385813E-15</v>
      </c>
      <c r="D216">
        <f t="shared" si="39"/>
        <v>1</v>
      </c>
      <c r="E216">
        <f t="shared" ca="1" si="32"/>
        <v>-1.9996505784547479E-13</v>
      </c>
      <c r="F216">
        <f t="shared" ca="1" si="33"/>
        <v>142.66582863561584</v>
      </c>
      <c r="G216">
        <f t="shared" ca="1" si="34"/>
        <v>46.354937703099573</v>
      </c>
      <c r="H216">
        <f t="shared" ca="1" si="35"/>
        <v>150.00772949999993</v>
      </c>
      <c r="I216">
        <f t="shared" ca="1" si="36"/>
        <v>72.000000000000213</v>
      </c>
    </row>
    <row r="217" spans="1:9" x14ac:dyDescent="0.25">
      <c r="A217">
        <f t="shared" si="37"/>
        <v>0.20600000000000002</v>
      </c>
      <c r="B217">
        <f t="shared" si="31"/>
        <v>-2.0788129355929497E-13</v>
      </c>
      <c r="C217">
        <f t="shared" si="38"/>
        <v>-0.30901699437495517</v>
      </c>
      <c r="D217">
        <f t="shared" si="39"/>
        <v>0.95105651629515109</v>
      </c>
      <c r="E217">
        <f t="shared" ca="1" si="32"/>
        <v>3.6756347604255037E-15</v>
      </c>
      <c r="F217">
        <f t="shared" ca="1" si="33"/>
        <v>142.66582863561584</v>
      </c>
      <c r="G217">
        <f t="shared" ca="1" si="34"/>
        <v>46.354937703099573</v>
      </c>
      <c r="H217">
        <f t="shared" ca="1" si="35"/>
        <v>150.00772949999993</v>
      </c>
      <c r="I217">
        <f t="shared" ca="1" si="36"/>
        <v>72.000000000000213</v>
      </c>
    </row>
    <row r="218" spans="1:9" x14ac:dyDescent="0.25">
      <c r="A218">
        <f t="shared" si="37"/>
        <v>0.20700000000000002</v>
      </c>
      <c r="B218">
        <f t="shared" si="31"/>
        <v>-65.55641027167664</v>
      </c>
      <c r="C218">
        <f t="shared" si="38"/>
        <v>-0.58778525229248113</v>
      </c>
      <c r="D218">
        <f t="shared" si="39"/>
        <v>0.80901699437494157</v>
      </c>
      <c r="E218">
        <f t="shared" ca="1" si="32"/>
        <v>-1.9896020830856286E-13</v>
      </c>
      <c r="F218">
        <f t="shared" ca="1" si="33"/>
        <v>142.66582863561595</v>
      </c>
      <c r="G218">
        <f t="shared" ca="1" si="34"/>
        <v>46.354937703099409</v>
      </c>
      <c r="H218">
        <f t="shared" ca="1" si="35"/>
        <v>150.00772949999998</v>
      </c>
      <c r="I218">
        <f t="shared" ca="1" si="36"/>
        <v>72.000000000000284</v>
      </c>
    </row>
    <row r="219" spans="1:9" x14ac:dyDescent="0.25">
      <c r="A219">
        <f t="shared" si="37"/>
        <v>0.20800000000000002</v>
      </c>
      <c r="B219">
        <f t="shared" si="31"/>
        <v>-124.6957023475875</v>
      </c>
      <c r="C219">
        <f t="shared" si="38"/>
        <v>-0.80901699437495433</v>
      </c>
      <c r="D219">
        <f t="shared" si="39"/>
        <v>0.5877852522924637</v>
      </c>
      <c r="E219">
        <f t="shared" ca="1" si="32"/>
        <v>-8.3402511563690492E-14</v>
      </c>
      <c r="F219">
        <f t="shared" ca="1" si="33"/>
        <v>142.66582863561601</v>
      </c>
      <c r="G219">
        <f t="shared" ca="1" si="34"/>
        <v>46.35493770309936</v>
      </c>
      <c r="H219">
        <f t="shared" ca="1" si="35"/>
        <v>150.00772950000001</v>
      </c>
      <c r="I219">
        <f t="shared" ca="1" si="36"/>
        <v>72.000000000000313</v>
      </c>
    </row>
    <row r="220" spans="1:9" x14ac:dyDescent="0.25">
      <c r="A220">
        <f t="shared" si="37"/>
        <v>0.20899999999999999</v>
      </c>
      <c r="B220">
        <f t="shared" si="31"/>
        <v>-171.62891027167225</v>
      </c>
      <c r="C220">
        <f t="shared" si="38"/>
        <v>-0.95105651629515331</v>
      </c>
      <c r="D220">
        <f t="shared" si="39"/>
        <v>0.30901699437494817</v>
      </c>
      <c r="E220">
        <f t="shared" ca="1" si="32"/>
        <v>6.4310370362363751E-14</v>
      </c>
      <c r="F220">
        <f t="shared" ca="1" si="33"/>
        <v>142.66582863561595</v>
      </c>
      <c r="G220">
        <f t="shared" ca="1" si="34"/>
        <v>46.354937703099381</v>
      </c>
      <c r="H220">
        <f t="shared" ca="1" si="35"/>
        <v>150.00772949999998</v>
      </c>
      <c r="I220">
        <f t="shared" ca="1" si="36"/>
        <v>72.000000000000313</v>
      </c>
    </row>
    <row r="221" spans="1:9" x14ac:dyDescent="0.25">
      <c r="A221">
        <f t="shared" si="37"/>
        <v>0.21</v>
      </c>
      <c r="B221">
        <f t="shared" si="31"/>
        <v>-201.7618846494359</v>
      </c>
      <c r="C221">
        <f t="shared" si="38"/>
        <v>-1</v>
      </c>
      <c r="D221">
        <f t="shared" si="39"/>
        <v>-9.7990192349239891E-16</v>
      </c>
      <c r="E221">
        <f t="shared" ca="1" si="32"/>
        <v>-3.2155185181181876E-14</v>
      </c>
      <c r="F221">
        <f t="shared" ca="1" si="33"/>
        <v>142.66582863561598</v>
      </c>
      <c r="G221">
        <f t="shared" ca="1" si="34"/>
        <v>46.354937703099381</v>
      </c>
      <c r="H221">
        <f t="shared" ca="1" si="35"/>
        <v>150.00772949999998</v>
      </c>
      <c r="I221">
        <f t="shared" ca="1" si="36"/>
        <v>72.000000000000313</v>
      </c>
    </row>
    <row r="222" spans="1:9" x14ac:dyDescent="0.25">
      <c r="A222">
        <f t="shared" si="37"/>
        <v>0.21099999999999999</v>
      </c>
      <c r="B222">
        <f t="shared" si="31"/>
        <v>-212.14500000000001</v>
      </c>
      <c r="C222">
        <f t="shared" si="38"/>
        <v>-0.95105651629515275</v>
      </c>
      <c r="D222">
        <f t="shared" si="39"/>
        <v>-0.30901699437495006</v>
      </c>
      <c r="E222">
        <f t="shared" ca="1" si="32"/>
        <v>0</v>
      </c>
      <c r="F222">
        <f t="shared" ca="1" si="33"/>
        <v>142.66582863561598</v>
      </c>
      <c r="G222">
        <f t="shared" ca="1" si="34"/>
        <v>46.354937703099381</v>
      </c>
      <c r="H222">
        <f t="shared" ca="1" si="35"/>
        <v>150.00772949999998</v>
      </c>
      <c r="I222">
        <f t="shared" ca="1" si="36"/>
        <v>72.000000000000313</v>
      </c>
    </row>
    <row r="223" spans="1:9" x14ac:dyDescent="0.25">
      <c r="A223">
        <f t="shared" si="37"/>
        <v>0.21199999999999999</v>
      </c>
      <c r="B223">
        <f t="shared" si="31"/>
        <v>-201.76188464943459</v>
      </c>
      <c r="C223">
        <f t="shared" si="38"/>
        <v>-0.80901699437494479</v>
      </c>
      <c r="D223">
        <f t="shared" si="39"/>
        <v>-0.5877852522924768</v>
      </c>
      <c r="E223">
        <f t="shared" ca="1" si="32"/>
        <v>3.2155185181181876E-14</v>
      </c>
      <c r="F223">
        <f t="shared" ca="1" si="33"/>
        <v>142.66582863561595</v>
      </c>
      <c r="G223">
        <f t="shared" ca="1" si="34"/>
        <v>46.35493770309936</v>
      </c>
      <c r="H223">
        <f t="shared" ca="1" si="35"/>
        <v>150.00772949999995</v>
      </c>
      <c r="I223">
        <f t="shared" ca="1" si="36"/>
        <v>72.000000000000313</v>
      </c>
    </row>
    <row r="224" spans="1:9" x14ac:dyDescent="0.25">
      <c r="A224">
        <f t="shared" si="37"/>
        <v>0.21299999999999999</v>
      </c>
      <c r="B224">
        <f t="shared" si="31"/>
        <v>-171.62891027167333</v>
      </c>
      <c r="C224">
        <f t="shared" si="38"/>
        <v>-0.58778525229247958</v>
      </c>
      <c r="D224">
        <f t="shared" si="39"/>
        <v>-0.80901699437494279</v>
      </c>
      <c r="E224">
        <f t="shared" ca="1" si="32"/>
        <v>-2.0096990738238672E-15</v>
      </c>
      <c r="F224">
        <f t="shared" ca="1" si="33"/>
        <v>142.66582863561595</v>
      </c>
      <c r="G224">
        <f t="shared" ca="1" si="34"/>
        <v>46.35493770309936</v>
      </c>
      <c r="H224">
        <f t="shared" ca="1" si="35"/>
        <v>150.00772949999995</v>
      </c>
      <c r="I224">
        <f t="shared" ca="1" si="36"/>
        <v>72.000000000000313</v>
      </c>
    </row>
    <row r="225" spans="1:9" x14ac:dyDescent="0.25">
      <c r="A225">
        <f t="shared" si="37"/>
        <v>0.214</v>
      </c>
      <c r="B225">
        <f t="shared" si="31"/>
        <v>-124.69570234758901</v>
      </c>
      <c r="C225">
        <f t="shared" si="38"/>
        <v>-0.30901699437495328</v>
      </c>
      <c r="D225">
        <f t="shared" si="39"/>
        <v>-0.95105651629515164</v>
      </c>
      <c r="E225">
        <f t="shared" ca="1" si="32"/>
        <v>-1.7484381942267646E-13</v>
      </c>
      <c r="F225">
        <f t="shared" ca="1" si="33"/>
        <v>142.66582863561601</v>
      </c>
      <c r="G225">
        <f t="shared" ca="1" si="34"/>
        <v>46.354937703099523</v>
      </c>
      <c r="H225">
        <f t="shared" ca="1" si="35"/>
        <v>150.00772950000007</v>
      </c>
      <c r="I225">
        <f t="shared" ca="1" si="36"/>
        <v>72.000000000000256</v>
      </c>
    </row>
    <row r="226" spans="1:9" x14ac:dyDescent="0.25">
      <c r="A226">
        <f t="shared" si="37"/>
        <v>0.215</v>
      </c>
      <c r="B226">
        <f t="shared" si="31"/>
        <v>-65.556410271672689</v>
      </c>
      <c r="C226">
        <f t="shared" si="38"/>
        <v>-4.4104260174537835E-15</v>
      </c>
      <c r="D226">
        <f t="shared" si="39"/>
        <v>-1</v>
      </c>
      <c r="E226">
        <f t="shared" ca="1" si="32"/>
        <v>-3.0145486107358008E-15</v>
      </c>
      <c r="F226">
        <f t="shared" ca="1" si="33"/>
        <v>142.66582863561601</v>
      </c>
      <c r="G226">
        <f t="shared" ca="1" si="34"/>
        <v>46.354937703099523</v>
      </c>
      <c r="H226">
        <f t="shared" ca="1" si="35"/>
        <v>150.00772950000007</v>
      </c>
      <c r="I226">
        <f t="shared" ca="1" si="36"/>
        <v>72.000000000000256</v>
      </c>
    </row>
    <row r="227" spans="1:9" x14ac:dyDescent="0.25">
      <c r="A227">
        <f t="shared" si="37"/>
        <v>0.216</v>
      </c>
      <c r="B227">
        <f t="shared" si="31"/>
        <v>-2.079180948504761E-12</v>
      </c>
      <c r="C227">
        <f t="shared" si="38"/>
        <v>0.3090169943749449</v>
      </c>
      <c r="D227">
        <f t="shared" si="39"/>
        <v>-0.95105651629515442</v>
      </c>
      <c r="E227">
        <f t="shared" ca="1" si="32"/>
        <v>-2.1684943976860766E-13</v>
      </c>
      <c r="F227">
        <f t="shared" ca="1" si="33"/>
        <v>142.66582863561595</v>
      </c>
      <c r="G227">
        <f t="shared" ca="1" si="34"/>
        <v>46.354937703099729</v>
      </c>
      <c r="H227">
        <f t="shared" ca="1" si="35"/>
        <v>150.00772950000007</v>
      </c>
      <c r="I227">
        <f t="shared" ca="1" si="36"/>
        <v>72.000000000000185</v>
      </c>
    </row>
    <row r="228" spans="1:9" x14ac:dyDescent="0.25">
      <c r="A228">
        <f t="shared" si="37"/>
        <v>0.217</v>
      </c>
      <c r="B228">
        <f t="shared" si="31"/>
        <v>65.556410271674466</v>
      </c>
      <c r="C228">
        <f t="shared" si="38"/>
        <v>0.58778525229247247</v>
      </c>
      <c r="D228">
        <f t="shared" si="39"/>
        <v>-0.8090169943749479</v>
      </c>
      <c r="E228">
        <f t="shared" ca="1" si="32"/>
        <v>-3.0145486107358008E-15</v>
      </c>
      <c r="F228">
        <f t="shared" ca="1" si="33"/>
        <v>142.66582863561595</v>
      </c>
      <c r="G228">
        <f t="shared" ca="1" si="34"/>
        <v>46.354937703099729</v>
      </c>
      <c r="H228">
        <f t="shared" ca="1" si="35"/>
        <v>150.00772950000007</v>
      </c>
      <c r="I228">
        <f t="shared" ca="1" si="36"/>
        <v>72.000000000000185</v>
      </c>
    </row>
    <row r="229" spans="1:9" x14ac:dyDescent="0.25">
      <c r="A229">
        <f t="shared" si="37"/>
        <v>0.218</v>
      </c>
      <c r="B229">
        <f t="shared" ref="B229:B292" si="40">1.5*$B$6*SIN((A229*$C$1)+PI()/2.5)</f>
        <v>124.69570234758564</v>
      </c>
      <c r="C229">
        <f t="shared" si="38"/>
        <v>0.8090169943749479</v>
      </c>
      <c r="D229">
        <f t="shared" si="39"/>
        <v>-0.58778525229247247</v>
      </c>
      <c r="E229">
        <f t="shared" ref="E229:E292" ca="1" si="41">(1.4142/$B$2)*(B229-IF((ROW($A229)-ROW($A$11))&lt;$B$2,0,OFFSET($B229,-$B$2,0)))</f>
        <v>-8.9431608785162086E-14</v>
      </c>
      <c r="F229">
        <f t="shared" ref="F229:F292" ca="1" si="42">F228+$E229*COS($A229*$C$1)</f>
        <v>142.66582863561587</v>
      </c>
      <c r="G229">
        <f t="shared" ref="G229:G292" ca="1" si="43">G228+$E229*SIN($A229*$C$1)</f>
        <v>46.354937703099779</v>
      </c>
      <c r="H229">
        <f t="shared" ref="H229:H292" ca="1" si="44">IF(F229="","",SQRT(F229^2+G229^2))</f>
        <v>150.00772950000001</v>
      </c>
      <c r="I229">
        <f t="shared" ref="I229:I292" ca="1" si="45">IF(F229="","",ATAN2(G229,F229)*180/PI())</f>
        <v>72.000000000000156</v>
      </c>
    </row>
    <row r="230" spans="1:9" x14ac:dyDescent="0.25">
      <c r="A230">
        <f t="shared" si="37"/>
        <v>0.219</v>
      </c>
      <c r="B230">
        <f t="shared" si="40"/>
        <v>171.62891027167444</v>
      </c>
      <c r="C230">
        <f t="shared" si="38"/>
        <v>0.95105651629515442</v>
      </c>
      <c r="D230">
        <f t="shared" si="39"/>
        <v>-0.3090169943749449</v>
      </c>
      <c r="E230">
        <f t="shared" ca="1" si="41"/>
        <v>6.0290972214716014E-14</v>
      </c>
      <c r="F230">
        <f t="shared" ca="1" si="42"/>
        <v>142.66582863561592</v>
      </c>
      <c r="G230">
        <f t="shared" ca="1" si="43"/>
        <v>46.354937703099758</v>
      </c>
      <c r="H230">
        <f t="shared" ca="1" si="44"/>
        <v>150.00772950000007</v>
      </c>
      <c r="I230">
        <f t="shared" ca="1" si="45"/>
        <v>72.000000000000156</v>
      </c>
    </row>
    <row r="231" spans="1:9" x14ac:dyDescent="0.25">
      <c r="A231">
        <f t="shared" si="37"/>
        <v>0.22</v>
      </c>
      <c r="B231">
        <f t="shared" si="40"/>
        <v>201.76188464943519</v>
      </c>
      <c r="C231">
        <f t="shared" si="38"/>
        <v>1</v>
      </c>
      <c r="D231">
        <f t="shared" si="39"/>
        <v>4.4101007568020378E-15</v>
      </c>
      <c r="E231">
        <f t="shared" ca="1" si="41"/>
        <v>-3.4164884255005744E-14</v>
      </c>
      <c r="F231">
        <f t="shared" ca="1" si="42"/>
        <v>142.6658286356159</v>
      </c>
      <c r="G231">
        <f t="shared" ca="1" si="43"/>
        <v>46.354937703099758</v>
      </c>
      <c r="H231">
        <f t="shared" ca="1" si="44"/>
        <v>150.00772950000004</v>
      </c>
      <c r="I231">
        <f t="shared" ca="1" si="45"/>
        <v>72.000000000000156</v>
      </c>
    </row>
    <row r="232" spans="1:9" x14ac:dyDescent="0.25">
      <c r="A232">
        <f t="shared" si="37"/>
        <v>0.221</v>
      </c>
      <c r="B232">
        <f t="shared" si="40"/>
        <v>212.14500000000001</v>
      </c>
      <c r="C232">
        <f t="shared" si="38"/>
        <v>0.95105651629515164</v>
      </c>
      <c r="D232">
        <f t="shared" si="39"/>
        <v>0.30901699437495328</v>
      </c>
      <c r="E232">
        <f t="shared" ca="1" si="41"/>
        <v>0</v>
      </c>
      <c r="F232">
        <f t="shared" ca="1" si="42"/>
        <v>142.6658286356159</v>
      </c>
      <c r="G232">
        <f t="shared" ca="1" si="43"/>
        <v>46.354937703099758</v>
      </c>
      <c r="H232">
        <f t="shared" ca="1" si="44"/>
        <v>150.00772950000004</v>
      </c>
      <c r="I232">
        <f t="shared" ca="1" si="45"/>
        <v>72.000000000000156</v>
      </c>
    </row>
    <row r="233" spans="1:9" x14ac:dyDescent="0.25">
      <c r="A233">
        <f t="shared" si="37"/>
        <v>0.222</v>
      </c>
      <c r="B233">
        <f t="shared" si="40"/>
        <v>201.7618846494353</v>
      </c>
      <c r="C233">
        <f t="shared" si="38"/>
        <v>0.80901699437494279</v>
      </c>
      <c r="D233">
        <f t="shared" si="39"/>
        <v>0.58778525229247958</v>
      </c>
      <c r="E233">
        <f t="shared" ca="1" si="41"/>
        <v>-3.2155185181181876E-14</v>
      </c>
      <c r="F233">
        <f t="shared" ca="1" si="42"/>
        <v>142.66582863561587</v>
      </c>
      <c r="G233">
        <f t="shared" ca="1" si="43"/>
        <v>46.354937703099736</v>
      </c>
      <c r="H233">
        <f t="shared" ca="1" si="44"/>
        <v>150.00772949999998</v>
      </c>
      <c r="I233">
        <f t="shared" ca="1" si="45"/>
        <v>72.000000000000156</v>
      </c>
    </row>
    <row r="234" spans="1:9" x14ac:dyDescent="0.25">
      <c r="A234">
        <f t="shared" si="37"/>
        <v>0.223</v>
      </c>
      <c r="B234">
        <f t="shared" si="40"/>
        <v>171.6289102716747</v>
      </c>
      <c r="C234">
        <f t="shared" si="38"/>
        <v>0.5877852522924768</v>
      </c>
      <c r="D234">
        <f t="shared" si="39"/>
        <v>0.80901699437494479</v>
      </c>
      <c r="E234">
        <f t="shared" ca="1" si="41"/>
        <v>1.9092141201326738E-13</v>
      </c>
      <c r="F234">
        <f t="shared" ca="1" si="42"/>
        <v>142.66582863561598</v>
      </c>
      <c r="G234">
        <f t="shared" ca="1" si="43"/>
        <v>46.354937703099893</v>
      </c>
      <c r="H234">
        <f t="shared" ca="1" si="44"/>
        <v>150.00772950000015</v>
      </c>
      <c r="I234">
        <f t="shared" ca="1" si="45"/>
        <v>72.000000000000114</v>
      </c>
    </row>
    <row r="235" spans="1:9" x14ac:dyDescent="0.25">
      <c r="A235">
        <f t="shared" si="37"/>
        <v>0.224</v>
      </c>
      <c r="B235">
        <f t="shared" si="40"/>
        <v>124.69570234758599</v>
      </c>
      <c r="C235">
        <f t="shared" si="38"/>
        <v>0.30901699437495006</v>
      </c>
      <c r="D235">
        <f t="shared" si="39"/>
        <v>0.95105651629515275</v>
      </c>
      <c r="E235">
        <f t="shared" ca="1" si="41"/>
        <v>-8.1392812489866623E-14</v>
      </c>
      <c r="F235">
        <f t="shared" ca="1" si="42"/>
        <v>142.66582863561595</v>
      </c>
      <c r="G235">
        <f t="shared" ca="1" si="43"/>
        <v>46.354937703099814</v>
      </c>
      <c r="H235">
        <f t="shared" ca="1" si="44"/>
        <v>150.0077295000001</v>
      </c>
      <c r="I235">
        <f t="shared" ca="1" si="45"/>
        <v>72.000000000000142</v>
      </c>
    </row>
    <row r="236" spans="1:9" x14ac:dyDescent="0.25">
      <c r="A236">
        <f t="shared" si="37"/>
        <v>0.22500000000000001</v>
      </c>
      <c r="B236">
        <f t="shared" si="40"/>
        <v>65.556410271674864</v>
      </c>
      <c r="C236">
        <f t="shared" si="38"/>
        <v>9.8022718414414456E-16</v>
      </c>
      <c r="D236">
        <f t="shared" si="39"/>
        <v>1</v>
      </c>
      <c r="E236">
        <f t="shared" ca="1" si="41"/>
        <v>3.0748395829505167E-13</v>
      </c>
      <c r="F236">
        <f t="shared" ca="1" si="42"/>
        <v>142.66582863561595</v>
      </c>
      <c r="G236">
        <f t="shared" ca="1" si="43"/>
        <v>46.35493770310012</v>
      </c>
      <c r="H236">
        <f t="shared" ca="1" si="44"/>
        <v>150.00772950000021</v>
      </c>
      <c r="I236">
        <f t="shared" ca="1" si="45"/>
        <v>72.000000000000043</v>
      </c>
    </row>
    <row r="237" spans="1:9" x14ac:dyDescent="0.25">
      <c r="A237">
        <f t="shared" si="37"/>
        <v>0.22600000000000001</v>
      </c>
      <c r="B237">
        <f t="shared" si="40"/>
        <v>-1.6632803565442418E-12</v>
      </c>
      <c r="C237">
        <f t="shared" si="38"/>
        <v>-0.30901699437494817</v>
      </c>
      <c r="D237">
        <f t="shared" si="39"/>
        <v>0.95105651629515331</v>
      </c>
      <c r="E237">
        <f t="shared" ca="1" si="41"/>
        <v>-1.0291126774366558E-13</v>
      </c>
      <c r="F237">
        <f t="shared" ca="1" si="42"/>
        <v>142.66582863561598</v>
      </c>
      <c r="G237">
        <f t="shared" ca="1" si="43"/>
        <v>46.35493770310002</v>
      </c>
      <c r="H237">
        <f t="shared" ca="1" si="44"/>
        <v>150.00772950000018</v>
      </c>
      <c r="I237">
        <f t="shared" ca="1" si="45"/>
        <v>72.000000000000071</v>
      </c>
    </row>
    <row r="238" spans="1:9" x14ac:dyDescent="0.25">
      <c r="A238">
        <f t="shared" si="37"/>
        <v>0.22700000000000001</v>
      </c>
      <c r="B238">
        <f t="shared" si="40"/>
        <v>-65.556410271672306</v>
      </c>
      <c r="C238">
        <f t="shared" si="38"/>
        <v>-0.58778525229247514</v>
      </c>
      <c r="D238">
        <f t="shared" si="39"/>
        <v>0.8090169943749459</v>
      </c>
      <c r="E238">
        <f t="shared" ca="1" si="41"/>
        <v>3.0647910875813977E-13</v>
      </c>
      <c r="F238">
        <f t="shared" ca="1" si="42"/>
        <v>142.66582863561581</v>
      </c>
      <c r="G238">
        <f t="shared" ca="1" si="43"/>
        <v>46.354937703100269</v>
      </c>
      <c r="H238">
        <f t="shared" ca="1" si="44"/>
        <v>150.00772950000012</v>
      </c>
      <c r="I238">
        <f t="shared" ca="1" si="45"/>
        <v>71.999999999999957</v>
      </c>
    </row>
    <row r="239" spans="1:9" x14ac:dyDescent="0.25">
      <c r="A239">
        <f t="shared" si="37"/>
        <v>0.22800000000000001</v>
      </c>
      <c r="B239">
        <f t="shared" si="40"/>
        <v>-124.69570234758868</v>
      </c>
      <c r="C239">
        <f t="shared" si="38"/>
        <v>-0.80901699437495</v>
      </c>
      <c r="D239">
        <f t="shared" si="39"/>
        <v>0.5877852522924697</v>
      </c>
      <c r="E239">
        <f t="shared" ca="1" si="41"/>
        <v>-8.3402511563690492E-14</v>
      </c>
      <c r="F239">
        <f t="shared" ca="1" si="42"/>
        <v>142.66582863561587</v>
      </c>
      <c r="G239">
        <f t="shared" ca="1" si="43"/>
        <v>46.354937703100219</v>
      </c>
      <c r="H239">
        <f t="shared" ca="1" si="44"/>
        <v>150.00772950000015</v>
      </c>
      <c r="I239">
        <f t="shared" ca="1" si="45"/>
        <v>71.999999999999986</v>
      </c>
    </row>
    <row r="240" spans="1:9" x14ac:dyDescent="0.25">
      <c r="A240">
        <f t="shared" si="37"/>
        <v>0.22900000000000001</v>
      </c>
      <c r="B240">
        <f t="shared" si="40"/>
        <v>-171.62891027167311</v>
      </c>
      <c r="C240">
        <f t="shared" si="38"/>
        <v>-0.95105651629515542</v>
      </c>
      <c r="D240">
        <f t="shared" si="39"/>
        <v>0.30901699437494162</v>
      </c>
      <c r="E240">
        <f t="shared" ca="1" si="41"/>
        <v>-6.0290972214716014E-14</v>
      </c>
      <c r="F240">
        <f t="shared" ca="1" si="42"/>
        <v>142.66582863561592</v>
      </c>
      <c r="G240">
        <f t="shared" ca="1" si="43"/>
        <v>46.354937703100198</v>
      </c>
      <c r="H240">
        <f t="shared" ca="1" si="44"/>
        <v>150.00772950000021</v>
      </c>
      <c r="I240">
        <f t="shared" ca="1" si="45"/>
        <v>72</v>
      </c>
    </row>
    <row r="241" spans="1:9" x14ac:dyDescent="0.25">
      <c r="A241">
        <f t="shared" si="37"/>
        <v>0.23</v>
      </c>
      <c r="B241">
        <f t="shared" si="40"/>
        <v>-201.76188464943635</v>
      </c>
      <c r="C241">
        <f t="shared" si="38"/>
        <v>-1</v>
      </c>
      <c r="D241">
        <f t="shared" si="39"/>
        <v>-7.8402995901116768E-15</v>
      </c>
      <c r="E241">
        <f t="shared" ca="1" si="41"/>
        <v>-3.2155185181181876E-14</v>
      </c>
      <c r="F241">
        <f t="shared" ca="1" si="42"/>
        <v>142.66582863561595</v>
      </c>
      <c r="G241">
        <f t="shared" ca="1" si="43"/>
        <v>46.354937703100198</v>
      </c>
      <c r="H241">
        <f t="shared" ca="1" si="44"/>
        <v>150.00772950000024</v>
      </c>
      <c r="I241">
        <f t="shared" ca="1" si="45"/>
        <v>72</v>
      </c>
    </row>
    <row r="242" spans="1:9" x14ac:dyDescent="0.25">
      <c r="A242">
        <f t="shared" si="37"/>
        <v>0.23100000000000001</v>
      </c>
      <c r="B242">
        <f t="shared" si="40"/>
        <v>-212.14500000000001</v>
      </c>
      <c r="C242">
        <f t="shared" si="38"/>
        <v>-0.95105651629515064</v>
      </c>
      <c r="D242">
        <f t="shared" si="39"/>
        <v>-0.30901699437495656</v>
      </c>
      <c r="E242">
        <f t="shared" ca="1" si="41"/>
        <v>0</v>
      </c>
      <c r="F242">
        <f t="shared" ca="1" si="42"/>
        <v>142.66582863561595</v>
      </c>
      <c r="G242">
        <f t="shared" ca="1" si="43"/>
        <v>46.354937703100198</v>
      </c>
      <c r="H242">
        <f t="shared" ca="1" si="44"/>
        <v>150.00772950000024</v>
      </c>
      <c r="I242">
        <f t="shared" ca="1" si="45"/>
        <v>72</v>
      </c>
    </row>
    <row r="243" spans="1:9" x14ac:dyDescent="0.25">
      <c r="A243">
        <f t="shared" si="37"/>
        <v>0.23200000000000001</v>
      </c>
      <c r="B243">
        <f t="shared" si="40"/>
        <v>-201.76188464943601</v>
      </c>
      <c r="C243">
        <f t="shared" si="38"/>
        <v>-0.80901699437494912</v>
      </c>
      <c r="D243">
        <f t="shared" si="39"/>
        <v>-0.58778525229247081</v>
      </c>
      <c r="E243">
        <f t="shared" ca="1" si="41"/>
        <v>-1.0048495369119336E-13</v>
      </c>
      <c r="F243">
        <f t="shared" ca="1" si="42"/>
        <v>142.66582863561604</v>
      </c>
      <c r="G243">
        <f t="shared" ca="1" si="43"/>
        <v>46.354937703100255</v>
      </c>
      <c r="H243">
        <f t="shared" ca="1" si="44"/>
        <v>150.00772950000032</v>
      </c>
      <c r="I243">
        <f t="shared" ca="1" si="45"/>
        <v>72</v>
      </c>
    </row>
    <row r="244" spans="1:9" x14ac:dyDescent="0.25">
      <c r="A244">
        <f t="shared" si="37"/>
        <v>0.23300000000000001</v>
      </c>
      <c r="B244">
        <f t="shared" si="40"/>
        <v>-171.62891027167248</v>
      </c>
      <c r="C244">
        <f t="shared" si="38"/>
        <v>-0.58778525229247403</v>
      </c>
      <c r="D244">
        <f t="shared" si="39"/>
        <v>-0.80901699437494679</v>
      </c>
      <c r="E244">
        <f t="shared" ca="1" si="41"/>
        <v>6.0290972214716014E-14</v>
      </c>
      <c r="F244">
        <f t="shared" ca="1" si="42"/>
        <v>142.66582863561601</v>
      </c>
      <c r="G244">
        <f t="shared" ca="1" si="43"/>
        <v>46.354937703100205</v>
      </c>
      <c r="H244">
        <f t="shared" ca="1" si="44"/>
        <v>150.00772950000027</v>
      </c>
      <c r="I244">
        <f t="shared" ca="1" si="45"/>
        <v>72.000000000000014</v>
      </c>
    </row>
    <row r="245" spans="1:9" x14ac:dyDescent="0.25">
      <c r="A245">
        <f t="shared" si="37"/>
        <v>0.23400000000000001</v>
      </c>
      <c r="B245">
        <f t="shared" si="40"/>
        <v>-124.69570234758783</v>
      </c>
      <c r="C245">
        <f t="shared" si="38"/>
        <v>-0.30901699437494679</v>
      </c>
      <c r="D245">
        <f t="shared" si="39"/>
        <v>-0.95105651629515375</v>
      </c>
      <c r="E245">
        <f t="shared" ca="1" si="41"/>
        <v>8.3402511563690492E-14</v>
      </c>
      <c r="F245">
        <f t="shared" ca="1" si="42"/>
        <v>142.66582863561598</v>
      </c>
      <c r="G245">
        <f t="shared" ca="1" si="43"/>
        <v>46.354937703100127</v>
      </c>
      <c r="H245">
        <f t="shared" ca="1" si="44"/>
        <v>150.00772950000024</v>
      </c>
      <c r="I245">
        <f t="shared" ca="1" si="45"/>
        <v>72.000000000000043</v>
      </c>
    </row>
    <row r="246" spans="1:9" x14ac:dyDescent="0.25">
      <c r="A246">
        <f t="shared" si="37"/>
        <v>0.23500000000000001</v>
      </c>
      <c r="B246">
        <f t="shared" si="40"/>
        <v>-65.556410271671311</v>
      </c>
      <c r="C246">
        <f t="shared" si="38"/>
        <v>2.4499716491654944E-15</v>
      </c>
      <c r="D246">
        <f t="shared" si="39"/>
        <v>-1</v>
      </c>
      <c r="E246">
        <f t="shared" ca="1" si="41"/>
        <v>9.7470405080457561E-14</v>
      </c>
      <c r="F246">
        <f t="shared" ca="1" si="42"/>
        <v>142.66582863561598</v>
      </c>
      <c r="G246">
        <f t="shared" ca="1" si="43"/>
        <v>46.354937703100028</v>
      </c>
      <c r="H246">
        <f t="shared" ca="1" si="44"/>
        <v>150.00772950000018</v>
      </c>
      <c r="I246">
        <f t="shared" ca="1" si="45"/>
        <v>72.000000000000057</v>
      </c>
    </row>
    <row r="247" spans="1:9" x14ac:dyDescent="0.25">
      <c r="A247">
        <f t="shared" si="37"/>
        <v>0.23600000000000002</v>
      </c>
      <c r="B247">
        <f t="shared" si="40"/>
        <v>-6.237818855198141E-13</v>
      </c>
      <c r="C247">
        <f t="shared" si="38"/>
        <v>0.30901699437495145</v>
      </c>
      <c r="D247">
        <f t="shared" si="39"/>
        <v>-0.95105651629515231</v>
      </c>
      <c r="E247">
        <f t="shared" ca="1" si="41"/>
        <v>1.0291126774366558E-13</v>
      </c>
      <c r="F247">
        <f t="shared" ca="1" si="42"/>
        <v>142.66582863561601</v>
      </c>
      <c r="G247">
        <f t="shared" ca="1" si="43"/>
        <v>46.354937703099928</v>
      </c>
      <c r="H247">
        <f t="shared" ca="1" si="44"/>
        <v>150.00772950000018</v>
      </c>
      <c r="I247">
        <f t="shared" ca="1" si="45"/>
        <v>72.000000000000114</v>
      </c>
    </row>
    <row r="248" spans="1:9" x14ac:dyDescent="0.25">
      <c r="A248">
        <f t="shared" si="37"/>
        <v>0.23700000000000002</v>
      </c>
      <c r="B248">
        <f t="shared" si="40"/>
        <v>65.556410271675858</v>
      </c>
      <c r="C248">
        <f t="shared" si="38"/>
        <v>0.58778525229247791</v>
      </c>
      <c r="D248">
        <f t="shared" si="39"/>
        <v>-0.8090169943749439</v>
      </c>
      <c r="E248">
        <f t="shared" ca="1" si="41"/>
        <v>9.8475254617369496E-14</v>
      </c>
      <c r="F248">
        <f t="shared" ca="1" si="42"/>
        <v>142.66582863561607</v>
      </c>
      <c r="G248">
        <f t="shared" ca="1" si="43"/>
        <v>46.35493770309985</v>
      </c>
      <c r="H248">
        <f t="shared" ca="1" si="44"/>
        <v>150.00772950000024</v>
      </c>
      <c r="I248">
        <f t="shared" ca="1" si="45"/>
        <v>72.000000000000142</v>
      </c>
    </row>
    <row r="249" spans="1:9" x14ac:dyDescent="0.25">
      <c r="A249">
        <f t="shared" si="37"/>
        <v>0.23800000000000002</v>
      </c>
      <c r="B249">
        <f t="shared" si="40"/>
        <v>124.69570234758682</v>
      </c>
      <c r="C249">
        <f t="shared" si="38"/>
        <v>0.809016994374952</v>
      </c>
      <c r="D249">
        <f t="shared" si="39"/>
        <v>-0.58778525229246692</v>
      </c>
      <c r="E249">
        <f t="shared" ca="1" si="41"/>
        <v>8.3402511563690492E-14</v>
      </c>
      <c r="F249">
        <f t="shared" ca="1" si="42"/>
        <v>142.66582863561612</v>
      </c>
      <c r="G249">
        <f t="shared" ca="1" si="43"/>
        <v>46.3549377030998</v>
      </c>
      <c r="H249">
        <f t="shared" ca="1" si="44"/>
        <v>150.00772950000027</v>
      </c>
      <c r="I249">
        <f t="shared" ca="1" si="45"/>
        <v>72.000000000000156</v>
      </c>
    </row>
    <row r="250" spans="1:9" x14ac:dyDescent="0.25">
      <c r="A250">
        <f t="shared" si="37"/>
        <v>0.23900000000000002</v>
      </c>
      <c r="B250">
        <f t="shared" si="40"/>
        <v>171.6289102716753</v>
      </c>
      <c r="C250">
        <f t="shared" si="38"/>
        <v>0.95105651629515653</v>
      </c>
      <c r="D250">
        <f t="shared" si="39"/>
        <v>-0.3090169943749384</v>
      </c>
      <c r="E250">
        <f t="shared" ca="1" si="41"/>
        <v>6.0290972214716014E-14</v>
      </c>
      <c r="F250">
        <f t="shared" ca="1" si="42"/>
        <v>142.66582863561618</v>
      </c>
      <c r="G250">
        <f t="shared" ca="1" si="43"/>
        <v>46.354937703099779</v>
      </c>
      <c r="H250">
        <f t="shared" ca="1" si="44"/>
        <v>150.00772950000032</v>
      </c>
      <c r="I250">
        <f t="shared" ca="1" si="45"/>
        <v>72.000000000000185</v>
      </c>
    </row>
    <row r="251" spans="1:9" x14ac:dyDescent="0.25">
      <c r="A251">
        <f t="shared" si="37"/>
        <v>0.24</v>
      </c>
      <c r="B251">
        <f t="shared" si="40"/>
        <v>201.76188464943564</v>
      </c>
      <c r="C251">
        <f t="shared" si="38"/>
        <v>1</v>
      </c>
      <c r="D251">
        <f t="shared" si="39"/>
        <v>-2.940356291780688E-15</v>
      </c>
      <c r="E251">
        <f t="shared" ca="1" si="41"/>
        <v>3.2155185181181876E-14</v>
      </c>
      <c r="F251">
        <f t="shared" ca="1" si="42"/>
        <v>142.66582863561621</v>
      </c>
      <c r="G251">
        <f t="shared" ca="1" si="43"/>
        <v>46.354937703099779</v>
      </c>
      <c r="H251">
        <f t="shared" ca="1" si="44"/>
        <v>150.00772950000032</v>
      </c>
      <c r="I251">
        <f t="shared" ca="1" si="45"/>
        <v>72.000000000000185</v>
      </c>
    </row>
    <row r="252" spans="1:9" x14ac:dyDescent="0.25">
      <c r="A252">
        <f t="shared" si="37"/>
        <v>0.24099999999999999</v>
      </c>
      <c r="B252">
        <f t="shared" si="40"/>
        <v>212.14500000000001</v>
      </c>
      <c r="C252">
        <f t="shared" si="38"/>
        <v>0.95105651629515398</v>
      </c>
      <c r="D252">
        <f t="shared" si="39"/>
        <v>0.30901699437494629</v>
      </c>
      <c r="E252">
        <f t="shared" ca="1" si="41"/>
        <v>0</v>
      </c>
      <c r="F252">
        <f t="shared" ca="1" si="42"/>
        <v>142.66582863561621</v>
      </c>
      <c r="G252">
        <f t="shared" ca="1" si="43"/>
        <v>46.354937703099779</v>
      </c>
      <c r="H252">
        <f t="shared" ca="1" si="44"/>
        <v>150.00772950000032</v>
      </c>
      <c r="I252">
        <f t="shared" ca="1" si="45"/>
        <v>72.000000000000185</v>
      </c>
    </row>
    <row r="253" spans="1:9" x14ac:dyDescent="0.25">
      <c r="A253">
        <f t="shared" si="37"/>
        <v>0.24199999999999999</v>
      </c>
      <c r="B253">
        <f t="shared" si="40"/>
        <v>201.76188464943485</v>
      </c>
      <c r="C253">
        <f t="shared" si="38"/>
        <v>0.80901699437494712</v>
      </c>
      <c r="D253">
        <f t="shared" si="39"/>
        <v>0.58778525229247358</v>
      </c>
      <c r="E253">
        <f t="shared" ca="1" si="41"/>
        <v>-3.2155185181181876E-14</v>
      </c>
      <c r="F253">
        <f t="shared" ca="1" si="42"/>
        <v>142.66582863561618</v>
      </c>
      <c r="G253">
        <f t="shared" ca="1" si="43"/>
        <v>46.354937703099758</v>
      </c>
      <c r="H253">
        <f t="shared" ca="1" si="44"/>
        <v>150.00772950000032</v>
      </c>
      <c r="I253">
        <f t="shared" ca="1" si="45"/>
        <v>72.000000000000185</v>
      </c>
    </row>
    <row r="254" spans="1:9" x14ac:dyDescent="0.25">
      <c r="A254">
        <f t="shared" si="37"/>
        <v>0.24299999999999999</v>
      </c>
      <c r="B254">
        <f t="shared" si="40"/>
        <v>171.62891027167382</v>
      </c>
      <c r="C254">
        <f t="shared" si="38"/>
        <v>0.58778525229247125</v>
      </c>
      <c r="D254">
        <f t="shared" si="39"/>
        <v>0.80901699437494878</v>
      </c>
      <c r="E254">
        <f t="shared" ca="1" si="41"/>
        <v>-6.2300671288539882E-14</v>
      </c>
      <c r="F254">
        <f t="shared" ca="1" si="42"/>
        <v>142.66582863561615</v>
      </c>
      <c r="G254">
        <f t="shared" ca="1" si="43"/>
        <v>46.354937703099708</v>
      </c>
      <c r="H254">
        <f t="shared" ca="1" si="44"/>
        <v>150.00772950000027</v>
      </c>
      <c r="I254">
        <f t="shared" ca="1" si="45"/>
        <v>72.000000000000213</v>
      </c>
    </row>
    <row r="255" spans="1:9" x14ac:dyDescent="0.25">
      <c r="A255">
        <f t="shared" si="37"/>
        <v>0.24399999999999999</v>
      </c>
      <c r="B255">
        <f t="shared" si="40"/>
        <v>124.69570234758481</v>
      </c>
      <c r="C255">
        <f t="shared" si="38"/>
        <v>0.30901699437494351</v>
      </c>
      <c r="D255">
        <f t="shared" si="39"/>
        <v>0.95105651629515486</v>
      </c>
      <c r="E255">
        <f t="shared" ca="1" si="41"/>
        <v>-8.3402511563690492E-14</v>
      </c>
      <c r="F255">
        <f t="shared" ca="1" si="42"/>
        <v>142.66582863561612</v>
      </c>
      <c r="G255">
        <f t="shared" ca="1" si="43"/>
        <v>46.35493770309963</v>
      </c>
      <c r="H255">
        <f t="shared" ca="1" si="44"/>
        <v>150.00772950000021</v>
      </c>
      <c r="I255">
        <f t="shared" ca="1" si="45"/>
        <v>72.000000000000227</v>
      </c>
    </row>
    <row r="256" spans="1:9" x14ac:dyDescent="0.25">
      <c r="A256">
        <f t="shared" si="37"/>
        <v>0.245</v>
      </c>
      <c r="B256">
        <f t="shared" si="40"/>
        <v>65.556410271673471</v>
      </c>
      <c r="C256">
        <f t="shared" si="38"/>
        <v>-5.8801704824751333E-15</v>
      </c>
      <c r="D256">
        <f t="shared" si="39"/>
        <v>1</v>
      </c>
      <c r="E256">
        <f t="shared" ca="1" si="41"/>
        <v>-9.8475254617369496E-14</v>
      </c>
      <c r="F256">
        <f t="shared" ca="1" si="42"/>
        <v>142.66582863561612</v>
      </c>
      <c r="G256">
        <f t="shared" ca="1" si="43"/>
        <v>46.35493770309953</v>
      </c>
      <c r="H256">
        <f t="shared" ca="1" si="44"/>
        <v>150.00772950000018</v>
      </c>
      <c r="I256">
        <f t="shared" ca="1" si="45"/>
        <v>72.00000000000027</v>
      </c>
    </row>
    <row r="257" spans="1:9" x14ac:dyDescent="0.25">
      <c r="A257">
        <f t="shared" si="37"/>
        <v>0.246</v>
      </c>
      <c r="B257">
        <f t="shared" si="40"/>
        <v>2.91084412758387E-12</v>
      </c>
      <c r="C257">
        <f t="shared" si="38"/>
        <v>-0.30901699437494118</v>
      </c>
      <c r="D257">
        <f t="shared" si="39"/>
        <v>0.95105651629515564</v>
      </c>
      <c r="E257">
        <f t="shared" ca="1" si="41"/>
        <v>3.2343634227269874E-13</v>
      </c>
      <c r="F257">
        <f t="shared" ca="1" si="42"/>
        <v>142.66582863561601</v>
      </c>
      <c r="G257">
        <f t="shared" ca="1" si="43"/>
        <v>46.354937703099836</v>
      </c>
      <c r="H257">
        <f t="shared" ca="1" si="44"/>
        <v>150.00772950000015</v>
      </c>
      <c r="I257">
        <f t="shared" ca="1" si="45"/>
        <v>72.000000000000142</v>
      </c>
    </row>
    <row r="258" spans="1:9" x14ac:dyDescent="0.25">
      <c r="A258">
        <f t="shared" si="37"/>
        <v>0.247</v>
      </c>
      <c r="B258">
        <f t="shared" si="40"/>
        <v>-65.556410271673684</v>
      </c>
      <c r="C258">
        <f t="shared" si="38"/>
        <v>-0.58778525229246925</v>
      </c>
      <c r="D258">
        <f t="shared" si="39"/>
        <v>0.80901699437495023</v>
      </c>
      <c r="E258">
        <f t="shared" ca="1" si="41"/>
        <v>-9.7470405080457561E-14</v>
      </c>
      <c r="F258">
        <f t="shared" ca="1" si="42"/>
        <v>142.66582863561607</v>
      </c>
      <c r="G258">
        <f t="shared" ca="1" si="43"/>
        <v>46.354937703099758</v>
      </c>
      <c r="H258">
        <f t="shared" ca="1" si="44"/>
        <v>150.00772950000018</v>
      </c>
      <c r="I258">
        <f t="shared" ca="1" si="45"/>
        <v>72.000000000000185</v>
      </c>
    </row>
    <row r="259" spans="1:9" x14ac:dyDescent="0.25">
      <c r="A259">
        <f t="shared" si="37"/>
        <v>0.248</v>
      </c>
      <c r="B259">
        <f t="shared" si="40"/>
        <v>-124.69570234758498</v>
      </c>
      <c r="C259">
        <f t="shared" si="38"/>
        <v>-0.80901699437494567</v>
      </c>
      <c r="D259">
        <f t="shared" si="39"/>
        <v>0.58778525229247558</v>
      </c>
      <c r="E259">
        <f t="shared" ca="1" si="41"/>
        <v>2.6126087959710274E-13</v>
      </c>
      <c r="F259">
        <f t="shared" ca="1" si="42"/>
        <v>142.66582863561587</v>
      </c>
      <c r="G259">
        <f t="shared" ca="1" si="43"/>
        <v>46.354937703099914</v>
      </c>
      <c r="H259">
        <f t="shared" ca="1" si="44"/>
        <v>150.00772950000004</v>
      </c>
      <c r="I259">
        <f t="shared" ca="1" si="45"/>
        <v>72.000000000000099</v>
      </c>
    </row>
    <row r="260" spans="1:9" x14ac:dyDescent="0.25">
      <c r="A260">
        <f t="shared" si="37"/>
        <v>0.249</v>
      </c>
      <c r="B260">
        <f t="shared" si="40"/>
        <v>-171.62891027167393</v>
      </c>
      <c r="C260">
        <f t="shared" si="38"/>
        <v>-0.9510565162951532</v>
      </c>
      <c r="D260">
        <f t="shared" si="39"/>
        <v>0.30901699437494862</v>
      </c>
      <c r="E260">
        <f t="shared" ca="1" si="41"/>
        <v>-5.8281273140892145E-14</v>
      </c>
      <c r="F260">
        <f t="shared" ca="1" si="42"/>
        <v>142.66582863561592</v>
      </c>
      <c r="G260">
        <f t="shared" ca="1" si="43"/>
        <v>46.354937703099893</v>
      </c>
      <c r="H260">
        <f t="shared" ca="1" si="44"/>
        <v>150.0077295000001</v>
      </c>
      <c r="I260">
        <f t="shared" ca="1" si="45"/>
        <v>72.000000000000114</v>
      </c>
    </row>
    <row r="261" spans="1:9" x14ac:dyDescent="0.25">
      <c r="A261">
        <f t="shared" si="37"/>
        <v>0.25</v>
      </c>
      <c r="B261">
        <f t="shared" si="40"/>
        <v>-201.76188464943493</v>
      </c>
      <c r="C261">
        <f t="shared" si="38"/>
        <v>-1</v>
      </c>
      <c r="D261">
        <f t="shared" si="39"/>
        <v>-4.898425415289509E-16</v>
      </c>
      <c r="E261">
        <f t="shared" ca="1" si="41"/>
        <v>1.0048495369119336E-13</v>
      </c>
      <c r="F261">
        <f t="shared" ca="1" si="42"/>
        <v>142.66582863561581</v>
      </c>
      <c r="G261">
        <f t="shared" ca="1" si="43"/>
        <v>46.354937703099893</v>
      </c>
      <c r="H261">
        <f t="shared" ca="1" si="44"/>
        <v>150.00772949999998</v>
      </c>
      <c r="I261">
        <f t="shared" ca="1" si="45"/>
        <v>72.000000000000099</v>
      </c>
    </row>
    <row r="262" spans="1:9" x14ac:dyDescent="0.25">
      <c r="A262">
        <f t="shared" si="37"/>
        <v>0.251</v>
      </c>
      <c r="B262">
        <f t="shared" si="40"/>
        <v>-212.14500000000001</v>
      </c>
      <c r="C262">
        <f t="shared" si="38"/>
        <v>-0.95105651629515287</v>
      </c>
      <c r="D262">
        <f t="shared" si="39"/>
        <v>-0.30901699437494956</v>
      </c>
      <c r="E262">
        <f t="shared" ca="1" si="41"/>
        <v>0</v>
      </c>
      <c r="F262">
        <f t="shared" ca="1" si="42"/>
        <v>142.66582863561581</v>
      </c>
      <c r="G262">
        <f t="shared" ca="1" si="43"/>
        <v>46.354937703099893</v>
      </c>
      <c r="H262">
        <f t="shared" ca="1" si="44"/>
        <v>150.00772949999998</v>
      </c>
      <c r="I262">
        <f t="shared" ca="1" si="45"/>
        <v>72.000000000000099</v>
      </c>
    </row>
    <row r="263" spans="1:9" x14ac:dyDescent="0.25">
      <c r="A263">
        <f t="shared" si="37"/>
        <v>0.252</v>
      </c>
      <c r="B263">
        <f t="shared" si="40"/>
        <v>-201.76188464943556</v>
      </c>
      <c r="C263">
        <f t="shared" si="38"/>
        <v>-0.80901699437494501</v>
      </c>
      <c r="D263">
        <f t="shared" si="39"/>
        <v>-0.58778525229247636</v>
      </c>
      <c r="E263">
        <f t="shared" ca="1" si="41"/>
        <v>3.2155185181181876E-14</v>
      </c>
      <c r="F263">
        <f t="shared" ca="1" si="42"/>
        <v>142.66582863561578</v>
      </c>
      <c r="G263">
        <f t="shared" ca="1" si="43"/>
        <v>46.354937703099871</v>
      </c>
      <c r="H263">
        <f t="shared" ca="1" si="44"/>
        <v>150.00772949999998</v>
      </c>
      <c r="I263">
        <f t="shared" ca="1" si="45"/>
        <v>72.000000000000099</v>
      </c>
    </row>
    <row r="264" spans="1:9" x14ac:dyDescent="0.25">
      <c r="A264">
        <f t="shared" si="37"/>
        <v>0.253</v>
      </c>
      <c r="B264">
        <f t="shared" si="40"/>
        <v>-171.62891027167163</v>
      </c>
      <c r="C264">
        <f t="shared" si="38"/>
        <v>-0.58778525229246847</v>
      </c>
      <c r="D264">
        <f t="shared" si="39"/>
        <v>-0.80901699437495078</v>
      </c>
      <c r="E264">
        <f t="shared" ca="1" si="41"/>
        <v>6.0290972214716014E-14</v>
      </c>
      <c r="F264">
        <f t="shared" ca="1" si="42"/>
        <v>142.66582863561575</v>
      </c>
      <c r="G264">
        <f t="shared" ca="1" si="43"/>
        <v>46.354937703099822</v>
      </c>
      <c r="H264">
        <f t="shared" ca="1" si="44"/>
        <v>150.0077294999999</v>
      </c>
      <c r="I264">
        <f t="shared" ca="1" si="45"/>
        <v>72.000000000000114</v>
      </c>
    </row>
    <row r="265" spans="1:9" x14ac:dyDescent="0.25">
      <c r="A265">
        <f t="shared" si="37"/>
        <v>0.254</v>
      </c>
      <c r="B265">
        <f t="shared" si="40"/>
        <v>-124.69570234758665</v>
      </c>
      <c r="C265">
        <f t="shared" si="38"/>
        <v>-0.30901699437494023</v>
      </c>
      <c r="D265">
        <f t="shared" si="39"/>
        <v>-0.95105651629515586</v>
      </c>
      <c r="E265">
        <f t="shared" ca="1" si="41"/>
        <v>8.3402511563690492E-14</v>
      </c>
      <c r="F265">
        <f t="shared" ca="1" si="42"/>
        <v>142.66582863561572</v>
      </c>
      <c r="G265">
        <f t="shared" ca="1" si="43"/>
        <v>46.354937703099743</v>
      </c>
      <c r="H265">
        <f t="shared" ca="1" si="44"/>
        <v>150.00772949999987</v>
      </c>
      <c r="I265">
        <f t="shared" ca="1" si="45"/>
        <v>72.000000000000142</v>
      </c>
    </row>
    <row r="266" spans="1:9" x14ac:dyDescent="0.25">
      <c r="A266">
        <f t="shared" si="37"/>
        <v>0.255</v>
      </c>
      <c r="B266">
        <f t="shared" si="40"/>
        <v>-65.556410271675659</v>
      </c>
      <c r="C266">
        <f t="shared" si="38"/>
        <v>-4.9004853994172315E-15</v>
      </c>
      <c r="D266">
        <f t="shared" si="39"/>
        <v>-1</v>
      </c>
      <c r="E266">
        <f t="shared" ca="1" si="41"/>
        <v>-3.0748395829505167E-13</v>
      </c>
      <c r="F266">
        <f t="shared" ca="1" si="42"/>
        <v>142.66582863561572</v>
      </c>
      <c r="G266">
        <f t="shared" ca="1" si="43"/>
        <v>46.354937703100049</v>
      </c>
      <c r="H266">
        <f t="shared" ca="1" si="44"/>
        <v>150.00772949999995</v>
      </c>
      <c r="I266">
        <f t="shared" ca="1" si="45"/>
        <v>72.000000000000043</v>
      </c>
    </row>
    <row r="267" spans="1:9" x14ac:dyDescent="0.25">
      <c r="A267">
        <f t="shared" si="37"/>
        <v>0.25600000000000001</v>
      </c>
      <c r="B267">
        <f t="shared" si="40"/>
        <v>8.3161717746513265E-13</v>
      </c>
      <c r="C267">
        <f t="shared" si="38"/>
        <v>0.30901699437494445</v>
      </c>
      <c r="D267">
        <f t="shared" si="39"/>
        <v>-0.95105651629515453</v>
      </c>
      <c r="E267">
        <f t="shared" ca="1" si="41"/>
        <v>1.0291126774366557E-13</v>
      </c>
      <c r="F267">
        <f t="shared" ca="1" si="42"/>
        <v>142.66582863561575</v>
      </c>
      <c r="G267">
        <f t="shared" ca="1" si="43"/>
        <v>46.354937703099949</v>
      </c>
      <c r="H267">
        <f t="shared" ca="1" si="44"/>
        <v>150.00772949999995</v>
      </c>
      <c r="I267">
        <f t="shared" ca="1" si="45"/>
        <v>72.000000000000071</v>
      </c>
    </row>
    <row r="268" spans="1:9" x14ac:dyDescent="0.25">
      <c r="A268">
        <f t="shared" ref="A268:A331" si="46">(ROW($A268)-ROW($A$11))*$B$4+$B$5</f>
        <v>0.25700000000000001</v>
      </c>
      <c r="B268">
        <f t="shared" si="40"/>
        <v>65.556410271671496</v>
      </c>
      <c r="C268">
        <f t="shared" ref="C268:C331" si="47">COS($A268*$C$1)</f>
        <v>0.58778525229247203</v>
      </c>
      <c r="D268">
        <f t="shared" ref="D268:D331" si="48">SIN($A268*$C$1)</f>
        <v>-0.80901699437494823</v>
      </c>
      <c r="E268">
        <f t="shared" ca="1" si="41"/>
        <v>-3.0848880783196363E-13</v>
      </c>
      <c r="F268">
        <f t="shared" ca="1" si="42"/>
        <v>142.66582863561558</v>
      </c>
      <c r="G268">
        <f t="shared" ca="1" si="43"/>
        <v>46.354937703100198</v>
      </c>
      <c r="H268">
        <f t="shared" ca="1" si="44"/>
        <v>150.00772949999987</v>
      </c>
      <c r="I268">
        <f t="shared" ca="1" si="45"/>
        <v>71.999999999999957</v>
      </c>
    </row>
    <row r="269" spans="1:9" x14ac:dyDescent="0.25">
      <c r="A269">
        <f t="shared" si="46"/>
        <v>0.25800000000000001</v>
      </c>
      <c r="B269">
        <f t="shared" si="40"/>
        <v>124.695702347588</v>
      </c>
      <c r="C269">
        <f t="shared" si="47"/>
        <v>0.80901699437494767</v>
      </c>
      <c r="D269">
        <f t="shared" si="48"/>
        <v>-0.5877852522924728</v>
      </c>
      <c r="E269">
        <f t="shared" ca="1" si="41"/>
        <v>8.3402511563690492E-14</v>
      </c>
      <c r="F269">
        <f t="shared" ca="1" si="42"/>
        <v>142.66582863561564</v>
      </c>
      <c r="G269">
        <f t="shared" ca="1" si="43"/>
        <v>46.354937703100148</v>
      </c>
      <c r="H269">
        <f t="shared" ca="1" si="44"/>
        <v>150.0077294999999</v>
      </c>
      <c r="I269">
        <f t="shared" ca="1" si="45"/>
        <v>71.999999999999986</v>
      </c>
    </row>
    <row r="270" spans="1:9" x14ac:dyDescent="0.25">
      <c r="A270">
        <f t="shared" si="46"/>
        <v>0.25900000000000001</v>
      </c>
      <c r="B270">
        <f t="shared" si="40"/>
        <v>171.62891027167259</v>
      </c>
      <c r="C270">
        <f t="shared" si="47"/>
        <v>0.9510565162951542</v>
      </c>
      <c r="D270">
        <f t="shared" si="48"/>
        <v>-0.3090169943749454</v>
      </c>
      <c r="E270">
        <f t="shared" ca="1" si="41"/>
        <v>-1.9092141201326738E-13</v>
      </c>
      <c r="F270">
        <f t="shared" ca="1" si="42"/>
        <v>142.66582863561547</v>
      </c>
      <c r="G270">
        <f t="shared" ca="1" si="43"/>
        <v>46.354937703100205</v>
      </c>
      <c r="H270">
        <f t="shared" ca="1" si="44"/>
        <v>150.00772949999975</v>
      </c>
      <c r="I270">
        <f t="shared" ca="1" si="45"/>
        <v>71.999999999999943</v>
      </c>
    </row>
    <row r="271" spans="1:9" x14ac:dyDescent="0.25">
      <c r="A271">
        <f t="shared" si="46"/>
        <v>0.26</v>
      </c>
      <c r="B271">
        <f t="shared" si="40"/>
        <v>201.7618846494361</v>
      </c>
      <c r="C271">
        <f t="shared" si="47"/>
        <v>1</v>
      </c>
      <c r="D271">
        <f t="shared" si="48"/>
        <v>3.9200413748385898E-15</v>
      </c>
      <c r="E271">
        <f t="shared" ca="1" si="41"/>
        <v>3.2155185181181876E-14</v>
      </c>
      <c r="F271">
        <f t="shared" ca="1" si="42"/>
        <v>142.6658286356155</v>
      </c>
      <c r="G271">
        <f t="shared" ca="1" si="43"/>
        <v>46.354937703100205</v>
      </c>
      <c r="H271">
        <f t="shared" ca="1" si="44"/>
        <v>150.00772949999978</v>
      </c>
      <c r="I271">
        <f t="shared" ca="1" si="45"/>
        <v>71.999999999999943</v>
      </c>
    </row>
    <row r="272" spans="1:9" x14ac:dyDescent="0.25">
      <c r="A272">
        <f t="shared" si="46"/>
        <v>0.26100000000000001</v>
      </c>
      <c r="B272">
        <f t="shared" si="40"/>
        <v>212.14500000000001</v>
      </c>
      <c r="C272">
        <f t="shared" si="47"/>
        <v>0.95105651629515187</v>
      </c>
      <c r="D272">
        <f t="shared" si="48"/>
        <v>0.30901699437495284</v>
      </c>
      <c r="E272">
        <f t="shared" ca="1" si="41"/>
        <v>0</v>
      </c>
      <c r="F272">
        <f t="shared" ca="1" si="42"/>
        <v>142.6658286356155</v>
      </c>
      <c r="G272">
        <f t="shared" ca="1" si="43"/>
        <v>46.354937703100205</v>
      </c>
      <c r="H272">
        <f t="shared" ca="1" si="44"/>
        <v>150.00772949999978</v>
      </c>
      <c r="I272">
        <f t="shared" ca="1" si="45"/>
        <v>71.999999999999943</v>
      </c>
    </row>
    <row r="273" spans="1:9" x14ac:dyDescent="0.25">
      <c r="A273">
        <f t="shared" si="46"/>
        <v>0.26200000000000001</v>
      </c>
      <c r="B273">
        <f t="shared" si="40"/>
        <v>201.76188464943442</v>
      </c>
      <c r="C273">
        <f t="shared" si="47"/>
        <v>0.80901699437494301</v>
      </c>
      <c r="D273">
        <f t="shared" si="48"/>
        <v>0.58778525229247913</v>
      </c>
      <c r="E273">
        <f t="shared" ca="1" si="41"/>
        <v>-3.0145486107358007E-14</v>
      </c>
      <c r="F273">
        <f t="shared" ca="1" si="42"/>
        <v>142.66582863561547</v>
      </c>
      <c r="G273">
        <f t="shared" ca="1" si="43"/>
        <v>46.354937703100191</v>
      </c>
      <c r="H273">
        <f t="shared" ca="1" si="44"/>
        <v>150.00772949999975</v>
      </c>
      <c r="I273">
        <f t="shared" ca="1" si="45"/>
        <v>71.999999999999943</v>
      </c>
    </row>
    <row r="274" spans="1:9" x14ac:dyDescent="0.25">
      <c r="A274">
        <f t="shared" si="46"/>
        <v>0.26300000000000001</v>
      </c>
      <c r="B274">
        <f t="shared" si="40"/>
        <v>171.62891027167296</v>
      </c>
      <c r="C274">
        <f t="shared" si="47"/>
        <v>0.5877852522924657</v>
      </c>
      <c r="D274">
        <f t="shared" si="48"/>
        <v>0.80901699437495289</v>
      </c>
      <c r="E274">
        <f t="shared" ca="1" si="41"/>
        <v>-6.0290972214716014E-14</v>
      </c>
      <c r="F274">
        <f t="shared" ca="1" si="42"/>
        <v>142.66582863561544</v>
      </c>
      <c r="G274">
        <f t="shared" ca="1" si="43"/>
        <v>46.354937703100141</v>
      </c>
      <c r="H274">
        <f t="shared" ca="1" si="44"/>
        <v>150.00772949999973</v>
      </c>
      <c r="I274">
        <f t="shared" ca="1" si="45"/>
        <v>71.999999999999957</v>
      </c>
    </row>
    <row r="275" spans="1:9" x14ac:dyDescent="0.25">
      <c r="A275">
        <f t="shared" si="46"/>
        <v>0.26400000000000001</v>
      </c>
      <c r="B275">
        <f t="shared" si="40"/>
        <v>124.69570234758363</v>
      </c>
      <c r="C275">
        <f t="shared" si="47"/>
        <v>0.30901699437493696</v>
      </c>
      <c r="D275">
        <f t="shared" si="48"/>
        <v>0.95105651629515697</v>
      </c>
      <c r="E275">
        <f t="shared" ca="1" si="41"/>
        <v>-8.3402511563690492E-14</v>
      </c>
      <c r="F275">
        <f t="shared" ca="1" si="42"/>
        <v>142.66582863561541</v>
      </c>
      <c r="G275">
        <f t="shared" ca="1" si="43"/>
        <v>46.354937703100063</v>
      </c>
      <c r="H275">
        <f t="shared" ca="1" si="44"/>
        <v>150.00772949999967</v>
      </c>
      <c r="I275">
        <f t="shared" ca="1" si="45"/>
        <v>71.999999999999986</v>
      </c>
    </row>
    <row r="276" spans="1:9" x14ac:dyDescent="0.25">
      <c r="A276">
        <f t="shared" si="46"/>
        <v>0.26500000000000001</v>
      </c>
      <c r="B276">
        <f t="shared" si="40"/>
        <v>65.556410271672107</v>
      </c>
      <c r="C276">
        <f t="shared" si="47"/>
        <v>1.4702865661075926E-15</v>
      </c>
      <c r="D276">
        <f t="shared" si="48"/>
        <v>1</v>
      </c>
      <c r="E276">
        <f t="shared" ca="1" si="41"/>
        <v>-9.6465555543545627E-14</v>
      </c>
      <c r="F276">
        <f t="shared" ca="1" si="42"/>
        <v>142.66582863561541</v>
      </c>
      <c r="G276">
        <f t="shared" ca="1" si="43"/>
        <v>46.354937703099964</v>
      </c>
      <c r="H276">
        <f t="shared" ca="1" si="44"/>
        <v>150.00772949999964</v>
      </c>
      <c r="I276">
        <f t="shared" ca="1" si="45"/>
        <v>72.000000000000028</v>
      </c>
    </row>
    <row r="277" spans="1:9" x14ac:dyDescent="0.25">
      <c r="A277">
        <f t="shared" si="46"/>
        <v>0.26600000000000001</v>
      </c>
      <c r="B277">
        <f t="shared" si="40"/>
        <v>1.4554450645989231E-12</v>
      </c>
      <c r="C277">
        <f t="shared" si="47"/>
        <v>-0.30901699437494773</v>
      </c>
      <c r="D277">
        <f t="shared" si="48"/>
        <v>0.95105651629515353</v>
      </c>
      <c r="E277">
        <f t="shared" ca="1" si="41"/>
        <v>-1.0291126774366558E-13</v>
      </c>
      <c r="F277">
        <f t="shared" ca="1" si="42"/>
        <v>142.66582863561544</v>
      </c>
      <c r="G277">
        <f t="shared" ca="1" si="43"/>
        <v>46.354937703099864</v>
      </c>
      <c r="H277">
        <f t="shared" ca="1" si="44"/>
        <v>150.00772949999964</v>
      </c>
      <c r="I277">
        <f t="shared" ca="1" si="45"/>
        <v>72.000000000000057</v>
      </c>
    </row>
    <row r="278" spans="1:9" x14ac:dyDescent="0.25">
      <c r="A278">
        <f t="shared" si="46"/>
        <v>0.26700000000000002</v>
      </c>
      <c r="B278">
        <f t="shared" si="40"/>
        <v>-65.556410271675063</v>
      </c>
      <c r="C278">
        <f t="shared" si="47"/>
        <v>-0.5877852522924748</v>
      </c>
      <c r="D278">
        <f t="shared" si="48"/>
        <v>0.80901699437494623</v>
      </c>
      <c r="E278">
        <f t="shared" ca="1" si="41"/>
        <v>-9.7470405080457561E-14</v>
      </c>
      <c r="F278">
        <f t="shared" ca="1" si="42"/>
        <v>142.6658286356155</v>
      </c>
      <c r="G278">
        <f t="shared" ca="1" si="43"/>
        <v>46.354937703099786</v>
      </c>
      <c r="H278">
        <f t="shared" ca="1" si="44"/>
        <v>150.00772949999964</v>
      </c>
      <c r="I278">
        <f t="shared" ca="1" si="45"/>
        <v>72.000000000000099</v>
      </c>
    </row>
    <row r="279" spans="1:9" x14ac:dyDescent="0.25">
      <c r="A279">
        <f t="shared" si="46"/>
        <v>0.26800000000000002</v>
      </c>
      <c r="B279">
        <f t="shared" si="40"/>
        <v>-124.69570234758615</v>
      </c>
      <c r="C279">
        <f t="shared" si="47"/>
        <v>-0.80901699437494967</v>
      </c>
      <c r="D279">
        <f t="shared" si="48"/>
        <v>0.58778525229247003</v>
      </c>
      <c r="E279">
        <f t="shared" ca="1" si="41"/>
        <v>-8.2397662026778558E-14</v>
      </c>
      <c r="F279">
        <f t="shared" ca="1" si="42"/>
        <v>142.66582863561555</v>
      </c>
      <c r="G279">
        <f t="shared" ca="1" si="43"/>
        <v>46.354937703099736</v>
      </c>
      <c r="H279">
        <f t="shared" ca="1" si="44"/>
        <v>150.0077294999997</v>
      </c>
      <c r="I279">
        <f t="shared" ca="1" si="45"/>
        <v>72.000000000000128</v>
      </c>
    </row>
    <row r="280" spans="1:9" x14ac:dyDescent="0.25">
      <c r="A280">
        <f t="shared" si="46"/>
        <v>0.26900000000000002</v>
      </c>
      <c r="B280">
        <f t="shared" si="40"/>
        <v>-171.62891027167481</v>
      </c>
      <c r="C280">
        <f t="shared" si="47"/>
        <v>-0.95105651629515531</v>
      </c>
      <c r="D280">
        <f t="shared" si="48"/>
        <v>0.30901699437494212</v>
      </c>
      <c r="E280">
        <f t="shared" ca="1" si="41"/>
        <v>-6.2300671288539882E-14</v>
      </c>
      <c r="F280">
        <f t="shared" ca="1" si="42"/>
        <v>142.66582863561561</v>
      </c>
      <c r="G280">
        <f t="shared" ca="1" si="43"/>
        <v>46.354937703099715</v>
      </c>
      <c r="H280">
        <f t="shared" ca="1" si="44"/>
        <v>150.00772949999975</v>
      </c>
      <c r="I280">
        <f t="shared" ca="1" si="45"/>
        <v>72.000000000000142</v>
      </c>
    </row>
    <row r="281" spans="1:9" x14ac:dyDescent="0.25">
      <c r="A281">
        <f t="shared" si="46"/>
        <v>0.27</v>
      </c>
      <c r="B281">
        <f t="shared" si="40"/>
        <v>-201.76188464943539</v>
      </c>
      <c r="C281">
        <f t="shared" si="47"/>
        <v>-1</v>
      </c>
      <c r="D281">
        <f t="shared" si="48"/>
        <v>-7.3502402081482288E-15</v>
      </c>
      <c r="E281">
        <f t="shared" ca="1" si="41"/>
        <v>-3.2155185181181876E-14</v>
      </c>
      <c r="F281">
        <f t="shared" ca="1" si="42"/>
        <v>142.66582863561564</v>
      </c>
      <c r="G281">
        <f t="shared" ca="1" si="43"/>
        <v>46.354937703099715</v>
      </c>
      <c r="H281">
        <f t="shared" ca="1" si="44"/>
        <v>150.00772949999978</v>
      </c>
      <c r="I281">
        <f t="shared" ca="1" si="45"/>
        <v>72.000000000000142</v>
      </c>
    </row>
    <row r="282" spans="1:9" x14ac:dyDescent="0.25">
      <c r="A282">
        <f t="shared" si="46"/>
        <v>0.27100000000000002</v>
      </c>
      <c r="B282">
        <f t="shared" si="40"/>
        <v>-212.14500000000001</v>
      </c>
      <c r="C282">
        <f t="shared" si="47"/>
        <v>-0.95105651629515076</v>
      </c>
      <c r="D282">
        <f t="shared" si="48"/>
        <v>-0.30901699437495611</v>
      </c>
      <c r="E282">
        <f t="shared" ca="1" si="41"/>
        <v>0</v>
      </c>
      <c r="F282">
        <f t="shared" ca="1" si="42"/>
        <v>142.66582863561564</v>
      </c>
      <c r="G282">
        <f t="shared" ca="1" si="43"/>
        <v>46.354937703099715</v>
      </c>
      <c r="H282">
        <f t="shared" ca="1" si="44"/>
        <v>150.00772949999978</v>
      </c>
      <c r="I282">
        <f t="shared" ca="1" si="45"/>
        <v>72.000000000000142</v>
      </c>
    </row>
    <row r="283" spans="1:9" x14ac:dyDescent="0.25">
      <c r="A283">
        <f t="shared" si="46"/>
        <v>0.27200000000000002</v>
      </c>
      <c r="B283">
        <f t="shared" si="40"/>
        <v>-201.76188464943513</v>
      </c>
      <c r="C283">
        <f t="shared" si="47"/>
        <v>-0.80901699437494101</v>
      </c>
      <c r="D283">
        <f t="shared" si="48"/>
        <v>-0.58778525229248191</v>
      </c>
      <c r="E283">
        <f t="shared" ca="1" si="41"/>
        <v>3.0145486107358007E-14</v>
      </c>
      <c r="F283">
        <f t="shared" ca="1" si="42"/>
        <v>142.66582863561561</v>
      </c>
      <c r="G283">
        <f t="shared" ca="1" si="43"/>
        <v>46.354937703099701</v>
      </c>
      <c r="H283">
        <f t="shared" ca="1" si="44"/>
        <v>150.00772949999973</v>
      </c>
      <c r="I283">
        <f t="shared" ca="1" si="45"/>
        <v>72.000000000000142</v>
      </c>
    </row>
    <row r="284" spans="1:9" x14ac:dyDescent="0.25">
      <c r="A284">
        <f t="shared" si="46"/>
        <v>0.27300000000000002</v>
      </c>
      <c r="B284">
        <f t="shared" si="40"/>
        <v>-171.62891027167078</v>
      </c>
      <c r="C284">
        <f t="shared" si="47"/>
        <v>-0.58778525229246292</v>
      </c>
      <c r="D284">
        <f t="shared" si="48"/>
        <v>-0.80901699437495489</v>
      </c>
      <c r="E284">
        <f t="shared" ca="1" si="41"/>
        <v>6.0290972214716014E-14</v>
      </c>
      <c r="F284">
        <f t="shared" ca="1" si="42"/>
        <v>142.66582863561558</v>
      </c>
      <c r="G284">
        <f t="shared" ca="1" si="43"/>
        <v>46.354937703099651</v>
      </c>
      <c r="H284">
        <f t="shared" ca="1" si="44"/>
        <v>150.0077294999997</v>
      </c>
      <c r="I284">
        <f t="shared" ca="1" si="45"/>
        <v>72.000000000000156</v>
      </c>
    </row>
    <row r="285" spans="1:9" x14ac:dyDescent="0.25">
      <c r="A285">
        <f t="shared" si="46"/>
        <v>0.27400000000000002</v>
      </c>
      <c r="B285">
        <f t="shared" si="40"/>
        <v>-124.69570234758547</v>
      </c>
      <c r="C285">
        <f t="shared" si="47"/>
        <v>-0.30901699437494723</v>
      </c>
      <c r="D285">
        <f t="shared" si="48"/>
        <v>-0.95105651629515364</v>
      </c>
      <c r="E285">
        <f t="shared" ca="1" si="41"/>
        <v>8.3402511563690492E-14</v>
      </c>
      <c r="F285">
        <f t="shared" ca="1" si="42"/>
        <v>142.66582863561555</v>
      </c>
      <c r="G285">
        <f t="shared" ca="1" si="43"/>
        <v>46.354937703099573</v>
      </c>
      <c r="H285">
        <f t="shared" ca="1" si="44"/>
        <v>150.00772949999964</v>
      </c>
      <c r="I285">
        <f t="shared" ca="1" si="45"/>
        <v>72.000000000000185</v>
      </c>
    </row>
    <row r="286" spans="1:9" x14ac:dyDescent="0.25">
      <c r="A286">
        <f t="shared" si="46"/>
        <v>0.27500000000000002</v>
      </c>
      <c r="B286">
        <f t="shared" si="40"/>
        <v>-65.556410271674281</v>
      </c>
      <c r="C286">
        <f t="shared" si="47"/>
        <v>1.9599122672020464E-15</v>
      </c>
      <c r="D286">
        <f t="shared" si="48"/>
        <v>-1</v>
      </c>
      <c r="E286">
        <f t="shared" ca="1" si="41"/>
        <v>9.7470405080457561E-14</v>
      </c>
      <c r="F286">
        <f t="shared" ca="1" si="42"/>
        <v>142.66582863561555</v>
      </c>
      <c r="G286">
        <f t="shared" ca="1" si="43"/>
        <v>46.354937703099473</v>
      </c>
      <c r="H286">
        <f t="shared" ca="1" si="44"/>
        <v>150.00772949999961</v>
      </c>
      <c r="I286">
        <f t="shared" ca="1" si="45"/>
        <v>72.000000000000213</v>
      </c>
    </row>
    <row r="287" spans="1:9" x14ac:dyDescent="0.25">
      <c r="A287">
        <f t="shared" si="46"/>
        <v>0.27600000000000002</v>
      </c>
      <c r="B287">
        <f t="shared" si="40"/>
        <v>2.2870162404500794E-12</v>
      </c>
      <c r="C287">
        <f t="shared" si="47"/>
        <v>0.30901699437495095</v>
      </c>
      <c r="D287">
        <f t="shared" si="48"/>
        <v>-0.95105651629515242</v>
      </c>
      <c r="E287">
        <f t="shared" ca="1" si="41"/>
        <v>1.0291126774366557E-13</v>
      </c>
      <c r="F287">
        <f t="shared" ca="1" si="42"/>
        <v>142.66582863561558</v>
      </c>
      <c r="G287">
        <f t="shared" ca="1" si="43"/>
        <v>46.354937703099374</v>
      </c>
      <c r="H287">
        <f t="shared" ca="1" si="44"/>
        <v>150.00772949999961</v>
      </c>
      <c r="I287">
        <f t="shared" ca="1" si="45"/>
        <v>72.00000000000027</v>
      </c>
    </row>
    <row r="288" spans="1:9" x14ac:dyDescent="0.25">
      <c r="A288">
        <f t="shared" si="46"/>
        <v>0.27700000000000002</v>
      </c>
      <c r="B288">
        <f t="shared" si="40"/>
        <v>65.556410271672888</v>
      </c>
      <c r="C288">
        <f t="shared" si="47"/>
        <v>0.58778525229247758</v>
      </c>
      <c r="D288">
        <f t="shared" si="48"/>
        <v>-0.80901699437494423</v>
      </c>
      <c r="E288">
        <f t="shared" ca="1" si="41"/>
        <v>9.8475254617369496E-14</v>
      </c>
      <c r="F288">
        <f t="shared" ca="1" si="42"/>
        <v>142.66582863561564</v>
      </c>
      <c r="G288">
        <f t="shared" ca="1" si="43"/>
        <v>46.354937703099296</v>
      </c>
      <c r="H288">
        <f t="shared" ca="1" si="44"/>
        <v>150.00772949999964</v>
      </c>
      <c r="I288">
        <f t="shared" ca="1" si="45"/>
        <v>72.000000000000284</v>
      </c>
    </row>
    <row r="289" spans="1:9" x14ac:dyDescent="0.25">
      <c r="A289">
        <f t="shared" si="46"/>
        <v>0.27800000000000002</v>
      </c>
      <c r="B289">
        <f t="shared" si="40"/>
        <v>124.69570234758918</v>
      </c>
      <c r="C289">
        <f t="shared" si="47"/>
        <v>0.80901699437495167</v>
      </c>
      <c r="D289">
        <f t="shared" si="48"/>
        <v>-0.58778525229246725</v>
      </c>
      <c r="E289">
        <f t="shared" ca="1" si="41"/>
        <v>8.3402511563690492E-14</v>
      </c>
      <c r="F289">
        <f t="shared" ca="1" si="42"/>
        <v>142.6658286356157</v>
      </c>
      <c r="G289">
        <f t="shared" ca="1" si="43"/>
        <v>46.354937703099246</v>
      </c>
      <c r="H289">
        <f t="shared" ca="1" si="44"/>
        <v>150.00772949999967</v>
      </c>
      <c r="I289">
        <f t="shared" ca="1" si="45"/>
        <v>72.000000000000313</v>
      </c>
    </row>
    <row r="290" spans="1:9" x14ac:dyDescent="0.25">
      <c r="A290">
        <f t="shared" si="46"/>
        <v>0.27900000000000003</v>
      </c>
      <c r="B290">
        <f t="shared" si="40"/>
        <v>171.62891027167348</v>
      </c>
      <c r="C290">
        <f t="shared" si="47"/>
        <v>0.95105651629515631</v>
      </c>
      <c r="D290">
        <f t="shared" si="48"/>
        <v>-0.30901699437493885</v>
      </c>
      <c r="E290">
        <f t="shared" ca="1" si="41"/>
        <v>6.2300671288539882E-14</v>
      </c>
      <c r="F290">
        <f t="shared" ca="1" si="42"/>
        <v>142.66582863561575</v>
      </c>
      <c r="G290">
        <f t="shared" ca="1" si="43"/>
        <v>46.354937703099225</v>
      </c>
      <c r="H290">
        <f t="shared" ca="1" si="44"/>
        <v>150.00772949999973</v>
      </c>
      <c r="I290">
        <f t="shared" ca="1" si="45"/>
        <v>72.000000000000341</v>
      </c>
    </row>
    <row r="291" spans="1:9" x14ac:dyDescent="0.25">
      <c r="A291">
        <f t="shared" si="46"/>
        <v>0.28000000000000003</v>
      </c>
      <c r="B291">
        <f t="shared" si="40"/>
        <v>201.76188464943652</v>
      </c>
      <c r="C291">
        <f t="shared" si="47"/>
        <v>1</v>
      </c>
      <c r="D291">
        <f t="shared" si="48"/>
        <v>1.0780439041457868E-14</v>
      </c>
      <c r="E291">
        <f t="shared" ca="1" si="41"/>
        <v>3.0145486107358007E-14</v>
      </c>
      <c r="F291">
        <f t="shared" ca="1" si="42"/>
        <v>142.66582863561578</v>
      </c>
      <c r="G291">
        <f t="shared" ca="1" si="43"/>
        <v>46.354937703099225</v>
      </c>
      <c r="H291">
        <f t="shared" ca="1" si="44"/>
        <v>150.00772949999975</v>
      </c>
      <c r="I291">
        <f t="shared" ca="1" si="45"/>
        <v>72.000000000000341</v>
      </c>
    </row>
    <row r="292" spans="1:9" x14ac:dyDescent="0.25">
      <c r="A292">
        <f t="shared" si="46"/>
        <v>0.28100000000000003</v>
      </c>
      <c r="B292">
        <f t="shared" si="40"/>
        <v>212.14500000000001</v>
      </c>
      <c r="C292">
        <f t="shared" si="47"/>
        <v>0.95105651629514965</v>
      </c>
      <c r="D292">
        <f t="shared" si="48"/>
        <v>0.30901699437495933</v>
      </c>
      <c r="E292">
        <f t="shared" ca="1" si="41"/>
        <v>0</v>
      </c>
      <c r="F292">
        <f t="shared" ca="1" si="42"/>
        <v>142.66582863561578</v>
      </c>
      <c r="G292">
        <f t="shared" ca="1" si="43"/>
        <v>46.354937703099225</v>
      </c>
      <c r="H292">
        <f t="shared" ca="1" si="44"/>
        <v>150.00772949999975</v>
      </c>
      <c r="I292">
        <f t="shared" ca="1" si="45"/>
        <v>72.000000000000341</v>
      </c>
    </row>
    <row r="293" spans="1:9" x14ac:dyDescent="0.25">
      <c r="A293">
        <f t="shared" si="46"/>
        <v>0.28200000000000003</v>
      </c>
      <c r="B293">
        <f t="shared" ref="B293:B356" si="49">1.5*$B$6*SIN((A293*$C$1)+PI()/2.5)</f>
        <v>201.76188464943397</v>
      </c>
      <c r="C293">
        <f t="shared" si="47"/>
        <v>0.80901699437493901</v>
      </c>
      <c r="D293">
        <f t="shared" si="48"/>
        <v>0.58778525229248468</v>
      </c>
      <c r="E293">
        <f t="shared" ref="E293:E356" ca="1" si="50">(1.4142/$B$2)*(B293-IF((ROW($A293)-ROW($A$11))&lt;$B$2,0,OFFSET($B293,-$B$2,0)))</f>
        <v>-3.2155185181181876E-14</v>
      </c>
      <c r="F293">
        <f t="shared" ref="F293:F356" ca="1" si="51">F292+$E293*COS($A293*$C$1)</f>
        <v>142.66582863561575</v>
      </c>
      <c r="G293">
        <f t="shared" ref="G293:G356" ca="1" si="52">G292+$E293*SIN($A293*$C$1)</f>
        <v>46.354937703099203</v>
      </c>
      <c r="H293">
        <f t="shared" ref="H293:H356" ca="1" si="53">IF(F293="","",SQRT(F293^2+G293^2))</f>
        <v>150.00772949999973</v>
      </c>
      <c r="I293">
        <f t="shared" ref="I293:I356" ca="1" si="54">IF(F293="","",ATAN2(G293,F293)*180/PI())</f>
        <v>72.000000000000341</v>
      </c>
    </row>
    <row r="294" spans="1:9" x14ac:dyDescent="0.25">
      <c r="A294">
        <f t="shared" si="46"/>
        <v>0.28300000000000003</v>
      </c>
      <c r="B294">
        <f t="shared" si="49"/>
        <v>171.62891027167214</v>
      </c>
      <c r="C294">
        <f t="shared" si="47"/>
        <v>0.58778525229246015</v>
      </c>
      <c r="D294">
        <f t="shared" si="48"/>
        <v>0.80901699437495689</v>
      </c>
      <c r="E294">
        <f t="shared" ca="1" si="50"/>
        <v>-5.8281273140892145E-14</v>
      </c>
      <c r="F294">
        <f t="shared" ca="1" si="51"/>
        <v>142.66582863561572</v>
      </c>
      <c r="G294">
        <f t="shared" ca="1" si="52"/>
        <v>46.354937703099154</v>
      </c>
      <c r="H294">
        <f t="shared" ca="1" si="53"/>
        <v>150.00772949999967</v>
      </c>
      <c r="I294">
        <f t="shared" ca="1" si="54"/>
        <v>72.000000000000355</v>
      </c>
    </row>
    <row r="295" spans="1:9" x14ac:dyDescent="0.25">
      <c r="A295">
        <f t="shared" si="46"/>
        <v>0.28400000000000003</v>
      </c>
      <c r="B295">
        <f t="shared" si="49"/>
        <v>124.69570234758733</v>
      </c>
      <c r="C295">
        <f t="shared" si="47"/>
        <v>0.30901699437494395</v>
      </c>
      <c r="D295">
        <f t="shared" si="48"/>
        <v>0.95105651629515464</v>
      </c>
      <c r="E295">
        <f t="shared" ca="1" si="50"/>
        <v>2.6126087959710274E-13</v>
      </c>
      <c r="F295">
        <f t="shared" ca="1" si="51"/>
        <v>142.66582863561581</v>
      </c>
      <c r="G295">
        <f t="shared" ca="1" si="52"/>
        <v>46.354937703099402</v>
      </c>
      <c r="H295">
        <f t="shared" ca="1" si="53"/>
        <v>150.00772949999984</v>
      </c>
      <c r="I295">
        <f t="shared" ca="1" si="54"/>
        <v>72.000000000000284</v>
      </c>
    </row>
    <row r="296" spans="1:9" x14ac:dyDescent="0.25">
      <c r="A296">
        <f t="shared" si="46"/>
        <v>0.28500000000000003</v>
      </c>
      <c r="B296">
        <f t="shared" si="49"/>
        <v>65.556410271670714</v>
      </c>
      <c r="C296">
        <f t="shared" si="47"/>
        <v>-5.3901111005116853E-15</v>
      </c>
      <c r="D296">
        <f t="shared" si="48"/>
        <v>1</v>
      </c>
      <c r="E296">
        <f t="shared" ca="1" si="50"/>
        <v>-9.8475254617369496E-14</v>
      </c>
      <c r="F296">
        <f t="shared" ca="1" si="51"/>
        <v>142.66582863561581</v>
      </c>
      <c r="G296">
        <f t="shared" ca="1" si="52"/>
        <v>46.354937703099303</v>
      </c>
      <c r="H296">
        <f t="shared" ca="1" si="53"/>
        <v>150.00772949999981</v>
      </c>
      <c r="I296">
        <f t="shared" ca="1" si="54"/>
        <v>72.000000000000313</v>
      </c>
    </row>
    <row r="297" spans="1:9" x14ac:dyDescent="0.25">
      <c r="A297">
        <f t="shared" si="46"/>
        <v>0.28600000000000003</v>
      </c>
      <c r="B297">
        <f t="shared" si="49"/>
        <v>4.600161397638747E-17</v>
      </c>
      <c r="C297">
        <f t="shared" si="47"/>
        <v>-0.30901699437495422</v>
      </c>
      <c r="D297">
        <f t="shared" si="48"/>
        <v>0.95105651629515131</v>
      </c>
      <c r="E297">
        <f t="shared" ca="1" si="50"/>
        <v>-1.0291126774366558E-13</v>
      </c>
      <c r="F297">
        <f t="shared" ca="1" si="51"/>
        <v>142.66582863561584</v>
      </c>
      <c r="G297">
        <f t="shared" ca="1" si="52"/>
        <v>46.354937703099203</v>
      </c>
      <c r="H297">
        <f t="shared" ca="1" si="53"/>
        <v>150.00772949999981</v>
      </c>
      <c r="I297">
        <f t="shared" ca="1" si="54"/>
        <v>72.000000000000355</v>
      </c>
    </row>
    <row r="298" spans="1:9" x14ac:dyDescent="0.25">
      <c r="A298">
        <f t="shared" si="46"/>
        <v>0.28700000000000003</v>
      </c>
      <c r="B298">
        <f t="shared" si="49"/>
        <v>-65.556410271676441</v>
      </c>
      <c r="C298">
        <f t="shared" si="47"/>
        <v>-0.58778525229248035</v>
      </c>
      <c r="D298">
        <f t="shared" si="48"/>
        <v>0.80901699437494223</v>
      </c>
      <c r="E298">
        <f t="shared" ca="1" si="50"/>
        <v>-9.7470405080457561E-14</v>
      </c>
      <c r="F298">
        <f t="shared" ca="1" si="51"/>
        <v>142.6658286356159</v>
      </c>
      <c r="G298">
        <f t="shared" ca="1" si="52"/>
        <v>46.354937703099125</v>
      </c>
      <c r="H298">
        <f t="shared" ca="1" si="53"/>
        <v>150.00772949999984</v>
      </c>
      <c r="I298">
        <f t="shared" ca="1" si="54"/>
        <v>72.000000000000384</v>
      </c>
    </row>
    <row r="299" spans="1:9" x14ac:dyDescent="0.25">
      <c r="A299">
        <f t="shared" si="46"/>
        <v>0.28800000000000003</v>
      </c>
      <c r="B299">
        <f t="shared" si="49"/>
        <v>-124.69570234758733</v>
      </c>
      <c r="C299">
        <f t="shared" si="47"/>
        <v>-0.80901699437495367</v>
      </c>
      <c r="D299">
        <f t="shared" si="48"/>
        <v>0.58778525229246448</v>
      </c>
      <c r="E299">
        <f t="shared" ca="1" si="50"/>
        <v>-8.3402511563690492E-14</v>
      </c>
      <c r="F299">
        <f t="shared" ca="1" si="51"/>
        <v>142.66582863561595</v>
      </c>
      <c r="G299">
        <f t="shared" ca="1" si="52"/>
        <v>46.354937703099075</v>
      </c>
      <c r="H299">
        <f t="shared" ca="1" si="53"/>
        <v>150.00772949999987</v>
      </c>
      <c r="I299">
        <f t="shared" ca="1" si="54"/>
        <v>72.000000000000412</v>
      </c>
    </row>
    <row r="300" spans="1:9" x14ac:dyDescent="0.25">
      <c r="A300">
        <f t="shared" si="46"/>
        <v>0.28899999999999998</v>
      </c>
      <c r="B300">
        <f t="shared" si="49"/>
        <v>-171.62891027167214</v>
      </c>
      <c r="C300">
        <f t="shared" si="47"/>
        <v>-0.95105651629515298</v>
      </c>
      <c r="D300">
        <f t="shared" si="48"/>
        <v>0.30901699437494912</v>
      </c>
      <c r="E300">
        <f t="shared" ca="1" si="50"/>
        <v>1.8891171293944352E-13</v>
      </c>
      <c r="F300">
        <f t="shared" ca="1" si="51"/>
        <v>142.66582863561578</v>
      </c>
      <c r="G300">
        <f t="shared" ca="1" si="52"/>
        <v>46.354937703099132</v>
      </c>
      <c r="H300">
        <f t="shared" ca="1" si="53"/>
        <v>150.00772949999973</v>
      </c>
      <c r="I300">
        <f t="shared" ca="1" si="54"/>
        <v>72.000000000000369</v>
      </c>
    </row>
    <row r="301" spans="1:9" x14ac:dyDescent="0.25">
      <c r="A301">
        <f t="shared" si="46"/>
        <v>0.28999999999999998</v>
      </c>
      <c r="B301">
        <f t="shared" si="49"/>
        <v>-201.76188464943581</v>
      </c>
      <c r="C301">
        <f t="shared" si="47"/>
        <v>-1</v>
      </c>
      <c r="D301">
        <f t="shared" si="48"/>
        <v>2.1684043449710089E-19</v>
      </c>
      <c r="E301">
        <f t="shared" ca="1" si="50"/>
        <v>-3.0145486107358007E-14</v>
      </c>
      <c r="F301">
        <f t="shared" ca="1" si="51"/>
        <v>142.66582863561581</v>
      </c>
      <c r="G301">
        <f t="shared" ca="1" si="52"/>
        <v>46.354937703099132</v>
      </c>
      <c r="H301">
        <f t="shared" ca="1" si="53"/>
        <v>150.00772949999975</v>
      </c>
      <c r="I301">
        <f t="shared" ca="1" si="54"/>
        <v>72.000000000000384</v>
      </c>
    </row>
    <row r="302" spans="1:9" x14ac:dyDescent="0.25">
      <c r="A302">
        <f t="shared" si="46"/>
        <v>0.29099999999999998</v>
      </c>
      <c r="B302">
        <f t="shared" si="49"/>
        <v>-212.14500000000001</v>
      </c>
      <c r="C302">
        <f t="shared" si="47"/>
        <v>-0.95105651629515742</v>
      </c>
      <c r="D302">
        <f t="shared" si="48"/>
        <v>-0.30901699437493557</v>
      </c>
      <c r="E302">
        <f t="shared" ca="1" si="50"/>
        <v>0</v>
      </c>
      <c r="F302">
        <f t="shared" ca="1" si="51"/>
        <v>142.66582863561581</v>
      </c>
      <c r="G302">
        <f t="shared" ca="1" si="52"/>
        <v>46.354937703099132</v>
      </c>
      <c r="H302">
        <f t="shared" ca="1" si="53"/>
        <v>150.00772949999975</v>
      </c>
      <c r="I302">
        <f t="shared" ca="1" si="54"/>
        <v>72.000000000000384</v>
      </c>
    </row>
    <row r="303" spans="1:9" x14ac:dyDescent="0.25">
      <c r="A303">
        <f t="shared" si="46"/>
        <v>0.29199999999999998</v>
      </c>
      <c r="B303">
        <f t="shared" si="49"/>
        <v>-201.76188464943652</v>
      </c>
      <c r="C303">
        <f t="shared" si="47"/>
        <v>-0.80901699437495367</v>
      </c>
      <c r="D303">
        <f t="shared" si="48"/>
        <v>-0.58778525229246448</v>
      </c>
      <c r="E303">
        <f t="shared" ca="1" si="50"/>
        <v>-9.8475254617369496E-14</v>
      </c>
      <c r="F303">
        <f t="shared" ca="1" si="51"/>
        <v>142.6658286356159</v>
      </c>
      <c r="G303">
        <f t="shared" ca="1" si="52"/>
        <v>46.354937703099189</v>
      </c>
      <c r="H303">
        <f t="shared" ca="1" si="53"/>
        <v>150.00772949999987</v>
      </c>
      <c r="I303">
        <f t="shared" ca="1" si="54"/>
        <v>72.000000000000369</v>
      </c>
    </row>
    <row r="304" spans="1:9" x14ac:dyDescent="0.25">
      <c r="A304">
        <f t="shared" si="46"/>
        <v>0.29299999999999998</v>
      </c>
      <c r="B304">
        <f t="shared" si="49"/>
        <v>-171.62891027167348</v>
      </c>
      <c r="C304">
        <f t="shared" si="47"/>
        <v>-0.58778525229248035</v>
      </c>
      <c r="D304">
        <f t="shared" si="48"/>
        <v>-0.80901699437494223</v>
      </c>
      <c r="E304">
        <f t="shared" ca="1" si="50"/>
        <v>-1.9092141201326738E-13</v>
      </c>
      <c r="F304">
        <f t="shared" ca="1" si="51"/>
        <v>142.66582863561601</v>
      </c>
      <c r="G304">
        <f t="shared" ca="1" si="52"/>
        <v>46.354937703099345</v>
      </c>
      <c r="H304">
        <f t="shared" ca="1" si="53"/>
        <v>150.00772950000001</v>
      </c>
      <c r="I304">
        <f t="shared" ca="1" si="54"/>
        <v>72.000000000000313</v>
      </c>
    </row>
    <row r="305" spans="1:9" x14ac:dyDescent="0.25">
      <c r="A305">
        <f t="shared" si="46"/>
        <v>0.29399999999999998</v>
      </c>
      <c r="B305">
        <f t="shared" si="49"/>
        <v>-124.69570234758918</v>
      </c>
      <c r="C305">
        <f t="shared" si="47"/>
        <v>-0.30901699437495422</v>
      </c>
      <c r="D305">
        <f t="shared" si="48"/>
        <v>-0.95105651629515131</v>
      </c>
      <c r="E305">
        <f t="shared" ca="1" si="50"/>
        <v>-2.6226572913401465E-13</v>
      </c>
      <c r="F305">
        <f t="shared" ca="1" si="51"/>
        <v>142.66582863561609</v>
      </c>
      <c r="G305">
        <f t="shared" ca="1" si="52"/>
        <v>46.354937703099594</v>
      </c>
      <c r="H305">
        <f t="shared" ca="1" si="53"/>
        <v>150.00772950000015</v>
      </c>
      <c r="I305">
        <f t="shared" ca="1" si="54"/>
        <v>72.000000000000242</v>
      </c>
    </row>
    <row r="306" spans="1:9" x14ac:dyDescent="0.25">
      <c r="A306">
        <f t="shared" si="46"/>
        <v>0.29499999999999998</v>
      </c>
      <c r="B306">
        <f t="shared" si="49"/>
        <v>-65.556410271672888</v>
      </c>
      <c r="C306">
        <f t="shared" si="47"/>
        <v>-5.3905447813806795E-15</v>
      </c>
      <c r="D306">
        <f t="shared" si="48"/>
        <v>-1</v>
      </c>
      <c r="E306">
        <f t="shared" ca="1" si="50"/>
        <v>9.8475254617369496E-14</v>
      </c>
      <c r="F306">
        <f t="shared" ca="1" si="51"/>
        <v>142.66582863561609</v>
      </c>
      <c r="G306">
        <f t="shared" ca="1" si="52"/>
        <v>46.354937703099495</v>
      </c>
      <c r="H306">
        <f t="shared" ca="1" si="53"/>
        <v>150.00772950000015</v>
      </c>
      <c r="I306">
        <f t="shared" ca="1" si="54"/>
        <v>72.000000000000284</v>
      </c>
    </row>
    <row r="307" spans="1:9" x14ac:dyDescent="0.25">
      <c r="A307">
        <f t="shared" si="46"/>
        <v>0.29599999999999999</v>
      </c>
      <c r="B307">
        <f t="shared" si="49"/>
        <v>-2.2871082436780324E-12</v>
      </c>
      <c r="C307">
        <f t="shared" si="47"/>
        <v>0.30901699437494395</v>
      </c>
      <c r="D307">
        <f t="shared" si="48"/>
        <v>-0.95105651629515464</v>
      </c>
      <c r="E307">
        <f t="shared" ca="1" si="50"/>
        <v>-3.2343634227269874E-13</v>
      </c>
      <c r="F307">
        <f t="shared" ca="1" si="51"/>
        <v>142.66582863561598</v>
      </c>
      <c r="G307">
        <f t="shared" ca="1" si="52"/>
        <v>46.3549377030998</v>
      </c>
      <c r="H307">
        <f t="shared" ca="1" si="53"/>
        <v>150.00772950000012</v>
      </c>
      <c r="I307">
        <f t="shared" ca="1" si="54"/>
        <v>72.000000000000156</v>
      </c>
    </row>
    <row r="308" spans="1:9" x14ac:dyDescent="0.25">
      <c r="A308">
        <f t="shared" si="46"/>
        <v>0.29699999999999999</v>
      </c>
      <c r="B308">
        <f t="shared" si="49"/>
        <v>65.556410271674267</v>
      </c>
      <c r="C308">
        <f t="shared" si="47"/>
        <v>0.58778525229247158</v>
      </c>
      <c r="D308">
        <f t="shared" si="48"/>
        <v>-0.80901699437494856</v>
      </c>
      <c r="E308">
        <f t="shared" ca="1" si="50"/>
        <v>9.7470405080457561E-14</v>
      </c>
      <c r="F308">
        <f t="shared" ca="1" si="51"/>
        <v>142.66582863561604</v>
      </c>
      <c r="G308">
        <f t="shared" ca="1" si="52"/>
        <v>46.354937703099722</v>
      </c>
      <c r="H308">
        <f t="shared" ca="1" si="53"/>
        <v>150.00772950000015</v>
      </c>
      <c r="I308">
        <f t="shared" ca="1" si="54"/>
        <v>72.000000000000185</v>
      </c>
    </row>
    <row r="309" spans="1:9" x14ac:dyDescent="0.25">
      <c r="A309">
        <f t="shared" si="46"/>
        <v>0.29799999999999999</v>
      </c>
      <c r="B309">
        <f t="shared" si="49"/>
        <v>124.69570234758547</v>
      </c>
      <c r="C309">
        <f t="shared" si="47"/>
        <v>0.80901699437494734</v>
      </c>
      <c r="D309">
        <f t="shared" si="48"/>
        <v>-0.58778525229247325</v>
      </c>
      <c r="E309">
        <f t="shared" ca="1" si="50"/>
        <v>-2.6226572913401465E-13</v>
      </c>
      <c r="F309">
        <f t="shared" ca="1" si="51"/>
        <v>142.66582863561584</v>
      </c>
      <c r="G309">
        <f t="shared" ca="1" si="52"/>
        <v>46.354937703099878</v>
      </c>
      <c r="H309">
        <f t="shared" ca="1" si="53"/>
        <v>150.00772950000001</v>
      </c>
      <c r="I309">
        <f t="shared" ca="1" si="54"/>
        <v>72.000000000000099</v>
      </c>
    </row>
    <row r="310" spans="1:9" x14ac:dyDescent="0.25">
      <c r="A310">
        <f t="shared" si="46"/>
        <v>0.29899999999999999</v>
      </c>
      <c r="B310">
        <f t="shared" si="49"/>
        <v>171.62891027167433</v>
      </c>
      <c r="C310">
        <f t="shared" si="47"/>
        <v>0.95105651629515409</v>
      </c>
      <c r="D310">
        <f t="shared" si="48"/>
        <v>-0.30901699437494584</v>
      </c>
      <c r="E310">
        <f t="shared" ca="1" si="50"/>
        <v>6.0290972214716014E-14</v>
      </c>
      <c r="F310">
        <f t="shared" ca="1" si="51"/>
        <v>142.6658286356159</v>
      </c>
      <c r="G310">
        <f t="shared" ca="1" si="52"/>
        <v>46.354937703099857</v>
      </c>
      <c r="H310">
        <f t="shared" ca="1" si="53"/>
        <v>150.00772950000007</v>
      </c>
      <c r="I310">
        <f t="shared" ca="1" si="54"/>
        <v>72.000000000000128</v>
      </c>
    </row>
    <row r="311" spans="1:9" x14ac:dyDescent="0.25">
      <c r="A311">
        <f t="shared" si="46"/>
        <v>0.3</v>
      </c>
      <c r="B311">
        <f t="shared" si="49"/>
        <v>201.76188464943513</v>
      </c>
      <c r="C311">
        <f t="shared" si="47"/>
        <v>1</v>
      </c>
      <c r="D311">
        <f t="shared" si="48"/>
        <v>3.4299819928751418E-15</v>
      </c>
      <c r="E311">
        <f t="shared" ca="1" si="50"/>
        <v>-9.8475254617369496E-14</v>
      </c>
      <c r="F311">
        <f t="shared" ca="1" si="51"/>
        <v>142.66582863561581</v>
      </c>
      <c r="G311">
        <f t="shared" ca="1" si="52"/>
        <v>46.354937703099857</v>
      </c>
      <c r="H311">
        <f t="shared" ca="1" si="53"/>
        <v>150.00772949999998</v>
      </c>
      <c r="I311">
        <f t="shared" ca="1" si="54"/>
        <v>72.000000000000114</v>
      </c>
    </row>
    <row r="312" spans="1:9" x14ac:dyDescent="0.25">
      <c r="A312">
        <f t="shared" si="46"/>
        <v>0.30099999999999999</v>
      </c>
      <c r="B312">
        <f t="shared" si="49"/>
        <v>212.14500000000001</v>
      </c>
      <c r="C312">
        <f t="shared" si="47"/>
        <v>0.95105651629515631</v>
      </c>
      <c r="D312">
        <f t="shared" si="48"/>
        <v>0.30901699437493885</v>
      </c>
      <c r="E312">
        <f t="shared" ca="1" si="50"/>
        <v>0</v>
      </c>
      <c r="F312">
        <f t="shared" ca="1" si="51"/>
        <v>142.66582863561581</v>
      </c>
      <c r="G312">
        <f t="shared" ca="1" si="52"/>
        <v>46.354937703099857</v>
      </c>
      <c r="H312">
        <f t="shared" ca="1" si="53"/>
        <v>150.00772949999998</v>
      </c>
      <c r="I312">
        <f t="shared" ca="1" si="54"/>
        <v>72.000000000000114</v>
      </c>
    </row>
    <row r="313" spans="1:9" x14ac:dyDescent="0.25">
      <c r="A313">
        <f t="shared" si="46"/>
        <v>0.30199999999999999</v>
      </c>
      <c r="B313">
        <f t="shared" si="49"/>
        <v>201.76188464943539</v>
      </c>
      <c r="C313">
        <f t="shared" si="47"/>
        <v>0.80901699437495167</v>
      </c>
      <c r="D313">
        <f t="shared" si="48"/>
        <v>0.58778525229246725</v>
      </c>
      <c r="E313">
        <f t="shared" ca="1" si="50"/>
        <v>1.0048495369119336E-13</v>
      </c>
      <c r="F313">
        <f t="shared" ca="1" si="51"/>
        <v>142.6658286356159</v>
      </c>
      <c r="G313">
        <f t="shared" ca="1" si="52"/>
        <v>46.354937703099914</v>
      </c>
      <c r="H313">
        <f t="shared" ca="1" si="53"/>
        <v>150.0077295000001</v>
      </c>
      <c r="I313">
        <f t="shared" ca="1" si="54"/>
        <v>72.000000000000099</v>
      </c>
    </row>
    <row r="314" spans="1:9" x14ac:dyDescent="0.25">
      <c r="A314">
        <f t="shared" si="46"/>
        <v>0.30299999999999999</v>
      </c>
      <c r="B314">
        <f t="shared" si="49"/>
        <v>171.62891027167481</v>
      </c>
      <c r="C314">
        <f t="shared" si="47"/>
        <v>0.58778525229247758</v>
      </c>
      <c r="D314">
        <f t="shared" si="48"/>
        <v>0.80901699437494423</v>
      </c>
      <c r="E314">
        <f t="shared" ca="1" si="50"/>
        <v>1.8891171293944352E-13</v>
      </c>
      <c r="F314">
        <f t="shared" ca="1" si="51"/>
        <v>142.66582863561601</v>
      </c>
      <c r="G314">
        <f t="shared" ca="1" si="52"/>
        <v>46.35493770310007</v>
      </c>
      <c r="H314">
        <f t="shared" ca="1" si="53"/>
        <v>150.00772950000024</v>
      </c>
      <c r="I314">
        <f t="shared" ca="1" si="54"/>
        <v>72.000000000000057</v>
      </c>
    </row>
    <row r="315" spans="1:9" x14ac:dyDescent="0.25">
      <c r="A315">
        <f t="shared" si="46"/>
        <v>0.30399999999999999</v>
      </c>
      <c r="B315">
        <f t="shared" si="49"/>
        <v>124.69570234758615</v>
      </c>
      <c r="C315">
        <f t="shared" si="47"/>
        <v>0.30901699437495095</v>
      </c>
      <c r="D315">
        <f t="shared" si="48"/>
        <v>0.95105651629515242</v>
      </c>
      <c r="E315">
        <f t="shared" ca="1" si="50"/>
        <v>-8.3402511563690492E-14</v>
      </c>
      <c r="F315">
        <f t="shared" ca="1" si="51"/>
        <v>142.66582863561598</v>
      </c>
      <c r="G315">
        <f t="shared" ca="1" si="52"/>
        <v>46.354937703099992</v>
      </c>
      <c r="H315">
        <f t="shared" ca="1" si="53"/>
        <v>150.00772950000018</v>
      </c>
      <c r="I315">
        <f t="shared" ca="1" si="54"/>
        <v>72.000000000000085</v>
      </c>
    </row>
    <row r="316" spans="1:9" x14ac:dyDescent="0.25">
      <c r="A316">
        <f t="shared" si="46"/>
        <v>0.30499999999999999</v>
      </c>
      <c r="B316">
        <f t="shared" si="49"/>
        <v>65.556410271675063</v>
      </c>
      <c r="C316">
        <f t="shared" si="47"/>
        <v>1.9603459480710406E-15</v>
      </c>
      <c r="D316">
        <f t="shared" si="48"/>
        <v>1</v>
      </c>
      <c r="E316">
        <f t="shared" ca="1" si="50"/>
        <v>3.0748395829505167E-13</v>
      </c>
      <c r="F316">
        <f t="shared" ca="1" si="51"/>
        <v>142.66582863561598</v>
      </c>
      <c r="G316">
        <f t="shared" ca="1" si="52"/>
        <v>46.354937703100298</v>
      </c>
      <c r="H316">
        <f t="shared" ca="1" si="53"/>
        <v>150.00772950000027</v>
      </c>
      <c r="I316">
        <f t="shared" ca="1" si="54"/>
        <v>71.999999999999972</v>
      </c>
    </row>
    <row r="317" spans="1:9" x14ac:dyDescent="0.25">
      <c r="A317">
        <f t="shared" si="46"/>
        <v>0.30599999999999999</v>
      </c>
      <c r="B317">
        <f t="shared" si="49"/>
        <v>-1.4553530613709704E-12</v>
      </c>
      <c r="C317">
        <f t="shared" si="47"/>
        <v>-0.30901699437494723</v>
      </c>
      <c r="D317">
        <f t="shared" si="48"/>
        <v>0.95105651629515364</v>
      </c>
      <c r="E317">
        <f t="shared" ca="1" si="50"/>
        <v>-1.0291126774366557E-13</v>
      </c>
      <c r="F317">
        <f t="shared" ca="1" si="51"/>
        <v>142.66582863561601</v>
      </c>
      <c r="G317">
        <f t="shared" ca="1" si="52"/>
        <v>46.354937703100198</v>
      </c>
      <c r="H317">
        <f t="shared" ca="1" si="53"/>
        <v>150.00772950000027</v>
      </c>
      <c r="I317">
        <f t="shared" ca="1" si="54"/>
        <v>72.000000000000014</v>
      </c>
    </row>
    <row r="318" spans="1:9" x14ac:dyDescent="0.25">
      <c r="A318">
        <f t="shared" si="46"/>
        <v>0.307</v>
      </c>
      <c r="B318">
        <f t="shared" si="49"/>
        <v>-65.556410271672107</v>
      </c>
      <c r="C318">
        <f t="shared" si="47"/>
        <v>-0.58778525229247436</v>
      </c>
      <c r="D318">
        <f t="shared" si="48"/>
        <v>0.80901699437494645</v>
      </c>
      <c r="E318">
        <f t="shared" ca="1" si="50"/>
        <v>3.0647910875813977E-13</v>
      </c>
      <c r="F318">
        <f t="shared" ca="1" si="51"/>
        <v>142.66582863561584</v>
      </c>
      <c r="G318">
        <f t="shared" ca="1" si="52"/>
        <v>46.354937703100447</v>
      </c>
      <c r="H318">
        <f t="shared" ca="1" si="53"/>
        <v>150.00772950000018</v>
      </c>
      <c r="I318">
        <f t="shared" ca="1" si="54"/>
        <v>71.999999999999901</v>
      </c>
    </row>
    <row r="319" spans="1:9" x14ac:dyDescent="0.25">
      <c r="A319">
        <f t="shared" si="46"/>
        <v>0.308</v>
      </c>
      <c r="B319">
        <f t="shared" si="49"/>
        <v>-124.69570234758851</v>
      </c>
      <c r="C319">
        <f t="shared" si="47"/>
        <v>-0.80901699437494934</v>
      </c>
      <c r="D319">
        <f t="shared" si="48"/>
        <v>0.58778525229247047</v>
      </c>
      <c r="E319">
        <f t="shared" ca="1" si="50"/>
        <v>-8.3402511563690492E-14</v>
      </c>
      <c r="F319">
        <f t="shared" ca="1" si="51"/>
        <v>142.6658286356159</v>
      </c>
      <c r="G319">
        <f t="shared" ca="1" si="52"/>
        <v>46.354937703100397</v>
      </c>
      <c r="H319">
        <f t="shared" ca="1" si="53"/>
        <v>150.00772950000024</v>
      </c>
      <c r="I319">
        <f t="shared" ca="1" si="54"/>
        <v>71.999999999999929</v>
      </c>
    </row>
    <row r="320" spans="1:9" x14ac:dyDescent="0.25">
      <c r="A320">
        <f t="shared" si="46"/>
        <v>0.309</v>
      </c>
      <c r="B320">
        <f t="shared" si="49"/>
        <v>-171.62891027167296</v>
      </c>
      <c r="C320">
        <f t="shared" si="47"/>
        <v>-0.9510565162951552</v>
      </c>
      <c r="D320">
        <f t="shared" si="48"/>
        <v>0.30901699437494257</v>
      </c>
      <c r="E320">
        <f t="shared" ca="1" si="50"/>
        <v>-5.8281273140892145E-14</v>
      </c>
      <c r="F320">
        <f t="shared" ca="1" si="51"/>
        <v>142.66582863561595</v>
      </c>
      <c r="G320">
        <f t="shared" ca="1" si="52"/>
        <v>46.354937703100376</v>
      </c>
      <c r="H320">
        <f t="shared" ca="1" si="53"/>
        <v>150.00772950000027</v>
      </c>
      <c r="I320">
        <f t="shared" ca="1" si="54"/>
        <v>71.999999999999943</v>
      </c>
    </row>
    <row r="321" spans="1:9" x14ac:dyDescent="0.25">
      <c r="A321">
        <f t="shared" si="46"/>
        <v>0.31</v>
      </c>
      <c r="B321">
        <f t="shared" si="49"/>
        <v>-201.76188464943627</v>
      </c>
      <c r="C321">
        <f t="shared" si="47"/>
        <v>-1</v>
      </c>
      <c r="D321">
        <f t="shared" si="48"/>
        <v>-6.8601808261847808E-15</v>
      </c>
      <c r="E321">
        <f t="shared" ca="1" si="50"/>
        <v>-3.2155185181181876E-14</v>
      </c>
      <c r="F321">
        <f t="shared" ca="1" si="51"/>
        <v>142.66582863561598</v>
      </c>
      <c r="G321">
        <f t="shared" ca="1" si="52"/>
        <v>46.354937703100376</v>
      </c>
      <c r="H321">
        <f t="shared" ca="1" si="53"/>
        <v>150.00772950000029</v>
      </c>
      <c r="I321">
        <f t="shared" ca="1" si="54"/>
        <v>71.999999999999943</v>
      </c>
    </row>
    <row r="322" spans="1:9" x14ac:dyDescent="0.25">
      <c r="A322">
        <f t="shared" si="46"/>
        <v>0.311</v>
      </c>
      <c r="B322">
        <f t="shared" si="49"/>
        <v>-212.14500000000001</v>
      </c>
      <c r="C322">
        <f t="shared" si="47"/>
        <v>-0.95105651629515531</v>
      </c>
      <c r="D322">
        <f t="shared" si="48"/>
        <v>-0.30901699437494212</v>
      </c>
      <c r="E322">
        <f t="shared" ca="1" si="50"/>
        <v>0</v>
      </c>
      <c r="F322">
        <f t="shared" ca="1" si="51"/>
        <v>142.66582863561598</v>
      </c>
      <c r="G322">
        <f t="shared" ca="1" si="52"/>
        <v>46.354937703100376</v>
      </c>
      <c r="H322">
        <f t="shared" ca="1" si="53"/>
        <v>150.00772950000029</v>
      </c>
      <c r="I322">
        <f t="shared" ca="1" si="54"/>
        <v>71.999999999999943</v>
      </c>
    </row>
    <row r="323" spans="1:9" x14ac:dyDescent="0.25">
      <c r="A323">
        <f t="shared" si="46"/>
        <v>0.312</v>
      </c>
      <c r="B323">
        <f t="shared" si="49"/>
        <v>-201.7618846494361</v>
      </c>
      <c r="C323">
        <f t="shared" si="47"/>
        <v>-0.80901699437494967</v>
      </c>
      <c r="D323">
        <f t="shared" si="48"/>
        <v>-0.58778525229247003</v>
      </c>
      <c r="E323">
        <f t="shared" ca="1" si="50"/>
        <v>3.0145486107358007E-14</v>
      </c>
      <c r="F323">
        <f t="shared" ca="1" si="51"/>
        <v>142.66582863561595</v>
      </c>
      <c r="G323">
        <f t="shared" ca="1" si="52"/>
        <v>46.354937703100362</v>
      </c>
      <c r="H323">
        <f t="shared" ca="1" si="53"/>
        <v>150.00772950000027</v>
      </c>
      <c r="I323">
        <f t="shared" ca="1" si="54"/>
        <v>71.999999999999943</v>
      </c>
    </row>
    <row r="324" spans="1:9" x14ac:dyDescent="0.25">
      <c r="A324">
        <f t="shared" si="46"/>
        <v>0.313</v>
      </c>
      <c r="B324">
        <f t="shared" si="49"/>
        <v>-171.62891027167259</v>
      </c>
      <c r="C324">
        <f t="shared" si="47"/>
        <v>-0.5877852522924748</v>
      </c>
      <c r="D324">
        <f t="shared" si="48"/>
        <v>-0.80901699437494623</v>
      </c>
      <c r="E324">
        <f t="shared" ca="1" si="50"/>
        <v>6.2300671288539882E-14</v>
      </c>
      <c r="F324">
        <f t="shared" ca="1" si="51"/>
        <v>142.66582863561592</v>
      </c>
      <c r="G324">
        <f t="shared" ca="1" si="52"/>
        <v>46.354937703100312</v>
      </c>
      <c r="H324">
        <f t="shared" ca="1" si="53"/>
        <v>150.00772950000024</v>
      </c>
      <c r="I324">
        <f t="shared" ca="1" si="54"/>
        <v>71.999999999999957</v>
      </c>
    </row>
    <row r="325" spans="1:9" x14ac:dyDescent="0.25">
      <c r="A325">
        <f t="shared" si="46"/>
        <v>0.314</v>
      </c>
      <c r="B325">
        <f t="shared" si="49"/>
        <v>-124.695702347588</v>
      </c>
      <c r="C325">
        <f t="shared" si="47"/>
        <v>-0.30901699437494773</v>
      </c>
      <c r="D325">
        <f t="shared" si="48"/>
        <v>-0.95105651629515353</v>
      </c>
      <c r="E325">
        <f t="shared" ca="1" si="50"/>
        <v>8.3402511563690492E-14</v>
      </c>
      <c r="F325">
        <f t="shared" ca="1" si="51"/>
        <v>142.6658286356159</v>
      </c>
      <c r="G325">
        <f t="shared" ca="1" si="52"/>
        <v>46.354937703100234</v>
      </c>
      <c r="H325">
        <f t="shared" ca="1" si="53"/>
        <v>150.00772950000018</v>
      </c>
      <c r="I325">
        <f t="shared" ca="1" si="54"/>
        <v>71.999999999999986</v>
      </c>
    </row>
    <row r="326" spans="1:9" x14ac:dyDescent="0.25">
      <c r="A326">
        <f t="shared" si="46"/>
        <v>0.315</v>
      </c>
      <c r="B326">
        <f t="shared" si="49"/>
        <v>-65.556410271671496</v>
      </c>
      <c r="C326">
        <f t="shared" si="47"/>
        <v>1.4698528852385984E-15</v>
      </c>
      <c r="D326">
        <f t="shared" si="48"/>
        <v>-1</v>
      </c>
      <c r="E326">
        <f t="shared" ca="1" si="50"/>
        <v>9.8475254617369496E-14</v>
      </c>
      <c r="F326">
        <f t="shared" ca="1" si="51"/>
        <v>142.6658286356159</v>
      </c>
      <c r="G326">
        <f t="shared" ca="1" si="52"/>
        <v>46.354937703100134</v>
      </c>
      <c r="H326">
        <f t="shared" ca="1" si="53"/>
        <v>150.00772950000015</v>
      </c>
      <c r="I326">
        <f t="shared" ca="1" si="54"/>
        <v>72.000000000000028</v>
      </c>
    </row>
    <row r="327" spans="1:9" x14ac:dyDescent="0.25">
      <c r="A327">
        <f t="shared" si="46"/>
        <v>0.316</v>
      </c>
      <c r="B327">
        <f t="shared" si="49"/>
        <v>-8.3170918069308543E-13</v>
      </c>
      <c r="C327">
        <f t="shared" si="47"/>
        <v>0.3090169943749505</v>
      </c>
      <c r="D327">
        <f t="shared" si="48"/>
        <v>-0.95105651629515253</v>
      </c>
      <c r="E327">
        <f t="shared" ca="1" si="50"/>
        <v>1.0291126774366561E-13</v>
      </c>
      <c r="F327">
        <f t="shared" ca="1" si="51"/>
        <v>142.66582863561592</v>
      </c>
      <c r="G327">
        <f t="shared" ca="1" si="52"/>
        <v>46.354937703100035</v>
      </c>
      <c r="H327">
        <f t="shared" ca="1" si="53"/>
        <v>150.00772950000015</v>
      </c>
      <c r="I327">
        <f t="shared" ca="1" si="54"/>
        <v>72.000000000000057</v>
      </c>
    </row>
    <row r="328" spans="1:9" x14ac:dyDescent="0.25">
      <c r="A328">
        <f t="shared" si="46"/>
        <v>0.317</v>
      </c>
      <c r="B328">
        <f t="shared" si="49"/>
        <v>65.556410271675659</v>
      </c>
      <c r="C328">
        <f t="shared" si="47"/>
        <v>0.58778525229247713</v>
      </c>
      <c r="D328">
        <f t="shared" si="48"/>
        <v>-0.80901699437494445</v>
      </c>
      <c r="E328">
        <f t="shared" ca="1" si="50"/>
        <v>9.8475254617369496E-14</v>
      </c>
      <c r="F328">
        <f t="shared" ca="1" si="51"/>
        <v>142.66582863561598</v>
      </c>
      <c r="G328">
        <f t="shared" ca="1" si="52"/>
        <v>46.354937703099957</v>
      </c>
      <c r="H328">
        <f t="shared" ca="1" si="53"/>
        <v>150.00772950000018</v>
      </c>
      <c r="I328">
        <f t="shared" ca="1" si="54"/>
        <v>72.000000000000099</v>
      </c>
    </row>
    <row r="329" spans="1:9" x14ac:dyDescent="0.25">
      <c r="A329">
        <f t="shared" si="46"/>
        <v>0.318</v>
      </c>
      <c r="B329">
        <f t="shared" si="49"/>
        <v>124.69570234758665</v>
      </c>
      <c r="C329">
        <f t="shared" si="47"/>
        <v>0.80901699437495145</v>
      </c>
      <c r="D329">
        <f t="shared" si="48"/>
        <v>-0.5877852522924677</v>
      </c>
      <c r="E329">
        <f t="shared" ca="1" si="50"/>
        <v>8.3402511563690492E-14</v>
      </c>
      <c r="F329">
        <f t="shared" ca="1" si="51"/>
        <v>142.66582863561604</v>
      </c>
      <c r="G329">
        <f t="shared" ca="1" si="52"/>
        <v>46.354937703099907</v>
      </c>
      <c r="H329">
        <f t="shared" ca="1" si="53"/>
        <v>150.00772950000021</v>
      </c>
      <c r="I329">
        <f t="shared" ca="1" si="54"/>
        <v>72.000000000000114</v>
      </c>
    </row>
    <row r="330" spans="1:9" x14ac:dyDescent="0.25">
      <c r="A330">
        <f t="shared" si="46"/>
        <v>0.31900000000000001</v>
      </c>
      <c r="B330">
        <f t="shared" si="49"/>
        <v>171.62891027167515</v>
      </c>
      <c r="C330">
        <f t="shared" si="47"/>
        <v>0.9510565162951562</v>
      </c>
      <c r="D330">
        <f t="shared" si="48"/>
        <v>-0.30901699437493929</v>
      </c>
      <c r="E330">
        <f t="shared" ca="1" si="50"/>
        <v>5.8281273140892145E-14</v>
      </c>
      <c r="F330">
        <f t="shared" ca="1" si="51"/>
        <v>142.66582863561609</v>
      </c>
      <c r="G330">
        <f t="shared" ca="1" si="52"/>
        <v>46.354937703099885</v>
      </c>
      <c r="H330">
        <f t="shared" ca="1" si="53"/>
        <v>150.00772950000027</v>
      </c>
      <c r="I330">
        <f t="shared" ca="1" si="54"/>
        <v>72.000000000000142</v>
      </c>
    </row>
    <row r="331" spans="1:9" x14ac:dyDescent="0.25">
      <c r="A331">
        <f t="shared" si="46"/>
        <v>0.32</v>
      </c>
      <c r="B331">
        <f t="shared" si="49"/>
        <v>201.76188464943556</v>
      </c>
      <c r="C331">
        <f t="shared" si="47"/>
        <v>1</v>
      </c>
      <c r="D331">
        <f t="shared" si="48"/>
        <v>-3.920475055707584E-15</v>
      </c>
      <c r="E331">
        <f t="shared" ca="1" si="50"/>
        <v>3.0145486107358007E-14</v>
      </c>
      <c r="F331">
        <f t="shared" ca="1" si="51"/>
        <v>142.66582863561612</v>
      </c>
      <c r="G331">
        <f t="shared" ca="1" si="52"/>
        <v>46.354937703099885</v>
      </c>
      <c r="H331">
        <f t="shared" ca="1" si="53"/>
        <v>150.00772950000029</v>
      </c>
      <c r="I331">
        <f t="shared" ca="1" si="54"/>
        <v>72.000000000000142</v>
      </c>
    </row>
    <row r="332" spans="1:9" x14ac:dyDescent="0.25">
      <c r="A332">
        <f t="shared" ref="A332:A395" si="55">(ROW($A332)-ROW($A$11))*$B$4+$B$5</f>
        <v>0.32100000000000001</v>
      </c>
      <c r="B332">
        <f t="shared" si="49"/>
        <v>212.14500000000001</v>
      </c>
      <c r="C332">
        <f t="shared" ref="C332:C395" si="56">COS($A332*$C$1)</f>
        <v>0.9510565162951542</v>
      </c>
      <c r="D332">
        <f t="shared" ref="D332:D395" si="57">SIN($A332*$C$1)</f>
        <v>0.3090169943749454</v>
      </c>
      <c r="E332">
        <f t="shared" ca="1" si="50"/>
        <v>0</v>
      </c>
      <c r="F332">
        <f t="shared" ca="1" si="51"/>
        <v>142.66582863561612</v>
      </c>
      <c r="G332">
        <f t="shared" ca="1" si="52"/>
        <v>46.354937703099885</v>
      </c>
      <c r="H332">
        <f t="shared" ca="1" si="53"/>
        <v>150.00772950000029</v>
      </c>
      <c r="I332">
        <f t="shared" ca="1" si="54"/>
        <v>72.000000000000142</v>
      </c>
    </row>
    <row r="333" spans="1:9" x14ac:dyDescent="0.25">
      <c r="A333">
        <f t="shared" si="55"/>
        <v>0.32200000000000001</v>
      </c>
      <c r="B333">
        <f t="shared" si="49"/>
        <v>201.76188464943493</v>
      </c>
      <c r="C333">
        <f t="shared" si="56"/>
        <v>0.80901699437494767</v>
      </c>
      <c r="D333">
        <f t="shared" si="57"/>
        <v>0.5877852522924728</v>
      </c>
      <c r="E333">
        <f t="shared" ca="1" si="50"/>
        <v>-3.2155185181181876E-14</v>
      </c>
      <c r="F333">
        <f t="shared" ca="1" si="51"/>
        <v>142.66582863561609</v>
      </c>
      <c r="G333">
        <f t="shared" ca="1" si="52"/>
        <v>46.354937703099864</v>
      </c>
      <c r="H333">
        <f t="shared" ca="1" si="53"/>
        <v>150.00772950000024</v>
      </c>
      <c r="I333">
        <f t="shared" ca="1" si="54"/>
        <v>72.000000000000142</v>
      </c>
    </row>
    <row r="334" spans="1:9" x14ac:dyDescent="0.25">
      <c r="A334">
        <f t="shared" si="55"/>
        <v>0.32300000000000001</v>
      </c>
      <c r="B334">
        <f t="shared" si="49"/>
        <v>171.62891027167393</v>
      </c>
      <c r="C334">
        <f t="shared" si="56"/>
        <v>0.58778525229247203</v>
      </c>
      <c r="D334">
        <f t="shared" si="57"/>
        <v>0.80901699437494823</v>
      </c>
      <c r="E334">
        <f t="shared" ca="1" si="50"/>
        <v>-6.2300671288539882E-14</v>
      </c>
      <c r="F334">
        <f t="shared" ca="1" si="51"/>
        <v>142.66582863561607</v>
      </c>
      <c r="G334">
        <f t="shared" ca="1" si="52"/>
        <v>46.354937703099814</v>
      </c>
      <c r="H334">
        <f t="shared" ca="1" si="53"/>
        <v>150.00772950000021</v>
      </c>
      <c r="I334">
        <f t="shared" ca="1" si="54"/>
        <v>72.000000000000156</v>
      </c>
    </row>
    <row r="335" spans="1:9" x14ac:dyDescent="0.25">
      <c r="A335">
        <f t="shared" si="55"/>
        <v>0.32400000000000001</v>
      </c>
      <c r="B335">
        <f t="shared" si="49"/>
        <v>124.69570234758498</v>
      </c>
      <c r="C335">
        <f t="shared" si="56"/>
        <v>0.30901699437494445</v>
      </c>
      <c r="D335">
        <f t="shared" si="57"/>
        <v>0.95105651629515453</v>
      </c>
      <c r="E335">
        <f t="shared" ca="1" si="50"/>
        <v>-8.2397662026778558E-14</v>
      </c>
      <c r="F335">
        <f t="shared" ca="1" si="51"/>
        <v>142.66582863561604</v>
      </c>
      <c r="G335">
        <f t="shared" ca="1" si="52"/>
        <v>46.354937703099736</v>
      </c>
      <c r="H335">
        <f t="shared" ca="1" si="53"/>
        <v>150.00772950000015</v>
      </c>
      <c r="I335">
        <f t="shared" ca="1" si="54"/>
        <v>72.000000000000185</v>
      </c>
    </row>
    <row r="336" spans="1:9" x14ac:dyDescent="0.25">
      <c r="A336">
        <f t="shared" si="55"/>
        <v>0.32500000000000001</v>
      </c>
      <c r="B336">
        <f t="shared" si="49"/>
        <v>65.556410271673684</v>
      </c>
      <c r="C336">
        <f t="shared" si="56"/>
        <v>-4.9000517185482373E-15</v>
      </c>
      <c r="D336">
        <f t="shared" si="57"/>
        <v>1</v>
      </c>
      <c r="E336">
        <f t="shared" ca="1" si="50"/>
        <v>-9.7470405080457561E-14</v>
      </c>
      <c r="F336">
        <f t="shared" ca="1" si="51"/>
        <v>142.66582863561604</v>
      </c>
      <c r="G336">
        <f t="shared" ca="1" si="52"/>
        <v>46.354937703099637</v>
      </c>
      <c r="H336">
        <f t="shared" ca="1" si="53"/>
        <v>150.00772950000015</v>
      </c>
      <c r="I336">
        <f t="shared" ca="1" si="54"/>
        <v>72.000000000000213</v>
      </c>
    </row>
    <row r="337" spans="1:9" x14ac:dyDescent="0.25">
      <c r="A337">
        <f t="shared" si="55"/>
        <v>0.32600000000000001</v>
      </c>
      <c r="B337">
        <f t="shared" si="49"/>
        <v>-2.910752124355917E-12</v>
      </c>
      <c r="C337">
        <f t="shared" si="56"/>
        <v>-0.30901699437495378</v>
      </c>
      <c r="D337">
        <f t="shared" si="57"/>
        <v>0.95105651629515153</v>
      </c>
      <c r="E337">
        <f t="shared" ca="1" si="50"/>
        <v>-1.0291126774366557E-13</v>
      </c>
      <c r="F337">
        <f t="shared" ca="1" si="51"/>
        <v>142.66582863561607</v>
      </c>
      <c r="G337">
        <f t="shared" ca="1" si="52"/>
        <v>46.354937703099537</v>
      </c>
      <c r="H337">
        <f t="shared" ca="1" si="53"/>
        <v>150.00772950000012</v>
      </c>
      <c r="I337">
        <f t="shared" ca="1" si="54"/>
        <v>72.000000000000256</v>
      </c>
    </row>
    <row r="338" spans="1:9" x14ac:dyDescent="0.25">
      <c r="A338">
        <f t="shared" si="55"/>
        <v>0.32700000000000001</v>
      </c>
      <c r="B338">
        <f t="shared" si="49"/>
        <v>-65.556410271673471</v>
      </c>
      <c r="C338">
        <f t="shared" si="56"/>
        <v>-0.58778525229247991</v>
      </c>
      <c r="D338">
        <f t="shared" si="57"/>
        <v>0.80901699437494246</v>
      </c>
      <c r="E338">
        <f t="shared" ca="1" si="50"/>
        <v>-9.6465555543545627E-14</v>
      </c>
      <c r="F338">
        <f t="shared" ca="1" si="51"/>
        <v>142.66582863561612</v>
      </c>
      <c r="G338">
        <f t="shared" ca="1" si="52"/>
        <v>46.354937703099459</v>
      </c>
      <c r="H338">
        <f t="shared" ca="1" si="53"/>
        <v>150.00772950000015</v>
      </c>
      <c r="I338">
        <f t="shared" ca="1" si="54"/>
        <v>72.000000000000284</v>
      </c>
    </row>
    <row r="339" spans="1:9" x14ac:dyDescent="0.25">
      <c r="A339">
        <f t="shared" si="55"/>
        <v>0.32800000000000001</v>
      </c>
      <c r="B339">
        <f t="shared" si="49"/>
        <v>-124.69570234758969</v>
      </c>
      <c r="C339">
        <f t="shared" si="56"/>
        <v>-0.80901699437495345</v>
      </c>
      <c r="D339">
        <f t="shared" si="57"/>
        <v>0.58778525229246492</v>
      </c>
      <c r="E339">
        <f t="shared" ca="1" si="50"/>
        <v>-8.3402511563690492E-14</v>
      </c>
      <c r="F339">
        <f t="shared" ca="1" si="51"/>
        <v>142.66582863561618</v>
      </c>
      <c r="G339">
        <f t="shared" ca="1" si="52"/>
        <v>46.354937703099409</v>
      </c>
      <c r="H339">
        <f t="shared" ca="1" si="53"/>
        <v>150.00772950000021</v>
      </c>
      <c r="I339">
        <f t="shared" ca="1" si="54"/>
        <v>72.000000000000313</v>
      </c>
    </row>
    <row r="340" spans="1:9" x14ac:dyDescent="0.25">
      <c r="A340">
        <f t="shared" si="55"/>
        <v>0.32900000000000001</v>
      </c>
      <c r="B340">
        <f t="shared" si="49"/>
        <v>-171.62891027167382</v>
      </c>
      <c r="C340">
        <f t="shared" si="56"/>
        <v>-0.95105651629515731</v>
      </c>
      <c r="D340">
        <f t="shared" si="57"/>
        <v>0.30901699437493607</v>
      </c>
      <c r="E340">
        <f t="shared" ca="1" si="50"/>
        <v>-6.0290972214716014E-14</v>
      </c>
      <c r="F340">
        <f t="shared" ca="1" si="51"/>
        <v>142.66582863561624</v>
      </c>
      <c r="G340">
        <f t="shared" ca="1" si="52"/>
        <v>46.354937703099388</v>
      </c>
      <c r="H340">
        <f t="shared" ca="1" si="53"/>
        <v>150.00772950000024</v>
      </c>
      <c r="I340">
        <f t="shared" ca="1" si="54"/>
        <v>72.000000000000341</v>
      </c>
    </row>
    <row r="341" spans="1:9" x14ac:dyDescent="0.25">
      <c r="A341">
        <f t="shared" si="55"/>
        <v>0.33</v>
      </c>
      <c r="B341">
        <f t="shared" si="49"/>
        <v>-201.76188464943485</v>
      </c>
      <c r="C341">
        <f t="shared" si="56"/>
        <v>-1</v>
      </c>
      <c r="D341">
        <f t="shared" si="57"/>
        <v>4.9027622239794511E-16</v>
      </c>
      <c r="E341">
        <f t="shared" ca="1" si="50"/>
        <v>1.0048495369119336E-13</v>
      </c>
      <c r="F341">
        <f t="shared" ca="1" si="51"/>
        <v>142.66582863561612</v>
      </c>
      <c r="G341">
        <f t="shared" ca="1" si="52"/>
        <v>46.354937703099388</v>
      </c>
      <c r="H341">
        <f t="shared" ca="1" si="53"/>
        <v>150.00772950000012</v>
      </c>
      <c r="I341">
        <f t="shared" ca="1" si="54"/>
        <v>72.000000000000313</v>
      </c>
    </row>
    <row r="342" spans="1:9" x14ac:dyDescent="0.25">
      <c r="A342">
        <f t="shared" si="55"/>
        <v>0.33100000000000002</v>
      </c>
      <c r="B342">
        <f t="shared" si="49"/>
        <v>-212.14500000000001</v>
      </c>
      <c r="C342">
        <f t="shared" si="56"/>
        <v>-0.9510565162951532</v>
      </c>
      <c r="D342">
        <f t="shared" si="57"/>
        <v>-0.30901699437494862</v>
      </c>
      <c r="E342">
        <f t="shared" ca="1" si="50"/>
        <v>0</v>
      </c>
      <c r="F342">
        <f t="shared" ca="1" si="51"/>
        <v>142.66582863561612</v>
      </c>
      <c r="G342">
        <f t="shared" ca="1" si="52"/>
        <v>46.354937703099388</v>
      </c>
      <c r="H342">
        <f t="shared" ca="1" si="53"/>
        <v>150.00772950000012</v>
      </c>
      <c r="I342">
        <f t="shared" ca="1" si="54"/>
        <v>72.000000000000313</v>
      </c>
    </row>
    <row r="343" spans="1:9" x14ac:dyDescent="0.25">
      <c r="A343">
        <f t="shared" si="55"/>
        <v>0.33200000000000002</v>
      </c>
      <c r="B343">
        <f t="shared" si="49"/>
        <v>-201.76188464943564</v>
      </c>
      <c r="C343">
        <f t="shared" si="56"/>
        <v>-0.80901699437494567</v>
      </c>
      <c r="D343">
        <f t="shared" si="57"/>
        <v>-0.58778525229247558</v>
      </c>
      <c r="E343">
        <f t="shared" ca="1" si="50"/>
        <v>3.2155185181181876E-14</v>
      </c>
      <c r="F343">
        <f t="shared" ca="1" si="51"/>
        <v>142.66582863561609</v>
      </c>
      <c r="G343">
        <f t="shared" ca="1" si="52"/>
        <v>46.354937703099367</v>
      </c>
      <c r="H343">
        <f t="shared" ca="1" si="53"/>
        <v>150.0077295000001</v>
      </c>
      <c r="I343">
        <f t="shared" ca="1" si="54"/>
        <v>72.000000000000313</v>
      </c>
    </row>
    <row r="344" spans="1:9" x14ac:dyDescent="0.25">
      <c r="A344">
        <f t="shared" si="55"/>
        <v>0.33300000000000002</v>
      </c>
      <c r="B344">
        <f t="shared" si="49"/>
        <v>-171.62891027167174</v>
      </c>
      <c r="C344">
        <f t="shared" si="56"/>
        <v>-0.58778525229246925</v>
      </c>
      <c r="D344">
        <f t="shared" si="57"/>
        <v>-0.80901699437495023</v>
      </c>
      <c r="E344">
        <f t="shared" ca="1" si="50"/>
        <v>6.0290972214716014E-14</v>
      </c>
      <c r="F344">
        <f t="shared" ca="1" si="51"/>
        <v>142.66582863561607</v>
      </c>
      <c r="G344">
        <f t="shared" ca="1" si="52"/>
        <v>46.354937703099317</v>
      </c>
      <c r="H344">
        <f t="shared" ca="1" si="53"/>
        <v>150.00772950000007</v>
      </c>
      <c r="I344">
        <f t="shared" ca="1" si="54"/>
        <v>72.000000000000341</v>
      </c>
    </row>
    <row r="345" spans="1:9" x14ac:dyDescent="0.25">
      <c r="A345">
        <f t="shared" si="55"/>
        <v>0.33400000000000002</v>
      </c>
      <c r="B345">
        <f t="shared" si="49"/>
        <v>-124.69570234758682</v>
      </c>
      <c r="C345">
        <f t="shared" si="56"/>
        <v>-0.30901699437494118</v>
      </c>
      <c r="D345">
        <f t="shared" si="57"/>
        <v>-0.95105651629515564</v>
      </c>
      <c r="E345">
        <f t="shared" ca="1" si="50"/>
        <v>8.3402511563690492E-14</v>
      </c>
      <c r="F345">
        <f t="shared" ca="1" si="51"/>
        <v>142.66582863561604</v>
      </c>
      <c r="G345">
        <f t="shared" ca="1" si="52"/>
        <v>46.354937703099239</v>
      </c>
      <c r="H345">
        <f t="shared" ca="1" si="53"/>
        <v>150.00772950000001</v>
      </c>
      <c r="I345">
        <f t="shared" ca="1" si="54"/>
        <v>72.000000000000369</v>
      </c>
    </row>
    <row r="346" spans="1:9" x14ac:dyDescent="0.25">
      <c r="A346">
        <f t="shared" si="55"/>
        <v>0.33500000000000002</v>
      </c>
      <c r="B346">
        <f t="shared" si="49"/>
        <v>-65.556410271670117</v>
      </c>
      <c r="C346">
        <f t="shared" si="56"/>
        <v>8.3302505518578762E-15</v>
      </c>
      <c r="D346">
        <f t="shared" si="57"/>
        <v>-1</v>
      </c>
      <c r="E346">
        <f t="shared" ca="1" si="50"/>
        <v>9.7470405080457561E-14</v>
      </c>
      <c r="F346">
        <f t="shared" ca="1" si="51"/>
        <v>142.66582863561604</v>
      </c>
      <c r="G346">
        <f t="shared" ca="1" si="52"/>
        <v>46.354937703099139</v>
      </c>
      <c r="H346">
        <f t="shared" ca="1" si="53"/>
        <v>150.00772949999998</v>
      </c>
      <c r="I346">
        <f t="shared" ca="1" si="54"/>
        <v>72.000000000000398</v>
      </c>
    </row>
    <row r="347" spans="1:9" x14ac:dyDescent="0.25">
      <c r="A347">
        <f t="shared" si="55"/>
        <v>0.33600000000000002</v>
      </c>
      <c r="B347">
        <f t="shared" si="49"/>
        <v>6.2368988229186132E-13</v>
      </c>
      <c r="C347">
        <f t="shared" si="56"/>
        <v>0.309016994374957</v>
      </c>
      <c r="D347">
        <f t="shared" si="57"/>
        <v>-0.95105651629515042</v>
      </c>
      <c r="E347">
        <f t="shared" ca="1" si="50"/>
        <v>1.0291126774366557E-13</v>
      </c>
      <c r="F347">
        <f t="shared" ca="1" si="51"/>
        <v>142.66582863561607</v>
      </c>
      <c r="G347">
        <f t="shared" ca="1" si="52"/>
        <v>46.35493770309904</v>
      </c>
      <c r="H347">
        <f t="shared" ca="1" si="53"/>
        <v>150.00772949999998</v>
      </c>
      <c r="I347">
        <f t="shared" ca="1" si="54"/>
        <v>72.000000000000441</v>
      </c>
    </row>
    <row r="348" spans="1:9" x14ac:dyDescent="0.25">
      <c r="A348">
        <f t="shared" si="55"/>
        <v>0.33700000000000002</v>
      </c>
      <c r="B348">
        <f t="shared" si="49"/>
        <v>65.556410271677052</v>
      </c>
      <c r="C348">
        <f t="shared" si="56"/>
        <v>0.58778525229248269</v>
      </c>
      <c r="D348">
        <f t="shared" si="57"/>
        <v>-0.80901699437494046</v>
      </c>
      <c r="E348">
        <f t="shared" ca="1" si="50"/>
        <v>9.8475254617369496E-14</v>
      </c>
      <c r="F348">
        <f t="shared" ca="1" si="51"/>
        <v>142.66582863561612</v>
      </c>
      <c r="G348">
        <f t="shared" ca="1" si="52"/>
        <v>46.354937703098962</v>
      </c>
      <c r="H348">
        <f t="shared" ca="1" si="53"/>
        <v>150.00772949999998</v>
      </c>
      <c r="I348">
        <f t="shared" ca="1" si="54"/>
        <v>72.000000000000469</v>
      </c>
    </row>
    <row r="349" spans="1:9" x14ac:dyDescent="0.25">
      <c r="A349">
        <f t="shared" si="55"/>
        <v>0.33800000000000002</v>
      </c>
      <c r="B349">
        <f t="shared" si="49"/>
        <v>124.69570234758783</v>
      </c>
      <c r="C349">
        <f t="shared" si="56"/>
        <v>0.80901699437495544</v>
      </c>
      <c r="D349">
        <f t="shared" si="57"/>
        <v>-0.58778525229246215</v>
      </c>
      <c r="E349">
        <f t="shared" ca="1" si="50"/>
        <v>8.3402511563690492E-14</v>
      </c>
      <c r="F349">
        <f t="shared" ca="1" si="51"/>
        <v>142.66582863561618</v>
      </c>
      <c r="G349">
        <f t="shared" ca="1" si="52"/>
        <v>46.354937703098912</v>
      </c>
      <c r="H349">
        <f t="shared" ca="1" si="53"/>
        <v>150.00772950000004</v>
      </c>
      <c r="I349">
        <f t="shared" ca="1" si="54"/>
        <v>72.000000000000497</v>
      </c>
    </row>
    <row r="350" spans="1:9" x14ac:dyDescent="0.25">
      <c r="A350">
        <f t="shared" si="55"/>
        <v>0.33900000000000002</v>
      </c>
      <c r="B350">
        <f t="shared" si="49"/>
        <v>171.62891027167248</v>
      </c>
      <c r="C350">
        <f t="shared" si="56"/>
        <v>0.95105651629515398</v>
      </c>
      <c r="D350">
        <f t="shared" si="57"/>
        <v>-0.30901699437494629</v>
      </c>
      <c r="E350">
        <f t="shared" ca="1" si="50"/>
        <v>-1.8891171293944352E-13</v>
      </c>
      <c r="F350">
        <f t="shared" ca="1" si="51"/>
        <v>142.66582863561601</v>
      </c>
      <c r="G350">
        <f t="shared" ca="1" si="52"/>
        <v>46.354937703098969</v>
      </c>
      <c r="H350">
        <f t="shared" ca="1" si="53"/>
        <v>150.0077294999999</v>
      </c>
      <c r="I350">
        <f t="shared" ca="1" si="54"/>
        <v>72.000000000000455</v>
      </c>
    </row>
    <row r="351" spans="1:9" x14ac:dyDescent="0.25">
      <c r="A351">
        <f t="shared" si="55"/>
        <v>0.34</v>
      </c>
      <c r="B351">
        <f t="shared" si="49"/>
        <v>201.76188464943601</v>
      </c>
      <c r="C351">
        <f t="shared" si="56"/>
        <v>1</v>
      </c>
      <c r="D351">
        <f t="shared" si="57"/>
        <v>2.9399226109116938E-15</v>
      </c>
      <c r="E351">
        <f t="shared" ca="1" si="50"/>
        <v>3.2155185181181876E-14</v>
      </c>
      <c r="F351">
        <f t="shared" ca="1" si="51"/>
        <v>142.66582863561604</v>
      </c>
      <c r="G351">
        <f t="shared" ca="1" si="52"/>
        <v>46.354937703098969</v>
      </c>
      <c r="H351">
        <f t="shared" ca="1" si="53"/>
        <v>150.00772949999993</v>
      </c>
      <c r="I351">
        <f t="shared" ca="1" si="54"/>
        <v>72.000000000000455</v>
      </c>
    </row>
    <row r="352" spans="1:9" x14ac:dyDescent="0.25">
      <c r="A352">
        <f t="shared" si="55"/>
        <v>0.34100000000000003</v>
      </c>
      <c r="B352">
        <f t="shared" si="49"/>
        <v>212.14500000000001</v>
      </c>
      <c r="C352">
        <f t="shared" si="56"/>
        <v>0.95105651629515209</v>
      </c>
      <c r="D352">
        <f t="shared" si="57"/>
        <v>0.30901699437495189</v>
      </c>
      <c r="E352">
        <f t="shared" ca="1" si="50"/>
        <v>0</v>
      </c>
      <c r="F352">
        <f t="shared" ca="1" si="51"/>
        <v>142.66582863561604</v>
      </c>
      <c r="G352">
        <f t="shared" ca="1" si="52"/>
        <v>46.354937703098969</v>
      </c>
      <c r="H352">
        <f t="shared" ca="1" si="53"/>
        <v>150.00772949999993</v>
      </c>
      <c r="I352">
        <f t="shared" ca="1" si="54"/>
        <v>72.000000000000455</v>
      </c>
    </row>
    <row r="353" spans="1:9" x14ac:dyDescent="0.25">
      <c r="A353">
        <f t="shared" si="55"/>
        <v>0.34200000000000003</v>
      </c>
      <c r="B353">
        <f t="shared" si="49"/>
        <v>201.76188464943448</v>
      </c>
      <c r="C353">
        <f t="shared" si="56"/>
        <v>0.80901699437494368</v>
      </c>
      <c r="D353">
        <f t="shared" si="57"/>
        <v>0.58778525229247836</v>
      </c>
      <c r="E353">
        <f t="shared" ca="1" si="50"/>
        <v>-3.2155185181181876E-14</v>
      </c>
      <c r="F353">
        <f t="shared" ca="1" si="51"/>
        <v>142.66582863561601</v>
      </c>
      <c r="G353">
        <f t="shared" ca="1" si="52"/>
        <v>46.354937703098948</v>
      </c>
      <c r="H353">
        <f t="shared" ca="1" si="53"/>
        <v>150.0077294999999</v>
      </c>
      <c r="I353">
        <f t="shared" ca="1" si="54"/>
        <v>72.000000000000469</v>
      </c>
    </row>
    <row r="354" spans="1:9" x14ac:dyDescent="0.25">
      <c r="A354">
        <f t="shared" si="55"/>
        <v>0.34300000000000003</v>
      </c>
      <c r="B354">
        <f t="shared" si="49"/>
        <v>171.62891027167311</v>
      </c>
      <c r="C354">
        <f t="shared" si="56"/>
        <v>0.58778525229246648</v>
      </c>
      <c r="D354">
        <f t="shared" si="57"/>
        <v>0.80901699437495223</v>
      </c>
      <c r="E354">
        <f t="shared" ca="1" si="50"/>
        <v>-5.8281273140892145E-14</v>
      </c>
      <c r="F354">
        <f t="shared" ca="1" si="51"/>
        <v>142.66582863561598</v>
      </c>
      <c r="G354">
        <f t="shared" ca="1" si="52"/>
        <v>46.354937703098898</v>
      </c>
      <c r="H354">
        <f t="shared" ca="1" si="53"/>
        <v>150.00772949999984</v>
      </c>
      <c r="I354">
        <f t="shared" ca="1" si="54"/>
        <v>72.000000000000483</v>
      </c>
    </row>
    <row r="355" spans="1:9" x14ac:dyDescent="0.25">
      <c r="A355">
        <f t="shared" si="55"/>
        <v>0.34400000000000003</v>
      </c>
      <c r="B355">
        <f t="shared" si="49"/>
        <v>124.6957023475838</v>
      </c>
      <c r="C355">
        <f t="shared" si="56"/>
        <v>0.3090169943749379</v>
      </c>
      <c r="D355">
        <f t="shared" si="57"/>
        <v>0.95105651629515664</v>
      </c>
      <c r="E355">
        <f t="shared" ca="1" si="50"/>
        <v>-8.3402511563690492E-14</v>
      </c>
      <c r="F355">
        <f t="shared" ca="1" si="51"/>
        <v>142.66582863561595</v>
      </c>
      <c r="G355">
        <f t="shared" ca="1" si="52"/>
        <v>46.35493770309882</v>
      </c>
      <c r="H355">
        <f t="shared" ca="1" si="53"/>
        <v>150.00772949999981</v>
      </c>
      <c r="I355">
        <f t="shared" ca="1" si="54"/>
        <v>72.000000000000512</v>
      </c>
    </row>
    <row r="356" spans="1:9" x14ac:dyDescent="0.25">
      <c r="A356">
        <f t="shared" si="55"/>
        <v>0.34500000000000003</v>
      </c>
      <c r="B356">
        <f t="shared" si="49"/>
        <v>65.556410271672306</v>
      </c>
      <c r="C356">
        <f t="shared" si="56"/>
        <v>-1.1760449385167515E-14</v>
      </c>
      <c r="D356">
        <f t="shared" si="57"/>
        <v>1</v>
      </c>
      <c r="E356">
        <f t="shared" ca="1" si="50"/>
        <v>-9.7470405080457561E-14</v>
      </c>
      <c r="F356">
        <f t="shared" ca="1" si="51"/>
        <v>142.66582863561595</v>
      </c>
      <c r="G356">
        <f t="shared" ca="1" si="52"/>
        <v>46.35493770309872</v>
      </c>
      <c r="H356">
        <f t="shared" ca="1" si="53"/>
        <v>150.00772949999975</v>
      </c>
      <c r="I356">
        <f t="shared" ca="1" si="54"/>
        <v>72.00000000000054</v>
      </c>
    </row>
    <row r="357" spans="1:9" x14ac:dyDescent="0.25">
      <c r="A357">
        <f t="shared" si="55"/>
        <v>0.34600000000000003</v>
      </c>
      <c r="B357">
        <f t="shared" ref="B357:B420" si="58">1.5*$B$6*SIN((A357*$C$1)+PI()/2.5)</f>
        <v>-4.3661511873408641E-12</v>
      </c>
      <c r="C357">
        <f t="shared" si="56"/>
        <v>-0.30901699437496027</v>
      </c>
      <c r="D357">
        <f t="shared" si="57"/>
        <v>0.95105651629514942</v>
      </c>
      <c r="E357">
        <f t="shared" ref="E357:E420" ca="1" si="59">(1.4142/$B$2)*(B357-IF((ROW($A357)-ROW($A$11))&lt;$B$2,0,OFFSET($B357,-$B$2,0)))</f>
        <v>-1.0291126774366561E-13</v>
      </c>
      <c r="F357">
        <f t="shared" ref="F357:F420" ca="1" si="60">F356+$E357*COS($A357*$C$1)</f>
        <v>142.66582863561598</v>
      </c>
      <c r="G357">
        <f t="shared" ref="G357:G420" ca="1" si="61">G356+$E357*SIN($A357*$C$1)</f>
        <v>46.354937703098621</v>
      </c>
      <c r="H357">
        <f t="shared" ref="H357:H420" ca="1" si="62">IF(F357="","",SQRT(F357^2+G357^2))</f>
        <v>150.00772949999975</v>
      </c>
      <c r="I357">
        <f t="shared" ref="I357:I420" ca="1" si="63">IF(F357="","",ATAN2(G357,F357)*180/PI())</f>
        <v>72.000000000000583</v>
      </c>
    </row>
    <row r="358" spans="1:9" x14ac:dyDescent="0.25">
      <c r="A358">
        <f t="shared" si="55"/>
        <v>0.34700000000000003</v>
      </c>
      <c r="B358">
        <f t="shared" si="58"/>
        <v>-65.556410271674864</v>
      </c>
      <c r="C358">
        <f t="shared" si="56"/>
        <v>-0.58778525229248546</v>
      </c>
      <c r="D358">
        <f t="shared" si="57"/>
        <v>0.80901699437493846</v>
      </c>
      <c r="E358">
        <f t="shared" ca="1" si="59"/>
        <v>-9.8475254617369496E-14</v>
      </c>
      <c r="F358">
        <f t="shared" ca="1" si="60"/>
        <v>142.66582863561604</v>
      </c>
      <c r="G358">
        <f t="shared" ca="1" si="61"/>
        <v>46.354937703098543</v>
      </c>
      <c r="H358">
        <f t="shared" ca="1" si="62"/>
        <v>150.00772949999981</v>
      </c>
      <c r="I358">
        <f t="shared" ca="1" si="63"/>
        <v>72.000000000000611</v>
      </c>
    </row>
    <row r="359" spans="1:9" x14ac:dyDescent="0.25">
      <c r="A359">
        <f t="shared" si="55"/>
        <v>0.34800000000000003</v>
      </c>
      <c r="B359">
        <f t="shared" si="58"/>
        <v>-124.69570234759087</v>
      </c>
      <c r="C359">
        <f t="shared" si="56"/>
        <v>-0.80901699437495744</v>
      </c>
      <c r="D359">
        <f t="shared" si="57"/>
        <v>0.58778525229245937</v>
      </c>
      <c r="E359">
        <f t="shared" ca="1" si="59"/>
        <v>-8.3402511563690492E-14</v>
      </c>
      <c r="F359">
        <f t="shared" ca="1" si="60"/>
        <v>142.66582863561609</v>
      </c>
      <c r="G359">
        <f t="shared" ca="1" si="61"/>
        <v>46.354937703098493</v>
      </c>
      <c r="H359">
        <f t="shared" ca="1" si="62"/>
        <v>150.00772949999981</v>
      </c>
      <c r="I359">
        <f t="shared" ca="1" si="63"/>
        <v>72.000000000000639</v>
      </c>
    </row>
    <row r="360" spans="1:9" x14ac:dyDescent="0.25">
      <c r="A360">
        <f t="shared" si="55"/>
        <v>0.34900000000000003</v>
      </c>
      <c r="B360">
        <f t="shared" si="58"/>
        <v>-171.6289102716747</v>
      </c>
      <c r="C360">
        <f t="shared" si="56"/>
        <v>-0.95105651629515497</v>
      </c>
      <c r="D360">
        <f t="shared" si="57"/>
        <v>0.30901699437494307</v>
      </c>
      <c r="E360">
        <f t="shared" ca="1" si="59"/>
        <v>-6.2300671288539882E-14</v>
      </c>
      <c r="F360">
        <f t="shared" ca="1" si="60"/>
        <v>142.66582863561615</v>
      </c>
      <c r="G360">
        <f t="shared" ca="1" si="61"/>
        <v>46.354937703098472</v>
      </c>
      <c r="H360">
        <f t="shared" ca="1" si="62"/>
        <v>150.0077294999999</v>
      </c>
      <c r="I360">
        <f t="shared" ca="1" si="63"/>
        <v>72.000000000000654</v>
      </c>
    </row>
    <row r="361" spans="1:9" x14ac:dyDescent="0.25">
      <c r="A361">
        <f t="shared" si="55"/>
        <v>0.35000000000000003</v>
      </c>
      <c r="B361">
        <f t="shared" si="58"/>
        <v>-201.7618846494353</v>
      </c>
      <c r="C361">
        <f t="shared" si="56"/>
        <v>-1</v>
      </c>
      <c r="D361">
        <f t="shared" si="57"/>
        <v>-6.3701214442213328E-15</v>
      </c>
      <c r="E361">
        <f t="shared" ca="1" si="59"/>
        <v>-3.2155185181181876E-14</v>
      </c>
      <c r="F361">
        <f t="shared" ca="1" si="60"/>
        <v>142.66582863561618</v>
      </c>
      <c r="G361">
        <f t="shared" ca="1" si="61"/>
        <v>46.354937703098472</v>
      </c>
      <c r="H361">
        <f t="shared" ca="1" si="62"/>
        <v>150.0077294999999</v>
      </c>
      <c r="I361">
        <f t="shared" ca="1" si="63"/>
        <v>72.000000000000654</v>
      </c>
    </row>
    <row r="362" spans="1:9" x14ac:dyDescent="0.25">
      <c r="A362">
        <f t="shared" si="55"/>
        <v>0.35100000000000003</v>
      </c>
      <c r="B362">
        <f t="shared" si="58"/>
        <v>-212.14500000000001</v>
      </c>
      <c r="C362">
        <f t="shared" si="56"/>
        <v>-0.95105651629515109</v>
      </c>
      <c r="D362">
        <f t="shared" si="57"/>
        <v>-0.30901699437495517</v>
      </c>
      <c r="E362">
        <f t="shared" ca="1" si="59"/>
        <v>0</v>
      </c>
      <c r="F362">
        <f t="shared" ca="1" si="60"/>
        <v>142.66582863561618</v>
      </c>
      <c r="G362">
        <f t="shared" ca="1" si="61"/>
        <v>46.354937703098472</v>
      </c>
      <c r="H362">
        <f t="shared" ca="1" si="62"/>
        <v>150.0077294999999</v>
      </c>
      <c r="I362">
        <f t="shared" ca="1" si="63"/>
        <v>72.000000000000654</v>
      </c>
    </row>
    <row r="363" spans="1:9" x14ac:dyDescent="0.25">
      <c r="A363">
        <f t="shared" si="55"/>
        <v>0.35199999999999998</v>
      </c>
      <c r="B363">
        <f t="shared" si="58"/>
        <v>-201.76188464943519</v>
      </c>
      <c r="C363">
        <f t="shared" si="56"/>
        <v>-0.80901699437495</v>
      </c>
      <c r="D363">
        <f t="shared" si="57"/>
        <v>-0.5877852522924697</v>
      </c>
      <c r="E363">
        <f t="shared" ca="1" si="59"/>
        <v>3.2155185181181876E-14</v>
      </c>
      <c r="F363">
        <f t="shared" ca="1" si="60"/>
        <v>142.66582863561615</v>
      </c>
      <c r="G363">
        <f t="shared" ca="1" si="61"/>
        <v>46.35493770309845</v>
      </c>
      <c r="H363">
        <f t="shared" ca="1" si="62"/>
        <v>150.00772949999987</v>
      </c>
      <c r="I363">
        <f t="shared" ca="1" si="63"/>
        <v>72.000000000000654</v>
      </c>
    </row>
    <row r="364" spans="1:9" x14ac:dyDescent="0.25">
      <c r="A364">
        <f t="shared" si="55"/>
        <v>0.35299999999999998</v>
      </c>
      <c r="B364">
        <f t="shared" si="58"/>
        <v>-171.62891027167444</v>
      </c>
      <c r="C364">
        <f t="shared" si="56"/>
        <v>-0.58778525229247514</v>
      </c>
      <c r="D364">
        <f t="shared" si="57"/>
        <v>-0.8090169943749459</v>
      </c>
      <c r="E364">
        <f t="shared" ca="1" si="59"/>
        <v>-1.9092141201326738E-13</v>
      </c>
      <c r="F364">
        <f t="shared" ca="1" si="60"/>
        <v>142.66582863561626</v>
      </c>
      <c r="G364">
        <f t="shared" ca="1" si="61"/>
        <v>46.354937703098607</v>
      </c>
      <c r="H364">
        <f t="shared" ca="1" si="62"/>
        <v>150.00772950000004</v>
      </c>
      <c r="I364">
        <f t="shared" ca="1" si="63"/>
        <v>72.000000000000625</v>
      </c>
    </row>
    <row r="365" spans="1:9" x14ac:dyDescent="0.25">
      <c r="A365">
        <f t="shared" si="55"/>
        <v>0.35399999999999998</v>
      </c>
      <c r="B365">
        <f t="shared" si="58"/>
        <v>-124.69570234758564</v>
      </c>
      <c r="C365">
        <f t="shared" si="56"/>
        <v>-0.30901699437494817</v>
      </c>
      <c r="D365">
        <f t="shared" si="57"/>
        <v>-0.95105651629515331</v>
      </c>
      <c r="E365">
        <f t="shared" ca="1" si="59"/>
        <v>8.3402511563690492E-14</v>
      </c>
      <c r="F365">
        <f t="shared" ca="1" si="60"/>
        <v>142.66582863561624</v>
      </c>
      <c r="G365">
        <f t="shared" ca="1" si="61"/>
        <v>46.354937703098528</v>
      </c>
      <c r="H365">
        <f t="shared" ca="1" si="62"/>
        <v>150.00772949999998</v>
      </c>
      <c r="I365">
        <f t="shared" ca="1" si="63"/>
        <v>72.000000000000654</v>
      </c>
    </row>
    <row r="366" spans="1:9" x14ac:dyDescent="0.25">
      <c r="A366">
        <f t="shared" si="55"/>
        <v>0.35499999999999998</v>
      </c>
      <c r="B366">
        <f t="shared" si="58"/>
        <v>-65.556410271674466</v>
      </c>
      <c r="C366">
        <f t="shared" si="56"/>
        <v>9.7979350327515036E-16</v>
      </c>
      <c r="D366">
        <f t="shared" si="57"/>
        <v>-1</v>
      </c>
      <c r="E366">
        <f t="shared" ca="1" si="59"/>
        <v>-3.0748395829505167E-13</v>
      </c>
      <c r="F366">
        <f t="shared" ca="1" si="60"/>
        <v>142.66582863561624</v>
      </c>
      <c r="G366">
        <f t="shared" ca="1" si="61"/>
        <v>46.354937703098834</v>
      </c>
      <c r="H366">
        <f t="shared" ca="1" si="62"/>
        <v>150.00772950000007</v>
      </c>
      <c r="I366">
        <f t="shared" ca="1" si="63"/>
        <v>72.00000000000054</v>
      </c>
    </row>
    <row r="367" spans="1:9" x14ac:dyDescent="0.25">
      <c r="A367">
        <f t="shared" si="55"/>
        <v>0.35599999999999998</v>
      </c>
      <c r="B367">
        <f t="shared" si="58"/>
        <v>-3.9504346018362501E-12</v>
      </c>
      <c r="C367">
        <f t="shared" si="56"/>
        <v>0.30901699437493652</v>
      </c>
      <c r="D367">
        <f t="shared" si="57"/>
        <v>-0.95105651629515708</v>
      </c>
      <c r="E367">
        <f t="shared" ca="1" si="59"/>
        <v>-3.2343634227269874E-13</v>
      </c>
      <c r="F367">
        <f t="shared" ca="1" si="60"/>
        <v>142.66582863561612</v>
      </c>
      <c r="G367">
        <f t="shared" ca="1" si="61"/>
        <v>46.354937703099139</v>
      </c>
      <c r="H367">
        <f t="shared" ca="1" si="62"/>
        <v>150.00772950000007</v>
      </c>
      <c r="I367">
        <f t="shared" ca="1" si="63"/>
        <v>72.000000000000412</v>
      </c>
    </row>
    <row r="368" spans="1:9" x14ac:dyDescent="0.25">
      <c r="A368">
        <f t="shared" si="55"/>
        <v>0.35699999999999998</v>
      </c>
      <c r="B368">
        <f t="shared" si="58"/>
        <v>65.556410271672689</v>
      </c>
      <c r="C368">
        <f t="shared" si="56"/>
        <v>0.58778525229246525</v>
      </c>
      <c r="D368">
        <f t="shared" si="57"/>
        <v>-0.80901699437495311</v>
      </c>
      <c r="E368">
        <f t="shared" ca="1" si="59"/>
        <v>-3.0848880783196363E-13</v>
      </c>
      <c r="F368">
        <f t="shared" ca="1" si="60"/>
        <v>142.66582863561595</v>
      </c>
      <c r="G368">
        <f t="shared" ca="1" si="61"/>
        <v>46.354937703099388</v>
      </c>
      <c r="H368">
        <f t="shared" ca="1" si="62"/>
        <v>150.00772949999998</v>
      </c>
      <c r="I368">
        <f t="shared" ca="1" si="63"/>
        <v>72.000000000000313</v>
      </c>
    </row>
    <row r="369" spans="1:9" x14ac:dyDescent="0.25">
      <c r="A369">
        <f t="shared" si="55"/>
        <v>0.35799999999999998</v>
      </c>
      <c r="B369">
        <f t="shared" si="58"/>
        <v>124.69570234758413</v>
      </c>
      <c r="C369">
        <f t="shared" si="56"/>
        <v>0.80901699437494279</v>
      </c>
      <c r="D369">
        <f t="shared" si="57"/>
        <v>-0.58778525229247958</v>
      </c>
      <c r="E369">
        <f t="shared" ca="1" si="59"/>
        <v>-2.6126087959710274E-13</v>
      </c>
      <c r="F369">
        <f t="shared" ca="1" si="60"/>
        <v>142.66582863561575</v>
      </c>
      <c r="G369">
        <f t="shared" ca="1" si="61"/>
        <v>46.354937703099544</v>
      </c>
      <c r="H369">
        <f t="shared" ca="1" si="62"/>
        <v>150.00772949999981</v>
      </c>
      <c r="I369">
        <f t="shared" ca="1" si="63"/>
        <v>72.000000000000213</v>
      </c>
    </row>
    <row r="370" spans="1:9" x14ac:dyDescent="0.25">
      <c r="A370">
        <f t="shared" si="55"/>
        <v>0.35899999999999999</v>
      </c>
      <c r="B370">
        <f t="shared" si="58"/>
        <v>171.62891027167333</v>
      </c>
      <c r="C370">
        <f t="shared" si="56"/>
        <v>0.95105651629515164</v>
      </c>
      <c r="D370">
        <f t="shared" si="57"/>
        <v>-0.30901699437495328</v>
      </c>
      <c r="E370">
        <f t="shared" ca="1" si="59"/>
        <v>6.0290972214716014E-14</v>
      </c>
      <c r="F370">
        <f t="shared" ca="1" si="60"/>
        <v>142.66582863561581</v>
      </c>
      <c r="G370">
        <f t="shared" ca="1" si="61"/>
        <v>46.354937703099523</v>
      </c>
      <c r="H370">
        <f t="shared" ca="1" si="62"/>
        <v>150.0077294999999</v>
      </c>
      <c r="I370">
        <f t="shared" ca="1" si="63"/>
        <v>72.000000000000227</v>
      </c>
    </row>
    <row r="371" spans="1:9" x14ac:dyDescent="0.25">
      <c r="A371">
        <f t="shared" si="55"/>
        <v>0.36</v>
      </c>
      <c r="B371">
        <f t="shared" si="58"/>
        <v>201.76188464943459</v>
      </c>
      <c r="C371">
        <f t="shared" si="56"/>
        <v>1</v>
      </c>
      <c r="D371">
        <f t="shared" si="57"/>
        <v>-4.410534437671032E-15</v>
      </c>
      <c r="E371">
        <f t="shared" ca="1" si="59"/>
        <v>-1.0048495369119336E-13</v>
      </c>
      <c r="F371">
        <f t="shared" ca="1" si="60"/>
        <v>142.6658286356157</v>
      </c>
      <c r="G371">
        <f t="shared" ca="1" si="61"/>
        <v>46.354937703099523</v>
      </c>
      <c r="H371">
        <f t="shared" ca="1" si="62"/>
        <v>150.00772949999978</v>
      </c>
      <c r="I371">
        <f t="shared" ca="1" si="63"/>
        <v>72.000000000000213</v>
      </c>
    </row>
    <row r="372" spans="1:9" x14ac:dyDescent="0.25">
      <c r="A372">
        <f t="shared" si="55"/>
        <v>0.36099999999999999</v>
      </c>
      <c r="B372">
        <f t="shared" si="58"/>
        <v>212.14500000000001</v>
      </c>
      <c r="C372">
        <f t="shared" si="56"/>
        <v>0.95105651629515442</v>
      </c>
      <c r="D372">
        <f t="shared" si="57"/>
        <v>0.3090169943749449</v>
      </c>
      <c r="E372">
        <f t="shared" ca="1" si="59"/>
        <v>0</v>
      </c>
      <c r="F372">
        <f t="shared" ca="1" si="60"/>
        <v>142.6658286356157</v>
      </c>
      <c r="G372">
        <f t="shared" ca="1" si="61"/>
        <v>46.354937703099523</v>
      </c>
      <c r="H372">
        <f t="shared" ca="1" si="62"/>
        <v>150.00772949999978</v>
      </c>
      <c r="I372">
        <f t="shared" ca="1" si="63"/>
        <v>72.000000000000213</v>
      </c>
    </row>
    <row r="373" spans="1:9" x14ac:dyDescent="0.25">
      <c r="A373">
        <f t="shared" si="55"/>
        <v>0.36199999999999999</v>
      </c>
      <c r="B373">
        <f t="shared" si="58"/>
        <v>201.7618846494359</v>
      </c>
      <c r="C373">
        <f t="shared" si="56"/>
        <v>0.8090169943749479</v>
      </c>
      <c r="D373">
        <f t="shared" si="57"/>
        <v>0.58778525229247236</v>
      </c>
      <c r="E373">
        <f t="shared" ca="1" si="59"/>
        <v>1.0048495369119336E-13</v>
      </c>
      <c r="F373">
        <f t="shared" ca="1" si="60"/>
        <v>142.66582863561578</v>
      </c>
      <c r="G373">
        <f t="shared" ca="1" si="61"/>
        <v>46.35493770309958</v>
      </c>
      <c r="H373">
        <f t="shared" ca="1" si="62"/>
        <v>150.00772949999987</v>
      </c>
      <c r="I373">
        <f t="shared" ca="1" si="63"/>
        <v>72.000000000000213</v>
      </c>
    </row>
    <row r="374" spans="1:9" x14ac:dyDescent="0.25">
      <c r="A374">
        <f t="shared" si="55"/>
        <v>0.36299999999999999</v>
      </c>
      <c r="B374">
        <f t="shared" si="58"/>
        <v>171.62891027167225</v>
      </c>
      <c r="C374">
        <f t="shared" si="56"/>
        <v>0.58778525229247247</v>
      </c>
      <c r="D374">
        <f t="shared" si="57"/>
        <v>0.8090169943749479</v>
      </c>
      <c r="E374">
        <f t="shared" ca="1" si="59"/>
        <v>-6.0290972214716014E-14</v>
      </c>
      <c r="F374">
        <f t="shared" ca="1" si="60"/>
        <v>142.66582863561575</v>
      </c>
      <c r="G374">
        <f t="shared" ca="1" si="61"/>
        <v>46.35493770309953</v>
      </c>
      <c r="H374">
        <f t="shared" ca="1" si="62"/>
        <v>150.00772949999981</v>
      </c>
      <c r="I374">
        <f t="shared" ca="1" si="63"/>
        <v>72.000000000000227</v>
      </c>
    </row>
    <row r="375" spans="1:9" x14ac:dyDescent="0.25">
      <c r="A375">
        <f t="shared" si="55"/>
        <v>0.36399999999999999</v>
      </c>
      <c r="B375">
        <f t="shared" si="58"/>
        <v>124.6957023475875</v>
      </c>
      <c r="C375">
        <f t="shared" si="56"/>
        <v>0.3090169943749449</v>
      </c>
      <c r="D375">
        <f t="shared" si="57"/>
        <v>0.95105651629515442</v>
      </c>
      <c r="E375">
        <f t="shared" ca="1" si="59"/>
        <v>2.6126087959710274E-13</v>
      </c>
      <c r="F375">
        <f t="shared" ca="1" si="60"/>
        <v>142.66582863561584</v>
      </c>
      <c r="G375">
        <f t="shared" ca="1" si="61"/>
        <v>46.354937703099779</v>
      </c>
      <c r="H375">
        <f t="shared" ca="1" si="62"/>
        <v>150.00772949999998</v>
      </c>
      <c r="I375">
        <f t="shared" ca="1" si="63"/>
        <v>72.000000000000142</v>
      </c>
    </row>
    <row r="376" spans="1:9" x14ac:dyDescent="0.25">
      <c r="A376">
        <f t="shared" si="55"/>
        <v>0.36499999999999999</v>
      </c>
      <c r="B376">
        <f t="shared" si="58"/>
        <v>65.556410271670913</v>
      </c>
      <c r="C376">
        <f t="shared" si="56"/>
        <v>-4.4099923365847893E-15</v>
      </c>
      <c r="D376">
        <f t="shared" si="57"/>
        <v>1</v>
      </c>
      <c r="E376">
        <f t="shared" ca="1" si="59"/>
        <v>-9.8475254617369496E-14</v>
      </c>
      <c r="F376">
        <f t="shared" ca="1" si="60"/>
        <v>142.66582863561584</v>
      </c>
      <c r="G376">
        <f t="shared" ca="1" si="61"/>
        <v>46.354937703099679</v>
      </c>
      <c r="H376">
        <f t="shared" ca="1" si="62"/>
        <v>150.00772949999995</v>
      </c>
      <c r="I376">
        <f t="shared" ca="1" si="63"/>
        <v>72.000000000000185</v>
      </c>
    </row>
    <row r="377" spans="1:9" x14ac:dyDescent="0.25">
      <c r="A377">
        <f t="shared" si="55"/>
        <v>0.36599999999999999</v>
      </c>
      <c r="B377">
        <f t="shared" si="58"/>
        <v>2.0797329678724775E-13</v>
      </c>
      <c r="C377">
        <f t="shared" si="56"/>
        <v>-0.30901699437493979</v>
      </c>
      <c r="D377">
        <f t="shared" si="57"/>
        <v>0.95105651629515608</v>
      </c>
      <c r="E377">
        <f t="shared" ca="1" si="59"/>
        <v>3.2343634227269879E-13</v>
      </c>
      <c r="F377">
        <f t="shared" ca="1" si="60"/>
        <v>142.66582863561572</v>
      </c>
      <c r="G377">
        <f t="shared" ca="1" si="61"/>
        <v>46.354937703099985</v>
      </c>
      <c r="H377">
        <f t="shared" ca="1" si="62"/>
        <v>150.00772949999993</v>
      </c>
      <c r="I377">
        <f t="shared" ca="1" si="63"/>
        <v>72.000000000000057</v>
      </c>
    </row>
    <row r="378" spans="1:9" x14ac:dyDescent="0.25">
      <c r="A378">
        <f t="shared" si="55"/>
        <v>0.36699999999999999</v>
      </c>
      <c r="B378">
        <f t="shared" si="58"/>
        <v>-65.556410271670515</v>
      </c>
      <c r="C378">
        <f t="shared" si="56"/>
        <v>-0.58778525229246803</v>
      </c>
      <c r="D378">
        <f t="shared" si="57"/>
        <v>0.80901699437495111</v>
      </c>
      <c r="E378">
        <f t="shared" ca="1" si="59"/>
        <v>3.0748395829505167E-13</v>
      </c>
      <c r="F378">
        <f t="shared" ca="1" si="60"/>
        <v>142.66582863561555</v>
      </c>
      <c r="G378">
        <f t="shared" ca="1" si="61"/>
        <v>46.354937703100234</v>
      </c>
      <c r="H378">
        <f t="shared" ca="1" si="62"/>
        <v>150.00772949999987</v>
      </c>
      <c r="I378">
        <f t="shared" ca="1" si="63"/>
        <v>71.999999999999943</v>
      </c>
    </row>
    <row r="379" spans="1:9" x14ac:dyDescent="0.25">
      <c r="A379">
        <f t="shared" si="55"/>
        <v>0.36799999999999999</v>
      </c>
      <c r="B379">
        <f t="shared" si="58"/>
        <v>-124.69570234758714</v>
      </c>
      <c r="C379">
        <f t="shared" si="56"/>
        <v>-0.80901699437494479</v>
      </c>
      <c r="D379">
        <f t="shared" si="57"/>
        <v>0.5877852522924768</v>
      </c>
      <c r="E379">
        <f t="shared" ca="1" si="59"/>
        <v>2.6327057867092661E-13</v>
      </c>
      <c r="F379">
        <f t="shared" ca="1" si="60"/>
        <v>142.66582863561536</v>
      </c>
      <c r="G379">
        <f t="shared" ca="1" si="61"/>
        <v>46.35493770310039</v>
      </c>
      <c r="H379">
        <f t="shared" ca="1" si="62"/>
        <v>150.00772949999973</v>
      </c>
      <c r="I379">
        <f t="shared" ca="1" si="63"/>
        <v>71.999999999999858</v>
      </c>
    </row>
    <row r="380" spans="1:9" x14ac:dyDescent="0.25">
      <c r="A380">
        <f t="shared" si="55"/>
        <v>0.36899999999999999</v>
      </c>
      <c r="B380">
        <f t="shared" si="58"/>
        <v>-171.628910271672</v>
      </c>
      <c r="C380">
        <f t="shared" si="56"/>
        <v>-0.95105651629515275</v>
      </c>
      <c r="D380">
        <f t="shared" si="57"/>
        <v>0.30901699437495006</v>
      </c>
      <c r="E380">
        <f t="shared" ca="1" si="59"/>
        <v>1.9092141201326738E-13</v>
      </c>
      <c r="F380">
        <f t="shared" ca="1" si="60"/>
        <v>142.66582863561518</v>
      </c>
      <c r="G380">
        <f t="shared" ca="1" si="61"/>
        <v>46.354937703100447</v>
      </c>
      <c r="H380">
        <f t="shared" ca="1" si="62"/>
        <v>150.00772949999958</v>
      </c>
      <c r="I380">
        <f t="shared" ca="1" si="63"/>
        <v>71.999999999999815</v>
      </c>
    </row>
    <row r="381" spans="1:9" x14ac:dyDescent="0.25">
      <c r="A381">
        <f t="shared" si="55"/>
        <v>0.37</v>
      </c>
      <c r="B381">
        <f t="shared" si="58"/>
        <v>-201.76188464943576</v>
      </c>
      <c r="C381">
        <f t="shared" si="56"/>
        <v>-1</v>
      </c>
      <c r="D381">
        <f t="shared" si="57"/>
        <v>9.8033560436139311E-16</v>
      </c>
      <c r="E381">
        <f t="shared" ca="1" si="59"/>
        <v>-3.2155185181181876E-14</v>
      </c>
      <c r="F381">
        <f t="shared" ca="1" si="60"/>
        <v>142.66582863561521</v>
      </c>
      <c r="G381">
        <f t="shared" ca="1" si="61"/>
        <v>46.354937703100447</v>
      </c>
      <c r="H381">
        <f t="shared" ca="1" si="62"/>
        <v>150.00772949999958</v>
      </c>
      <c r="I381">
        <f t="shared" ca="1" si="63"/>
        <v>71.999999999999815</v>
      </c>
    </row>
    <row r="382" spans="1:9" x14ac:dyDescent="0.25">
      <c r="A382">
        <f t="shared" si="55"/>
        <v>0.371</v>
      </c>
      <c r="B382">
        <f t="shared" si="58"/>
        <v>-212.14500000000001</v>
      </c>
      <c r="C382">
        <f t="shared" si="56"/>
        <v>-0.95105651629515331</v>
      </c>
      <c r="D382">
        <f t="shared" si="57"/>
        <v>-0.30901699437494817</v>
      </c>
      <c r="E382">
        <f t="shared" ca="1" si="59"/>
        <v>0</v>
      </c>
      <c r="F382">
        <f t="shared" ca="1" si="60"/>
        <v>142.66582863561521</v>
      </c>
      <c r="G382">
        <f t="shared" ca="1" si="61"/>
        <v>46.354937703100447</v>
      </c>
      <c r="H382">
        <f t="shared" ca="1" si="62"/>
        <v>150.00772949999958</v>
      </c>
      <c r="I382">
        <f t="shared" ca="1" si="63"/>
        <v>71.999999999999815</v>
      </c>
    </row>
    <row r="383" spans="1:9" x14ac:dyDescent="0.25">
      <c r="A383">
        <f t="shared" si="55"/>
        <v>0.372</v>
      </c>
      <c r="B383">
        <f t="shared" si="58"/>
        <v>-201.76188464943473</v>
      </c>
      <c r="C383">
        <f t="shared" si="56"/>
        <v>-0.8090169943749459</v>
      </c>
      <c r="D383">
        <f t="shared" si="57"/>
        <v>-0.58778525229247514</v>
      </c>
      <c r="E383">
        <f t="shared" ca="1" si="59"/>
        <v>3.2155185181181876E-14</v>
      </c>
      <c r="F383">
        <f t="shared" ca="1" si="60"/>
        <v>142.66582863561518</v>
      </c>
      <c r="G383">
        <f t="shared" ca="1" si="61"/>
        <v>46.354937703100425</v>
      </c>
      <c r="H383">
        <f t="shared" ca="1" si="62"/>
        <v>150.00772949999958</v>
      </c>
      <c r="I383">
        <f t="shared" ca="1" si="63"/>
        <v>71.999999999999844</v>
      </c>
    </row>
    <row r="384" spans="1:9" x14ac:dyDescent="0.25">
      <c r="A384">
        <f t="shared" si="55"/>
        <v>0.373</v>
      </c>
      <c r="B384">
        <f t="shared" si="58"/>
        <v>-171.62891027167359</v>
      </c>
      <c r="C384">
        <f t="shared" si="56"/>
        <v>-0.5877852522924697</v>
      </c>
      <c r="D384">
        <f t="shared" si="57"/>
        <v>-0.80901699437495</v>
      </c>
      <c r="E384">
        <f t="shared" ca="1" si="59"/>
        <v>6.0290972214716014E-14</v>
      </c>
      <c r="F384">
        <f t="shared" ca="1" si="60"/>
        <v>142.66582863561516</v>
      </c>
      <c r="G384">
        <f t="shared" ca="1" si="61"/>
        <v>46.354937703100376</v>
      </c>
      <c r="H384">
        <f t="shared" ca="1" si="62"/>
        <v>150.00772949999953</v>
      </c>
      <c r="I384">
        <f t="shared" ca="1" si="63"/>
        <v>71.999999999999844</v>
      </c>
    </row>
    <row r="385" spans="1:9" x14ac:dyDescent="0.25">
      <c r="A385">
        <f t="shared" si="55"/>
        <v>0.374</v>
      </c>
      <c r="B385">
        <f t="shared" si="58"/>
        <v>-124.69570234758446</v>
      </c>
      <c r="C385">
        <f t="shared" si="56"/>
        <v>-0.30901699437494162</v>
      </c>
      <c r="D385">
        <f t="shared" si="57"/>
        <v>-0.95105651629515542</v>
      </c>
      <c r="E385">
        <f t="shared" ca="1" si="59"/>
        <v>8.3402511563690492E-14</v>
      </c>
      <c r="F385">
        <f t="shared" ca="1" si="60"/>
        <v>142.66582863561513</v>
      </c>
      <c r="G385">
        <f t="shared" ca="1" si="61"/>
        <v>46.354937703100298</v>
      </c>
      <c r="H385">
        <f t="shared" ca="1" si="62"/>
        <v>150.00772949999947</v>
      </c>
      <c r="I385">
        <f t="shared" ca="1" si="63"/>
        <v>71.999999999999872</v>
      </c>
    </row>
    <row r="386" spans="1:9" x14ac:dyDescent="0.25">
      <c r="A386">
        <f t="shared" si="55"/>
        <v>0.375</v>
      </c>
      <c r="B386">
        <f t="shared" si="58"/>
        <v>-65.556410271673087</v>
      </c>
      <c r="C386">
        <f t="shared" si="56"/>
        <v>-6.3706635453075755E-15</v>
      </c>
      <c r="D386">
        <f t="shared" si="57"/>
        <v>-1</v>
      </c>
      <c r="E386">
        <f t="shared" ca="1" si="59"/>
        <v>9.7470405080457561E-14</v>
      </c>
      <c r="F386">
        <f t="shared" ca="1" si="60"/>
        <v>142.66582863561513</v>
      </c>
      <c r="G386">
        <f t="shared" ca="1" si="61"/>
        <v>46.354937703100198</v>
      </c>
      <c r="H386">
        <f t="shared" ca="1" si="62"/>
        <v>150.00772949999944</v>
      </c>
      <c r="I386">
        <f t="shared" ca="1" si="63"/>
        <v>71.999999999999915</v>
      </c>
    </row>
    <row r="387" spans="1:9" x14ac:dyDescent="0.25">
      <c r="A387">
        <f t="shared" si="55"/>
        <v>0.376</v>
      </c>
      <c r="B387">
        <f t="shared" si="58"/>
        <v>-2.4950355388513034E-12</v>
      </c>
      <c r="C387">
        <f t="shared" si="56"/>
        <v>0.30901699437494307</v>
      </c>
      <c r="D387">
        <f t="shared" si="57"/>
        <v>-0.95105651629515497</v>
      </c>
      <c r="E387">
        <f t="shared" ca="1" si="59"/>
        <v>1.0291126774366557E-13</v>
      </c>
      <c r="F387">
        <f t="shared" ca="1" si="60"/>
        <v>142.66582863561516</v>
      </c>
      <c r="G387">
        <f t="shared" ca="1" si="61"/>
        <v>46.354937703100099</v>
      </c>
      <c r="H387">
        <f t="shared" ca="1" si="62"/>
        <v>150.00772949999944</v>
      </c>
      <c r="I387">
        <f t="shared" ca="1" si="63"/>
        <v>71.999999999999943</v>
      </c>
    </row>
    <row r="388" spans="1:9" x14ac:dyDescent="0.25">
      <c r="A388">
        <f t="shared" si="55"/>
        <v>0.377</v>
      </c>
      <c r="B388">
        <f t="shared" si="58"/>
        <v>65.556410271674082</v>
      </c>
      <c r="C388">
        <f t="shared" si="56"/>
        <v>0.58778525229247081</v>
      </c>
      <c r="D388">
        <f t="shared" si="57"/>
        <v>-0.80901699437494912</v>
      </c>
      <c r="E388">
        <f t="shared" ca="1" si="59"/>
        <v>9.8475254617369496E-14</v>
      </c>
      <c r="F388">
        <f t="shared" ca="1" si="60"/>
        <v>142.66582863561521</v>
      </c>
      <c r="G388">
        <f t="shared" ca="1" si="61"/>
        <v>46.35493770310002</v>
      </c>
      <c r="H388">
        <f t="shared" ca="1" si="62"/>
        <v>150.00772949999947</v>
      </c>
      <c r="I388">
        <f t="shared" ca="1" si="63"/>
        <v>71.999999999999986</v>
      </c>
    </row>
    <row r="389" spans="1:9" x14ac:dyDescent="0.25">
      <c r="A389">
        <f t="shared" si="55"/>
        <v>0.378</v>
      </c>
      <c r="B389">
        <f t="shared" si="58"/>
        <v>124.69570234758531</v>
      </c>
      <c r="C389">
        <f t="shared" si="56"/>
        <v>0.80901699437494679</v>
      </c>
      <c r="D389">
        <f t="shared" si="57"/>
        <v>-0.58778525229247403</v>
      </c>
      <c r="E389">
        <f t="shared" ca="1" si="59"/>
        <v>8.3402511563690492E-14</v>
      </c>
      <c r="F389">
        <f t="shared" ca="1" si="60"/>
        <v>142.66582863561527</v>
      </c>
      <c r="G389">
        <f t="shared" ca="1" si="61"/>
        <v>46.354937703099971</v>
      </c>
      <c r="H389">
        <f t="shared" ca="1" si="62"/>
        <v>150.0077294999995</v>
      </c>
      <c r="I389">
        <f t="shared" ca="1" si="63"/>
        <v>72</v>
      </c>
    </row>
    <row r="390" spans="1:9" x14ac:dyDescent="0.25">
      <c r="A390">
        <f t="shared" si="55"/>
        <v>0.379</v>
      </c>
      <c r="B390">
        <f t="shared" si="58"/>
        <v>171.62891027167421</v>
      </c>
      <c r="C390">
        <f t="shared" si="56"/>
        <v>0.95105651629515375</v>
      </c>
      <c r="D390">
        <f t="shared" si="57"/>
        <v>-0.30901699437494679</v>
      </c>
      <c r="E390">
        <f t="shared" ca="1" si="59"/>
        <v>6.2300671288539882E-14</v>
      </c>
      <c r="F390">
        <f t="shared" ca="1" si="60"/>
        <v>142.66582863561533</v>
      </c>
      <c r="G390">
        <f t="shared" ca="1" si="61"/>
        <v>46.354937703099949</v>
      </c>
      <c r="H390">
        <f t="shared" ca="1" si="62"/>
        <v>150.00772949999956</v>
      </c>
      <c r="I390">
        <f t="shared" ca="1" si="63"/>
        <v>72.000000000000028</v>
      </c>
    </row>
    <row r="391" spans="1:9" x14ac:dyDescent="0.25">
      <c r="A391">
        <f t="shared" si="55"/>
        <v>0.38</v>
      </c>
      <c r="B391">
        <f t="shared" si="58"/>
        <v>201.76188464943505</v>
      </c>
      <c r="C391">
        <f t="shared" si="56"/>
        <v>1</v>
      </c>
      <c r="D391">
        <f t="shared" si="57"/>
        <v>2.4498632289482458E-15</v>
      </c>
      <c r="E391">
        <f t="shared" ca="1" si="59"/>
        <v>3.2155185181181876E-14</v>
      </c>
      <c r="F391">
        <f t="shared" ca="1" si="60"/>
        <v>142.66582863561536</v>
      </c>
      <c r="G391">
        <f t="shared" ca="1" si="61"/>
        <v>46.354937703099949</v>
      </c>
      <c r="H391">
        <f t="shared" ca="1" si="62"/>
        <v>150.00772949999958</v>
      </c>
      <c r="I391">
        <f t="shared" ca="1" si="63"/>
        <v>72.000000000000028</v>
      </c>
    </row>
    <row r="392" spans="1:9" x14ac:dyDescent="0.25">
      <c r="A392">
        <f t="shared" si="55"/>
        <v>0.38100000000000001</v>
      </c>
      <c r="B392">
        <f t="shared" si="58"/>
        <v>212.14500000000001</v>
      </c>
      <c r="C392">
        <f t="shared" si="56"/>
        <v>0.95105651629515231</v>
      </c>
      <c r="D392">
        <f t="shared" si="57"/>
        <v>0.30901699437495145</v>
      </c>
      <c r="E392">
        <f t="shared" ca="1" si="59"/>
        <v>0</v>
      </c>
      <c r="F392">
        <f t="shared" ca="1" si="60"/>
        <v>142.66582863561536</v>
      </c>
      <c r="G392">
        <f t="shared" ca="1" si="61"/>
        <v>46.354937703099949</v>
      </c>
      <c r="H392">
        <f t="shared" ca="1" si="62"/>
        <v>150.00772949999958</v>
      </c>
      <c r="I392">
        <f t="shared" ca="1" si="63"/>
        <v>72.000000000000028</v>
      </c>
    </row>
    <row r="393" spans="1:9" x14ac:dyDescent="0.25">
      <c r="A393">
        <f t="shared" si="55"/>
        <v>0.38200000000000001</v>
      </c>
      <c r="B393">
        <f t="shared" si="58"/>
        <v>201.76188464943544</v>
      </c>
      <c r="C393">
        <f t="shared" si="56"/>
        <v>0.8090169943749439</v>
      </c>
      <c r="D393">
        <f t="shared" si="57"/>
        <v>0.58778525229247791</v>
      </c>
      <c r="E393">
        <f t="shared" ca="1" si="59"/>
        <v>-3.2155185181181876E-14</v>
      </c>
      <c r="F393">
        <f t="shared" ca="1" si="60"/>
        <v>142.66582863561533</v>
      </c>
      <c r="G393">
        <f t="shared" ca="1" si="61"/>
        <v>46.354937703099928</v>
      </c>
      <c r="H393">
        <f t="shared" ca="1" si="62"/>
        <v>150.00772949999956</v>
      </c>
      <c r="I393">
        <f t="shared" ca="1" si="63"/>
        <v>72.000000000000028</v>
      </c>
    </row>
    <row r="394" spans="1:9" x14ac:dyDescent="0.25">
      <c r="A394">
        <f t="shared" si="55"/>
        <v>0.38300000000000001</v>
      </c>
      <c r="B394">
        <f t="shared" si="58"/>
        <v>171.62891027167137</v>
      </c>
      <c r="C394">
        <f t="shared" si="56"/>
        <v>0.58778525229246692</v>
      </c>
      <c r="D394">
        <f t="shared" si="57"/>
        <v>0.809016994374952</v>
      </c>
      <c r="E394">
        <f t="shared" ca="1" si="59"/>
        <v>-6.2300671288539882E-14</v>
      </c>
      <c r="F394">
        <f t="shared" ca="1" si="60"/>
        <v>142.6658286356153</v>
      </c>
      <c r="G394">
        <f t="shared" ca="1" si="61"/>
        <v>46.354937703099878</v>
      </c>
      <c r="H394">
        <f t="shared" ca="1" si="62"/>
        <v>150.0077294999995</v>
      </c>
      <c r="I394">
        <f t="shared" ca="1" si="63"/>
        <v>72.000000000000057</v>
      </c>
    </row>
    <row r="395" spans="1:9" x14ac:dyDescent="0.25">
      <c r="A395">
        <f t="shared" si="55"/>
        <v>0.38400000000000001</v>
      </c>
      <c r="B395">
        <f t="shared" si="58"/>
        <v>124.69570234758632</v>
      </c>
      <c r="C395">
        <f t="shared" si="56"/>
        <v>0.3090169943749384</v>
      </c>
      <c r="D395">
        <f t="shared" si="57"/>
        <v>0.95105651629515653</v>
      </c>
      <c r="E395">
        <f t="shared" ca="1" si="59"/>
        <v>-8.3402511563690492E-14</v>
      </c>
      <c r="F395">
        <f t="shared" ca="1" si="60"/>
        <v>142.66582863561527</v>
      </c>
      <c r="G395">
        <f t="shared" ca="1" si="61"/>
        <v>46.3549377030998</v>
      </c>
      <c r="H395">
        <f t="shared" ca="1" si="62"/>
        <v>150.00772949999944</v>
      </c>
      <c r="I395">
        <f t="shared" ca="1" si="63"/>
        <v>72.000000000000057</v>
      </c>
    </row>
    <row r="396" spans="1:9" x14ac:dyDescent="0.25">
      <c r="A396">
        <f t="shared" ref="A396:A459" si="64">(ROW($A396)-ROW($A$11))*$B$4+$B$5</f>
        <v>0.38500000000000001</v>
      </c>
      <c r="B396">
        <f t="shared" si="58"/>
        <v>65.556410271675261</v>
      </c>
      <c r="C396">
        <f t="shared" ref="C396:C459" si="65">COS($A396*$C$1)</f>
        <v>2.9404647119979366E-15</v>
      </c>
      <c r="D396">
        <f t="shared" ref="D396:D459" si="66">SIN($A396*$C$1)</f>
        <v>1</v>
      </c>
      <c r="E396">
        <f t="shared" ca="1" si="59"/>
        <v>3.0748395829505167E-13</v>
      </c>
      <c r="F396">
        <f t="shared" ca="1" si="60"/>
        <v>142.66582863561527</v>
      </c>
      <c r="G396">
        <f t="shared" ca="1" si="61"/>
        <v>46.354937703100106</v>
      </c>
      <c r="H396">
        <f t="shared" ca="1" si="62"/>
        <v>150.00772949999953</v>
      </c>
      <c r="I396">
        <f t="shared" ca="1" si="63"/>
        <v>71.999999999999957</v>
      </c>
    </row>
    <row r="397" spans="1:9" x14ac:dyDescent="0.25">
      <c r="A397">
        <f t="shared" si="64"/>
        <v>0.38600000000000001</v>
      </c>
      <c r="B397">
        <f t="shared" si="58"/>
        <v>-1.2474257661976989E-12</v>
      </c>
      <c r="C397">
        <f t="shared" si="65"/>
        <v>-0.30901699437494629</v>
      </c>
      <c r="D397">
        <f t="shared" si="66"/>
        <v>0.95105651629515398</v>
      </c>
      <c r="E397">
        <f t="shared" ca="1" si="59"/>
        <v>-1.0291126774366557E-13</v>
      </c>
      <c r="F397">
        <f t="shared" ca="1" si="60"/>
        <v>142.6658286356153</v>
      </c>
      <c r="G397">
        <f t="shared" ca="1" si="61"/>
        <v>46.354937703100006</v>
      </c>
      <c r="H397">
        <f t="shared" ca="1" si="62"/>
        <v>150.00772949999956</v>
      </c>
      <c r="I397">
        <f t="shared" ca="1" si="63"/>
        <v>72</v>
      </c>
    </row>
    <row r="398" spans="1:9" x14ac:dyDescent="0.25">
      <c r="A398">
        <f t="shared" si="64"/>
        <v>0.38700000000000001</v>
      </c>
      <c r="B398">
        <f t="shared" si="58"/>
        <v>-65.556410271671893</v>
      </c>
      <c r="C398">
        <f t="shared" si="65"/>
        <v>-0.58778525229247358</v>
      </c>
      <c r="D398">
        <f t="shared" si="66"/>
        <v>0.80901699437494712</v>
      </c>
      <c r="E398">
        <f t="shared" ca="1" si="59"/>
        <v>-9.7470405080457561E-14</v>
      </c>
      <c r="F398">
        <f t="shared" ca="1" si="60"/>
        <v>142.66582863561536</v>
      </c>
      <c r="G398">
        <f t="shared" ca="1" si="61"/>
        <v>46.354937703099928</v>
      </c>
      <c r="H398">
        <f t="shared" ca="1" si="62"/>
        <v>150.00772949999958</v>
      </c>
      <c r="I398">
        <f t="shared" ca="1" si="63"/>
        <v>72.000000000000043</v>
      </c>
    </row>
    <row r="399" spans="1:9" x14ac:dyDescent="0.25">
      <c r="A399">
        <f t="shared" si="64"/>
        <v>0.38800000000000001</v>
      </c>
      <c r="B399">
        <f t="shared" si="58"/>
        <v>-124.69570234758832</v>
      </c>
      <c r="C399">
        <f t="shared" si="65"/>
        <v>-0.80901699437494878</v>
      </c>
      <c r="D399">
        <f t="shared" si="66"/>
        <v>0.58778525229247125</v>
      </c>
      <c r="E399">
        <f t="shared" ca="1" si="59"/>
        <v>-8.3402511563690492E-14</v>
      </c>
      <c r="F399">
        <f t="shared" ca="1" si="60"/>
        <v>142.66582863561541</v>
      </c>
      <c r="G399">
        <f t="shared" ca="1" si="61"/>
        <v>46.354937703099878</v>
      </c>
      <c r="H399">
        <f t="shared" ca="1" si="62"/>
        <v>150.00772949999961</v>
      </c>
      <c r="I399">
        <f t="shared" ca="1" si="63"/>
        <v>72.000000000000057</v>
      </c>
    </row>
    <row r="400" spans="1:9" x14ac:dyDescent="0.25">
      <c r="A400">
        <f t="shared" si="64"/>
        <v>0.38900000000000001</v>
      </c>
      <c r="B400">
        <f t="shared" si="58"/>
        <v>-171.62891027167285</v>
      </c>
      <c r="C400">
        <f t="shared" si="65"/>
        <v>-0.95105651629515486</v>
      </c>
      <c r="D400">
        <f t="shared" si="66"/>
        <v>0.30901699437494351</v>
      </c>
      <c r="E400">
        <f t="shared" ca="1" si="59"/>
        <v>-6.0290972214716014E-14</v>
      </c>
      <c r="F400">
        <f t="shared" ca="1" si="60"/>
        <v>142.66582863561547</v>
      </c>
      <c r="G400">
        <f t="shared" ca="1" si="61"/>
        <v>46.354937703099857</v>
      </c>
      <c r="H400">
        <f t="shared" ca="1" si="62"/>
        <v>150.00772949999964</v>
      </c>
      <c r="I400">
        <f t="shared" ca="1" si="63"/>
        <v>72.000000000000071</v>
      </c>
    </row>
    <row r="401" spans="1:9" x14ac:dyDescent="0.25">
      <c r="A401">
        <f t="shared" si="64"/>
        <v>0.39</v>
      </c>
      <c r="B401">
        <f t="shared" si="58"/>
        <v>-201.76188464943621</v>
      </c>
      <c r="C401">
        <f t="shared" si="65"/>
        <v>-1</v>
      </c>
      <c r="D401">
        <f t="shared" si="66"/>
        <v>-5.8800620622578847E-15</v>
      </c>
      <c r="E401">
        <f t="shared" ca="1" si="59"/>
        <v>-3.2155185181181876E-14</v>
      </c>
      <c r="F401">
        <f t="shared" ca="1" si="60"/>
        <v>142.6658286356155</v>
      </c>
      <c r="G401">
        <f t="shared" ca="1" si="61"/>
        <v>46.354937703099857</v>
      </c>
      <c r="H401">
        <f t="shared" ca="1" si="62"/>
        <v>150.00772949999967</v>
      </c>
      <c r="I401">
        <f t="shared" ca="1" si="63"/>
        <v>72.000000000000071</v>
      </c>
    </row>
    <row r="402" spans="1:9" x14ac:dyDescent="0.25">
      <c r="A402">
        <f t="shared" si="64"/>
        <v>0.39100000000000001</v>
      </c>
      <c r="B402">
        <f t="shared" si="58"/>
        <v>-212.14500000000001</v>
      </c>
      <c r="C402">
        <f t="shared" si="65"/>
        <v>-0.9510565162951512</v>
      </c>
      <c r="D402">
        <f t="shared" si="66"/>
        <v>-0.30901699437495467</v>
      </c>
      <c r="E402">
        <f t="shared" ca="1" si="59"/>
        <v>0</v>
      </c>
      <c r="F402">
        <f t="shared" ca="1" si="60"/>
        <v>142.6658286356155</v>
      </c>
      <c r="G402">
        <f t="shared" ca="1" si="61"/>
        <v>46.354937703099857</v>
      </c>
      <c r="H402">
        <f t="shared" ca="1" si="62"/>
        <v>150.00772949999967</v>
      </c>
      <c r="I402">
        <f t="shared" ca="1" si="63"/>
        <v>72.000000000000071</v>
      </c>
    </row>
    <row r="403" spans="1:9" x14ac:dyDescent="0.25">
      <c r="A403">
        <f t="shared" si="64"/>
        <v>0.39200000000000002</v>
      </c>
      <c r="B403">
        <f t="shared" si="58"/>
        <v>-201.76188464943431</v>
      </c>
      <c r="C403">
        <f t="shared" si="65"/>
        <v>-0.8090169943749419</v>
      </c>
      <c r="D403">
        <f t="shared" si="66"/>
        <v>-0.58778525229248069</v>
      </c>
      <c r="E403">
        <f t="shared" ca="1" si="59"/>
        <v>3.0145486107358007E-14</v>
      </c>
      <c r="F403">
        <f t="shared" ca="1" si="60"/>
        <v>142.66582863561547</v>
      </c>
      <c r="G403">
        <f t="shared" ca="1" si="61"/>
        <v>46.354937703099843</v>
      </c>
      <c r="H403">
        <f t="shared" ca="1" si="62"/>
        <v>150.00772949999964</v>
      </c>
      <c r="I403">
        <f t="shared" ca="1" si="63"/>
        <v>72.000000000000071</v>
      </c>
    </row>
    <row r="404" spans="1:9" x14ac:dyDescent="0.25">
      <c r="A404">
        <f t="shared" si="64"/>
        <v>0.39300000000000002</v>
      </c>
      <c r="B404">
        <f t="shared" si="58"/>
        <v>-171.62891027167271</v>
      </c>
      <c r="C404">
        <f t="shared" si="65"/>
        <v>-0.58778525229246414</v>
      </c>
      <c r="D404">
        <f t="shared" si="66"/>
        <v>-0.809016994374954</v>
      </c>
      <c r="E404">
        <f t="shared" ca="1" si="59"/>
        <v>6.2300671288539882E-14</v>
      </c>
      <c r="F404">
        <f t="shared" ca="1" si="60"/>
        <v>142.66582863561544</v>
      </c>
      <c r="G404">
        <f t="shared" ca="1" si="61"/>
        <v>46.354937703099793</v>
      </c>
      <c r="H404">
        <f t="shared" ca="1" si="62"/>
        <v>150.00772949999961</v>
      </c>
      <c r="I404">
        <f t="shared" ca="1" si="63"/>
        <v>72.000000000000085</v>
      </c>
    </row>
    <row r="405" spans="1:9" x14ac:dyDescent="0.25">
      <c r="A405">
        <f t="shared" si="64"/>
        <v>0.39400000000000002</v>
      </c>
      <c r="B405">
        <f t="shared" si="58"/>
        <v>-124.69570234758328</v>
      </c>
      <c r="C405">
        <f t="shared" si="65"/>
        <v>-0.30901699437493513</v>
      </c>
      <c r="D405">
        <f t="shared" si="66"/>
        <v>-0.95105651629515753</v>
      </c>
      <c r="E405">
        <f t="shared" ca="1" si="59"/>
        <v>8.3402511563690492E-14</v>
      </c>
      <c r="F405">
        <f t="shared" ca="1" si="60"/>
        <v>142.66582863561541</v>
      </c>
      <c r="G405">
        <f t="shared" ca="1" si="61"/>
        <v>46.354937703099715</v>
      </c>
      <c r="H405">
        <f t="shared" ca="1" si="62"/>
        <v>150.00772949999956</v>
      </c>
      <c r="I405">
        <f t="shared" ca="1" si="63"/>
        <v>72.000000000000114</v>
      </c>
    </row>
    <row r="406" spans="1:9" x14ac:dyDescent="0.25">
      <c r="A406">
        <f t="shared" si="64"/>
        <v>0.39500000000000002</v>
      </c>
      <c r="B406">
        <f t="shared" si="58"/>
        <v>-65.556410271671695</v>
      </c>
      <c r="C406">
        <f t="shared" si="65"/>
        <v>4.8973412131170235E-16</v>
      </c>
      <c r="D406">
        <f t="shared" si="66"/>
        <v>-1</v>
      </c>
      <c r="E406">
        <f t="shared" ca="1" si="59"/>
        <v>9.8475254617369496E-14</v>
      </c>
      <c r="F406">
        <f t="shared" ca="1" si="60"/>
        <v>142.66582863561541</v>
      </c>
      <c r="G406">
        <f t="shared" ca="1" si="61"/>
        <v>46.354937703099615</v>
      </c>
      <c r="H406">
        <f t="shared" ca="1" si="62"/>
        <v>150.00772949999953</v>
      </c>
      <c r="I406">
        <f t="shared" ca="1" si="63"/>
        <v>72.000000000000156</v>
      </c>
    </row>
    <row r="407" spans="1:9" x14ac:dyDescent="0.25">
      <c r="A407">
        <f t="shared" si="64"/>
        <v>0.39600000000000002</v>
      </c>
      <c r="B407">
        <f t="shared" si="58"/>
        <v>-1.0396364758663568E-12</v>
      </c>
      <c r="C407">
        <f t="shared" si="65"/>
        <v>0.30901699437494956</v>
      </c>
      <c r="D407">
        <f t="shared" si="66"/>
        <v>-0.95105651629515287</v>
      </c>
      <c r="E407">
        <f t="shared" ca="1" si="59"/>
        <v>1.0291126774366557E-13</v>
      </c>
      <c r="F407">
        <f t="shared" ca="1" si="60"/>
        <v>142.66582863561544</v>
      </c>
      <c r="G407">
        <f t="shared" ca="1" si="61"/>
        <v>46.354937703099516</v>
      </c>
      <c r="H407">
        <f t="shared" ca="1" si="62"/>
        <v>150.00772949999953</v>
      </c>
      <c r="I407">
        <f t="shared" ca="1" si="63"/>
        <v>72.000000000000185</v>
      </c>
    </row>
    <row r="408" spans="1:9" x14ac:dyDescent="0.25">
      <c r="A408">
        <f t="shared" si="64"/>
        <v>0.39700000000000002</v>
      </c>
      <c r="B408">
        <f t="shared" si="58"/>
        <v>65.55641027167546</v>
      </c>
      <c r="C408">
        <f t="shared" si="65"/>
        <v>0.58778525229247636</v>
      </c>
      <c r="D408">
        <f t="shared" si="66"/>
        <v>-0.80901699437494501</v>
      </c>
      <c r="E408">
        <f t="shared" ca="1" si="59"/>
        <v>9.7470405080457561E-14</v>
      </c>
      <c r="F408">
        <f t="shared" ca="1" si="60"/>
        <v>142.6658286356155</v>
      </c>
      <c r="G408">
        <f t="shared" ca="1" si="61"/>
        <v>46.354937703099438</v>
      </c>
      <c r="H408">
        <f t="shared" ca="1" si="62"/>
        <v>150.00772949999956</v>
      </c>
      <c r="I408">
        <f t="shared" ca="1" si="63"/>
        <v>72.000000000000227</v>
      </c>
    </row>
    <row r="409" spans="1:9" x14ac:dyDescent="0.25">
      <c r="A409">
        <f t="shared" si="64"/>
        <v>0.39800000000000002</v>
      </c>
      <c r="B409">
        <f t="shared" si="58"/>
        <v>124.69570234758649</v>
      </c>
      <c r="C409">
        <f t="shared" si="65"/>
        <v>0.80901699437495078</v>
      </c>
      <c r="D409">
        <f t="shared" si="66"/>
        <v>-0.58778525229246847</v>
      </c>
      <c r="E409">
        <f t="shared" ca="1" si="59"/>
        <v>8.3402511563690492E-14</v>
      </c>
      <c r="F409">
        <f t="shared" ca="1" si="60"/>
        <v>142.66582863561555</v>
      </c>
      <c r="G409">
        <f t="shared" ca="1" si="61"/>
        <v>46.354937703099388</v>
      </c>
      <c r="H409">
        <f t="shared" ca="1" si="62"/>
        <v>150.00772949999958</v>
      </c>
      <c r="I409">
        <f t="shared" ca="1" si="63"/>
        <v>72.000000000000256</v>
      </c>
    </row>
    <row r="410" spans="1:9" x14ac:dyDescent="0.25">
      <c r="A410">
        <f t="shared" si="64"/>
        <v>0.39900000000000002</v>
      </c>
      <c r="B410">
        <f t="shared" si="58"/>
        <v>171.62891027167504</v>
      </c>
      <c r="C410">
        <f t="shared" si="65"/>
        <v>0.95105651629515586</v>
      </c>
      <c r="D410">
        <f t="shared" si="66"/>
        <v>-0.30901699437494023</v>
      </c>
      <c r="E410">
        <f t="shared" ca="1" si="59"/>
        <v>5.8281273140892145E-14</v>
      </c>
      <c r="F410">
        <f t="shared" ca="1" si="60"/>
        <v>142.66582863561561</v>
      </c>
      <c r="G410">
        <f t="shared" ca="1" si="61"/>
        <v>46.354937703099367</v>
      </c>
      <c r="H410">
        <f t="shared" ca="1" si="62"/>
        <v>150.00772949999964</v>
      </c>
      <c r="I410">
        <f t="shared" ca="1" si="63"/>
        <v>72.00000000000027</v>
      </c>
    </row>
    <row r="411" spans="1:9" x14ac:dyDescent="0.25">
      <c r="A411">
        <f t="shared" si="64"/>
        <v>0.4</v>
      </c>
      <c r="B411">
        <f t="shared" si="58"/>
        <v>201.7618846494355</v>
      </c>
      <c r="C411">
        <f t="shared" si="65"/>
        <v>1</v>
      </c>
      <c r="D411">
        <f t="shared" si="66"/>
        <v>9.3102608955675237E-15</v>
      </c>
      <c r="E411">
        <f t="shared" ca="1" si="59"/>
        <v>3.2155185181181876E-14</v>
      </c>
      <c r="F411">
        <f t="shared" ca="1" si="60"/>
        <v>142.66582863561564</v>
      </c>
      <c r="G411">
        <f t="shared" ca="1" si="61"/>
        <v>46.354937703099367</v>
      </c>
      <c r="H411">
        <f t="shared" ca="1" si="62"/>
        <v>150.00772949999967</v>
      </c>
      <c r="I411">
        <f t="shared" ca="1" si="63"/>
        <v>72.00000000000027</v>
      </c>
    </row>
    <row r="412" spans="1:9" x14ac:dyDescent="0.25">
      <c r="A412">
        <f t="shared" si="64"/>
        <v>0.40100000000000002</v>
      </c>
      <c r="B412">
        <f t="shared" si="58"/>
        <v>212.14500000000001</v>
      </c>
      <c r="C412">
        <f t="shared" si="65"/>
        <v>0.9510565162951502</v>
      </c>
      <c r="D412">
        <f t="shared" si="66"/>
        <v>0.30901699437495794</v>
      </c>
      <c r="E412">
        <f t="shared" ca="1" si="59"/>
        <v>0</v>
      </c>
      <c r="F412">
        <f t="shared" ca="1" si="60"/>
        <v>142.66582863561564</v>
      </c>
      <c r="G412">
        <f t="shared" ca="1" si="61"/>
        <v>46.354937703099367</v>
      </c>
      <c r="H412">
        <f t="shared" ca="1" si="62"/>
        <v>150.00772949999967</v>
      </c>
      <c r="I412">
        <f t="shared" ca="1" si="63"/>
        <v>72.00000000000027</v>
      </c>
    </row>
    <row r="413" spans="1:9" x14ac:dyDescent="0.25">
      <c r="A413">
        <f t="shared" si="64"/>
        <v>0.40200000000000002</v>
      </c>
      <c r="B413">
        <f t="shared" si="58"/>
        <v>201.76188464943499</v>
      </c>
      <c r="C413">
        <f t="shared" si="65"/>
        <v>0.8090169943749399</v>
      </c>
      <c r="D413">
        <f t="shared" si="66"/>
        <v>0.58778525229248346</v>
      </c>
      <c r="E413">
        <f t="shared" ca="1" si="59"/>
        <v>-3.2155185181181876E-14</v>
      </c>
      <c r="F413">
        <f t="shared" ca="1" si="60"/>
        <v>142.66582863561561</v>
      </c>
      <c r="G413">
        <f t="shared" ca="1" si="61"/>
        <v>46.354937703099345</v>
      </c>
      <c r="H413">
        <f t="shared" ca="1" si="62"/>
        <v>150.00772949999964</v>
      </c>
      <c r="I413">
        <f t="shared" ca="1" si="63"/>
        <v>72.00000000000027</v>
      </c>
    </row>
    <row r="414" spans="1:9" x14ac:dyDescent="0.25">
      <c r="A414">
        <f t="shared" si="64"/>
        <v>0.40300000000000002</v>
      </c>
      <c r="B414">
        <f t="shared" si="58"/>
        <v>171.62891027167052</v>
      </c>
      <c r="C414">
        <f t="shared" si="65"/>
        <v>0.58778525229246137</v>
      </c>
      <c r="D414">
        <f t="shared" si="66"/>
        <v>0.809016994374956</v>
      </c>
      <c r="E414">
        <f t="shared" ca="1" si="59"/>
        <v>-6.0290972214716014E-14</v>
      </c>
      <c r="F414">
        <f t="shared" ca="1" si="60"/>
        <v>142.66582863561558</v>
      </c>
      <c r="G414">
        <f t="shared" ca="1" si="61"/>
        <v>46.354937703099296</v>
      </c>
      <c r="H414">
        <f t="shared" ca="1" si="62"/>
        <v>150.00772949999958</v>
      </c>
      <c r="I414">
        <f t="shared" ca="1" si="63"/>
        <v>72.000000000000284</v>
      </c>
    </row>
    <row r="415" spans="1:9" x14ac:dyDescent="0.25">
      <c r="A415">
        <f t="shared" si="64"/>
        <v>0.40400000000000003</v>
      </c>
      <c r="B415">
        <f t="shared" si="58"/>
        <v>124.69570234758514</v>
      </c>
      <c r="C415">
        <f t="shared" si="65"/>
        <v>0.3090169943749454</v>
      </c>
      <c r="D415">
        <f t="shared" si="66"/>
        <v>0.9510565162951542</v>
      </c>
      <c r="E415">
        <f t="shared" ca="1" si="59"/>
        <v>-8.3402511563690492E-14</v>
      </c>
      <c r="F415">
        <f t="shared" ca="1" si="60"/>
        <v>142.66582863561555</v>
      </c>
      <c r="G415">
        <f t="shared" ca="1" si="61"/>
        <v>46.354937703099218</v>
      </c>
      <c r="H415">
        <f t="shared" ca="1" si="62"/>
        <v>150.00772949999956</v>
      </c>
      <c r="I415">
        <f t="shared" ca="1" si="63"/>
        <v>72.000000000000313</v>
      </c>
    </row>
    <row r="416" spans="1:9" x14ac:dyDescent="0.25">
      <c r="A416">
        <f t="shared" si="64"/>
        <v>0.40500000000000003</v>
      </c>
      <c r="B416">
        <f t="shared" si="58"/>
        <v>65.556410271673883</v>
      </c>
      <c r="C416">
        <f t="shared" si="65"/>
        <v>-3.9199329546213413E-15</v>
      </c>
      <c r="D416">
        <f t="shared" si="66"/>
        <v>1</v>
      </c>
      <c r="E416">
        <f t="shared" ca="1" si="59"/>
        <v>-9.7470405080457561E-14</v>
      </c>
      <c r="F416">
        <f t="shared" ca="1" si="60"/>
        <v>142.66582863561555</v>
      </c>
      <c r="G416">
        <f t="shared" ca="1" si="61"/>
        <v>46.354937703099118</v>
      </c>
      <c r="H416">
        <f t="shared" ca="1" si="62"/>
        <v>150.0077294999995</v>
      </c>
      <c r="I416">
        <f t="shared" ca="1" si="63"/>
        <v>72.000000000000355</v>
      </c>
    </row>
    <row r="417" spans="1:9" x14ac:dyDescent="0.25">
      <c r="A417">
        <f t="shared" si="64"/>
        <v>0.40600000000000003</v>
      </c>
      <c r="B417">
        <f t="shared" si="58"/>
        <v>-2.702824829182646E-12</v>
      </c>
      <c r="C417">
        <f t="shared" si="65"/>
        <v>-0.30901699437495284</v>
      </c>
      <c r="D417">
        <f t="shared" si="66"/>
        <v>0.95105651629515187</v>
      </c>
      <c r="E417">
        <f t="shared" ca="1" si="59"/>
        <v>-1.0291126774366561E-13</v>
      </c>
      <c r="F417">
        <f t="shared" ca="1" si="60"/>
        <v>142.66582863561558</v>
      </c>
      <c r="G417">
        <f t="shared" ca="1" si="61"/>
        <v>46.354937703099019</v>
      </c>
      <c r="H417">
        <f t="shared" ca="1" si="62"/>
        <v>150.0077294999995</v>
      </c>
      <c r="I417">
        <f t="shared" ca="1" si="63"/>
        <v>72.000000000000398</v>
      </c>
    </row>
    <row r="418" spans="1:9" x14ac:dyDescent="0.25">
      <c r="A418">
        <f t="shared" si="64"/>
        <v>0.40700000000000003</v>
      </c>
      <c r="B418">
        <f t="shared" si="58"/>
        <v>-65.556410271673286</v>
      </c>
      <c r="C418">
        <f t="shared" si="65"/>
        <v>-0.58778525229247913</v>
      </c>
      <c r="D418">
        <f t="shared" si="66"/>
        <v>0.80901699437494301</v>
      </c>
      <c r="E418">
        <f t="shared" ca="1" si="59"/>
        <v>-9.8475254617369496E-14</v>
      </c>
      <c r="F418">
        <f t="shared" ca="1" si="60"/>
        <v>142.66582863561564</v>
      </c>
      <c r="G418">
        <f t="shared" ca="1" si="61"/>
        <v>46.35493770309894</v>
      </c>
      <c r="H418">
        <f t="shared" ca="1" si="62"/>
        <v>150.00772949999953</v>
      </c>
      <c r="I418">
        <f t="shared" ca="1" si="63"/>
        <v>72.000000000000412</v>
      </c>
    </row>
    <row r="419" spans="1:9" x14ac:dyDescent="0.25">
      <c r="A419">
        <f t="shared" si="64"/>
        <v>0.40800000000000003</v>
      </c>
      <c r="B419">
        <f t="shared" si="58"/>
        <v>-124.6957023475895</v>
      </c>
      <c r="C419">
        <f t="shared" si="65"/>
        <v>-0.80901699437495289</v>
      </c>
      <c r="D419">
        <f t="shared" si="66"/>
        <v>0.5877852522924657</v>
      </c>
      <c r="E419">
        <f t="shared" ca="1" si="59"/>
        <v>-8.3402511563690492E-14</v>
      </c>
      <c r="F419">
        <f t="shared" ca="1" si="60"/>
        <v>142.6658286356157</v>
      </c>
      <c r="G419">
        <f t="shared" ca="1" si="61"/>
        <v>46.354937703098891</v>
      </c>
      <c r="H419">
        <f t="shared" ca="1" si="62"/>
        <v>150.00772949999958</v>
      </c>
      <c r="I419">
        <f t="shared" ca="1" si="63"/>
        <v>72.000000000000441</v>
      </c>
    </row>
    <row r="420" spans="1:9" x14ac:dyDescent="0.25">
      <c r="A420">
        <f t="shared" si="64"/>
        <v>0.40900000000000003</v>
      </c>
      <c r="B420">
        <f t="shared" si="58"/>
        <v>-171.6289102716737</v>
      </c>
      <c r="C420">
        <f t="shared" si="65"/>
        <v>-0.95105651629515253</v>
      </c>
      <c r="D420">
        <f t="shared" si="66"/>
        <v>0.3090169943749505</v>
      </c>
      <c r="E420">
        <f t="shared" ca="1" si="59"/>
        <v>-6.0290972214716014E-14</v>
      </c>
      <c r="F420">
        <f t="shared" ca="1" si="60"/>
        <v>142.66582863561575</v>
      </c>
      <c r="G420">
        <f t="shared" ca="1" si="61"/>
        <v>46.354937703098869</v>
      </c>
      <c r="H420">
        <f t="shared" ca="1" si="62"/>
        <v>150.00772949999961</v>
      </c>
      <c r="I420">
        <f t="shared" ca="1" si="63"/>
        <v>72.000000000000469</v>
      </c>
    </row>
    <row r="421" spans="1:9" x14ac:dyDescent="0.25">
      <c r="A421">
        <f t="shared" si="64"/>
        <v>0.41000000000000003</v>
      </c>
      <c r="B421">
        <f t="shared" ref="B421:B473" si="67">1.5*$B$6*SIN((A421*$C$1)+PI()/2.5)</f>
        <v>-201.76188464943664</v>
      </c>
      <c r="C421">
        <f t="shared" si="65"/>
        <v>-1</v>
      </c>
      <c r="D421">
        <f t="shared" si="66"/>
        <v>-1.2740459728877163E-14</v>
      </c>
      <c r="E421">
        <f t="shared" ref="E421:E473" ca="1" si="68">(1.4142/$B$2)*(B421-IF((ROW($A421)-ROW($A$11))&lt;$B$2,0,OFFSET($B421,-$B$2,0)))</f>
        <v>-3.0145486107358007E-14</v>
      </c>
      <c r="F421">
        <f t="shared" ref="F421:F473" ca="1" si="69">F420+$E421*COS($A421*$C$1)</f>
        <v>142.66582863561578</v>
      </c>
      <c r="G421">
        <f t="shared" ref="G421:G473" ca="1" si="70">G420+$E421*SIN($A421*$C$1)</f>
        <v>46.354937703098869</v>
      </c>
      <c r="H421">
        <f t="shared" ref="H421:H473" ca="1" si="71">IF(F421="","",SQRT(F421^2+G421^2))</f>
        <v>150.00772949999964</v>
      </c>
      <c r="I421">
        <f t="shared" ref="I421:I473" ca="1" si="72">IF(F421="","",ATAN2(G421,F421)*180/PI())</f>
        <v>72.000000000000469</v>
      </c>
    </row>
    <row r="422" spans="1:9" x14ac:dyDescent="0.25">
      <c r="A422">
        <f t="shared" si="64"/>
        <v>0.41100000000000003</v>
      </c>
      <c r="B422">
        <f t="shared" si="67"/>
        <v>-212.14500000000001</v>
      </c>
      <c r="C422">
        <f t="shared" si="65"/>
        <v>-0.95105651629515353</v>
      </c>
      <c r="D422">
        <f t="shared" si="66"/>
        <v>-0.30901699437494773</v>
      </c>
      <c r="E422">
        <f t="shared" ca="1" si="68"/>
        <v>0</v>
      </c>
      <c r="F422">
        <f t="shared" ca="1" si="69"/>
        <v>142.66582863561578</v>
      </c>
      <c r="G422">
        <f t="shared" ca="1" si="70"/>
        <v>46.354937703098869</v>
      </c>
      <c r="H422">
        <f t="shared" ca="1" si="71"/>
        <v>150.00772949999964</v>
      </c>
      <c r="I422">
        <f t="shared" ca="1" si="72"/>
        <v>72.000000000000469</v>
      </c>
    </row>
    <row r="423" spans="1:9" x14ac:dyDescent="0.25">
      <c r="A423">
        <f t="shared" si="64"/>
        <v>0.41200000000000003</v>
      </c>
      <c r="B423">
        <f t="shared" si="67"/>
        <v>-201.76188464943382</v>
      </c>
      <c r="C423">
        <f t="shared" si="65"/>
        <v>-0.8090169943749379</v>
      </c>
      <c r="D423">
        <f t="shared" si="66"/>
        <v>-0.58778525229248624</v>
      </c>
      <c r="E423">
        <f t="shared" ca="1" si="68"/>
        <v>3.4164884255005744E-14</v>
      </c>
      <c r="F423">
        <f t="shared" ca="1" si="69"/>
        <v>142.66582863561575</v>
      </c>
      <c r="G423">
        <f t="shared" ca="1" si="70"/>
        <v>46.354937703098848</v>
      </c>
      <c r="H423">
        <f t="shared" ca="1" si="71"/>
        <v>150.00772949999961</v>
      </c>
      <c r="I423">
        <f t="shared" ca="1" si="72"/>
        <v>72.000000000000469</v>
      </c>
    </row>
    <row r="424" spans="1:9" x14ac:dyDescent="0.25">
      <c r="A424">
        <f t="shared" si="64"/>
        <v>0.41300000000000003</v>
      </c>
      <c r="B424">
        <f t="shared" si="67"/>
        <v>-171.62891027167186</v>
      </c>
      <c r="C424">
        <f t="shared" si="65"/>
        <v>-0.58778525229247003</v>
      </c>
      <c r="D424">
        <f t="shared" si="66"/>
        <v>-0.80901699437494967</v>
      </c>
      <c r="E424">
        <f t="shared" ca="1" si="68"/>
        <v>6.0290972214716014E-14</v>
      </c>
      <c r="F424">
        <f t="shared" ca="1" si="69"/>
        <v>142.66582863561572</v>
      </c>
      <c r="G424">
        <f t="shared" ca="1" si="70"/>
        <v>46.354937703098798</v>
      </c>
      <c r="H424">
        <f t="shared" ca="1" si="71"/>
        <v>150.00772949999958</v>
      </c>
      <c r="I424">
        <f t="shared" ca="1" si="72"/>
        <v>72.000000000000483</v>
      </c>
    </row>
    <row r="425" spans="1:9" x14ac:dyDescent="0.25">
      <c r="A425">
        <f t="shared" si="64"/>
        <v>0.41400000000000003</v>
      </c>
      <c r="B425">
        <f t="shared" si="67"/>
        <v>-124.6957023475821</v>
      </c>
      <c r="C425">
        <f t="shared" si="65"/>
        <v>-0.30901699437492858</v>
      </c>
      <c r="D425">
        <f t="shared" si="66"/>
        <v>-0.95105651629515964</v>
      </c>
      <c r="E425">
        <f t="shared" ca="1" si="68"/>
        <v>8.3402511563690492E-14</v>
      </c>
      <c r="F425">
        <f t="shared" ca="1" si="69"/>
        <v>142.6658286356157</v>
      </c>
      <c r="G425">
        <f t="shared" ca="1" si="70"/>
        <v>46.35493770309872</v>
      </c>
      <c r="H425">
        <f t="shared" ca="1" si="71"/>
        <v>150.00772949999953</v>
      </c>
      <c r="I425">
        <f t="shared" ca="1" si="72"/>
        <v>72.000000000000512</v>
      </c>
    </row>
    <row r="426" spans="1:9" x14ac:dyDescent="0.25">
      <c r="A426">
        <f t="shared" si="64"/>
        <v>0.41500000000000004</v>
      </c>
      <c r="B426">
        <f t="shared" si="67"/>
        <v>-65.556410271670316</v>
      </c>
      <c r="C426">
        <f t="shared" si="65"/>
        <v>7.3501317879309802E-15</v>
      </c>
      <c r="D426">
        <f t="shared" si="66"/>
        <v>-1</v>
      </c>
      <c r="E426">
        <f t="shared" ca="1" si="68"/>
        <v>9.7470405080457561E-14</v>
      </c>
      <c r="F426">
        <f t="shared" ca="1" si="69"/>
        <v>142.6658286356157</v>
      </c>
      <c r="G426">
        <f t="shared" ca="1" si="70"/>
        <v>46.354937703098621</v>
      </c>
      <c r="H426">
        <f t="shared" ca="1" si="71"/>
        <v>150.0077294999995</v>
      </c>
      <c r="I426">
        <f t="shared" ca="1" si="72"/>
        <v>72.00000000000054</v>
      </c>
    </row>
    <row r="427" spans="1:9" x14ac:dyDescent="0.25">
      <c r="A427">
        <f t="shared" si="64"/>
        <v>0.41600000000000004</v>
      </c>
      <c r="B427">
        <f t="shared" si="67"/>
        <v>6.4452861342316487E-12</v>
      </c>
      <c r="C427">
        <f t="shared" si="65"/>
        <v>0.3090169943749696</v>
      </c>
      <c r="D427">
        <f t="shared" si="66"/>
        <v>-0.95105651629514631</v>
      </c>
      <c r="E427">
        <f t="shared" ca="1" si="68"/>
        <v>5.2925887776002995E-13</v>
      </c>
      <c r="F427">
        <f t="shared" ca="1" si="69"/>
        <v>142.66582863561587</v>
      </c>
      <c r="G427">
        <f t="shared" ca="1" si="70"/>
        <v>46.354937703098116</v>
      </c>
      <c r="H427">
        <f t="shared" ca="1" si="71"/>
        <v>150.0077294999995</v>
      </c>
      <c r="I427">
        <f t="shared" ca="1" si="72"/>
        <v>72.000000000000753</v>
      </c>
    </row>
    <row r="428" spans="1:9" x14ac:dyDescent="0.25">
      <c r="A428">
        <f t="shared" si="64"/>
        <v>0.41699999999999998</v>
      </c>
      <c r="B428">
        <f t="shared" si="67"/>
        <v>65.556410271671112</v>
      </c>
      <c r="C428">
        <f t="shared" si="65"/>
        <v>0.58778525229245893</v>
      </c>
      <c r="D428">
        <f t="shared" si="66"/>
        <v>-0.80901699437495778</v>
      </c>
      <c r="E428">
        <f t="shared" ca="1" si="68"/>
        <v>-3.0748395829505167E-13</v>
      </c>
      <c r="F428">
        <f t="shared" ca="1" si="69"/>
        <v>142.6658286356157</v>
      </c>
      <c r="G428">
        <f t="shared" ca="1" si="70"/>
        <v>46.354937703098365</v>
      </c>
      <c r="H428">
        <f t="shared" ca="1" si="71"/>
        <v>150.00772949999941</v>
      </c>
      <c r="I428">
        <f t="shared" ca="1" si="72"/>
        <v>72.000000000000639</v>
      </c>
    </row>
    <row r="429" spans="1:9" x14ac:dyDescent="0.25">
      <c r="A429">
        <f t="shared" si="64"/>
        <v>0.41799999999999998</v>
      </c>
      <c r="B429">
        <f t="shared" si="67"/>
        <v>124.69570234758766</v>
      </c>
      <c r="C429">
        <f t="shared" si="65"/>
        <v>0.80901699437494645</v>
      </c>
      <c r="D429">
        <f t="shared" si="66"/>
        <v>-0.58778525229247436</v>
      </c>
      <c r="E429">
        <f t="shared" ca="1" si="68"/>
        <v>8.2397662026778558E-14</v>
      </c>
      <c r="F429">
        <f t="shared" ca="1" si="69"/>
        <v>142.66582863561575</v>
      </c>
      <c r="G429">
        <f t="shared" ca="1" si="70"/>
        <v>46.354937703098315</v>
      </c>
      <c r="H429">
        <f t="shared" ca="1" si="71"/>
        <v>150.00772949999944</v>
      </c>
      <c r="I429">
        <f t="shared" ca="1" si="72"/>
        <v>72.000000000000654</v>
      </c>
    </row>
    <row r="430" spans="1:9" x14ac:dyDescent="0.25">
      <c r="A430">
        <f t="shared" si="64"/>
        <v>0.41899999999999998</v>
      </c>
      <c r="B430">
        <f t="shared" si="67"/>
        <v>171.62891027167237</v>
      </c>
      <c r="C430">
        <f t="shared" si="65"/>
        <v>0.9510565162951492</v>
      </c>
      <c r="D430">
        <f t="shared" si="66"/>
        <v>-0.30901699437496077</v>
      </c>
      <c r="E430">
        <f t="shared" ca="1" si="68"/>
        <v>-1.8891171293944352E-13</v>
      </c>
      <c r="F430">
        <f t="shared" ca="1" si="69"/>
        <v>142.66582863561558</v>
      </c>
      <c r="G430">
        <f t="shared" ca="1" si="70"/>
        <v>46.354937703098372</v>
      </c>
      <c r="H430">
        <f t="shared" ca="1" si="71"/>
        <v>150.0077294999993</v>
      </c>
      <c r="I430">
        <f t="shared" ca="1" si="72"/>
        <v>72.000000000000625</v>
      </c>
    </row>
    <row r="431" spans="1:9" x14ac:dyDescent="0.25">
      <c r="A431">
        <f t="shared" si="64"/>
        <v>0.42</v>
      </c>
      <c r="B431">
        <f t="shared" si="67"/>
        <v>201.76188464943596</v>
      </c>
      <c r="C431">
        <f t="shared" si="65"/>
        <v>1</v>
      </c>
      <c r="D431">
        <f t="shared" si="66"/>
        <v>1.9598038469847978E-15</v>
      </c>
      <c r="E431">
        <f t="shared" ca="1" si="68"/>
        <v>3.2155185181181876E-14</v>
      </c>
      <c r="F431">
        <f t="shared" ca="1" si="69"/>
        <v>142.66582863561561</v>
      </c>
      <c r="G431">
        <f t="shared" ca="1" si="70"/>
        <v>46.354937703098372</v>
      </c>
      <c r="H431">
        <f t="shared" ca="1" si="71"/>
        <v>150.00772949999933</v>
      </c>
      <c r="I431">
        <f t="shared" ca="1" si="72"/>
        <v>72.000000000000625</v>
      </c>
    </row>
    <row r="432" spans="1:9" x14ac:dyDescent="0.25">
      <c r="A432">
        <f t="shared" si="64"/>
        <v>0.42099999999999999</v>
      </c>
      <c r="B432">
        <f t="shared" si="67"/>
        <v>212.14500000000001</v>
      </c>
      <c r="C432">
        <f t="shared" si="65"/>
        <v>0.95105651629515686</v>
      </c>
      <c r="D432">
        <f t="shared" si="66"/>
        <v>0.30901699437493746</v>
      </c>
      <c r="E432">
        <f t="shared" ca="1" si="68"/>
        <v>0</v>
      </c>
      <c r="F432">
        <f t="shared" ca="1" si="69"/>
        <v>142.66582863561561</v>
      </c>
      <c r="G432">
        <f t="shared" ca="1" si="70"/>
        <v>46.354937703098372</v>
      </c>
      <c r="H432">
        <f t="shared" ca="1" si="71"/>
        <v>150.00772949999933</v>
      </c>
      <c r="I432">
        <f t="shared" ca="1" si="72"/>
        <v>72.000000000000625</v>
      </c>
    </row>
    <row r="433" spans="1:9" x14ac:dyDescent="0.25">
      <c r="A433">
        <f t="shared" si="64"/>
        <v>0.42199999999999999</v>
      </c>
      <c r="B433">
        <f t="shared" si="67"/>
        <v>201.76188464943453</v>
      </c>
      <c r="C433">
        <f t="shared" si="65"/>
        <v>0.80901699437494423</v>
      </c>
      <c r="D433">
        <f t="shared" si="66"/>
        <v>0.58778525229247758</v>
      </c>
      <c r="E433">
        <f t="shared" ca="1" si="68"/>
        <v>-3.2155185181181876E-14</v>
      </c>
      <c r="F433">
        <f t="shared" ca="1" si="69"/>
        <v>142.66582863561558</v>
      </c>
      <c r="G433">
        <f t="shared" ca="1" si="70"/>
        <v>46.354937703098351</v>
      </c>
      <c r="H433">
        <f t="shared" ca="1" si="71"/>
        <v>150.0077294999993</v>
      </c>
      <c r="I433">
        <f t="shared" ca="1" si="72"/>
        <v>72.000000000000639</v>
      </c>
    </row>
    <row r="434" spans="1:9" x14ac:dyDescent="0.25">
      <c r="A434">
        <f t="shared" si="64"/>
        <v>0.42299999999999999</v>
      </c>
      <c r="B434">
        <f t="shared" si="67"/>
        <v>171.62891027167322</v>
      </c>
      <c r="C434">
        <f t="shared" si="65"/>
        <v>0.5877852522924788</v>
      </c>
      <c r="D434">
        <f t="shared" si="66"/>
        <v>0.80901699437494334</v>
      </c>
      <c r="E434">
        <f t="shared" ca="1" si="68"/>
        <v>1.9092141201326738E-13</v>
      </c>
      <c r="F434">
        <f t="shared" ca="1" si="69"/>
        <v>142.6658286356157</v>
      </c>
      <c r="G434">
        <f t="shared" ca="1" si="70"/>
        <v>46.354937703098507</v>
      </c>
      <c r="H434">
        <f t="shared" ca="1" si="71"/>
        <v>150.00772949999947</v>
      </c>
      <c r="I434">
        <f t="shared" ca="1" si="72"/>
        <v>72.000000000000583</v>
      </c>
    </row>
    <row r="435" spans="1:9" x14ac:dyDescent="0.25">
      <c r="A435">
        <f t="shared" si="64"/>
        <v>0.42399999999999999</v>
      </c>
      <c r="B435">
        <f t="shared" si="67"/>
        <v>124.69570234758396</v>
      </c>
      <c r="C435">
        <f t="shared" si="65"/>
        <v>0.30901699437493885</v>
      </c>
      <c r="D435">
        <f t="shared" si="66"/>
        <v>0.95105651629515631</v>
      </c>
      <c r="E435">
        <f t="shared" ca="1" si="68"/>
        <v>-8.3402511563690492E-14</v>
      </c>
      <c r="F435">
        <f t="shared" ca="1" si="69"/>
        <v>142.66582863561567</v>
      </c>
      <c r="G435">
        <f t="shared" ca="1" si="70"/>
        <v>46.354937703098429</v>
      </c>
      <c r="H435">
        <f t="shared" ca="1" si="71"/>
        <v>150.00772949999941</v>
      </c>
      <c r="I435">
        <f t="shared" ca="1" si="72"/>
        <v>72.000000000000611</v>
      </c>
    </row>
    <row r="436" spans="1:9" x14ac:dyDescent="0.25">
      <c r="A436">
        <f t="shared" si="64"/>
        <v>0.42499999999999999</v>
      </c>
      <c r="B436">
        <f t="shared" si="67"/>
        <v>65.55641027167249</v>
      </c>
      <c r="C436">
        <f t="shared" si="65"/>
        <v>3.4305240939613846E-15</v>
      </c>
      <c r="D436">
        <f t="shared" si="66"/>
        <v>1</v>
      </c>
      <c r="E436">
        <f t="shared" ca="1" si="68"/>
        <v>-9.8475254617369496E-14</v>
      </c>
      <c r="F436">
        <f t="shared" ca="1" si="69"/>
        <v>142.66582863561567</v>
      </c>
      <c r="G436">
        <f t="shared" ca="1" si="70"/>
        <v>46.354937703098329</v>
      </c>
      <c r="H436">
        <f t="shared" ca="1" si="71"/>
        <v>150.00772949999939</v>
      </c>
      <c r="I436">
        <f t="shared" ca="1" si="72"/>
        <v>72.000000000000654</v>
      </c>
    </row>
    <row r="437" spans="1:9" x14ac:dyDescent="0.25">
      <c r="A437">
        <f t="shared" si="64"/>
        <v>0.42599999999999999</v>
      </c>
      <c r="B437">
        <f t="shared" si="67"/>
        <v>1.8712996549454658E-12</v>
      </c>
      <c r="C437">
        <f t="shared" si="65"/>
        <v>-0.3090169943749323</v>
      </c>
      <c r="D437">
        <f t="shared" si="66"/>
        <v>0.95105651629515853</v>
      </c>
      <c r="E437">
        <f t="shared" ca="1" si="68"/>
        <v>3.2343634227269874E-13</v>
      </c>
      <c r="F437">
        <f t="shared" ca="1" si="69"/>
        <v>142.66582863561555</v>
      </c>
      <c r="G437">
        <f t="shared" ca="1" si="70"/>
        <v>46.354937703098635</v>
      </c>
      <c r="H437">
        <f t="shared" ca="1" si="71"/>
        <v>150.00772949999936</v>
      </c>
      <c r="I437">
        <f t="shared" ca="1" si="72"/>
        <v>72.000000000000526</v>
      </c>
    </row>
    <row r="438" spans="1:9" x14ac:dyDescent="0.25">
      <c r="A438">
        <f t="shared" si="64"/>
        <v>0.42699999999999999</v>
      </c>
      <c r="B438">
        <f t="shared" si="67"/>
        <v>-65.556410271674665</v>
      </c>
      <c r="C438">
        <f t="shared" si="65"/>
        <v>-0.58778525229247325</v>
      </c>
      <c r="D438">
        <f t="shared" si="66"/>
        <v>0.80901699437494734</v>
      </c>
      <c r="E438">
        <f t="shared" ca="1" si="68"/>
        <v>-9.7470405080457561E-14</v>
      </c>
      <c r="F438">
        <f t="shared" ca="1" si="69"/>
        <v>142.66582863561561</v>
      </c>
      <c r="G438">
        <f t="shared" ca="1" si="70"/>
        <v>46.354937703098557</v>
      </c>
      <c r="H438">
        <f t="shared" ca="1" si="71"/>
        <v>150.00772949999939</v>
      </c>
      <c r="I438">
        <f t="shared" ca="1" si="72"/>
        <v>72.000000000000554</v>
      </c>
    </row>
    <row r="439" spans="1:9" x14ac:dyDescent="0.25">
      <c r="A439">
        <f t="shared" si="64"/>
        <v>0.42799999999999999</v>
      </c>
      <c r="B439">
        <f t="shared" si="67"/>
        <v>-124.69570234758581</v>
      </c>
      <c r="C439">
        <f t="shared" si="65"/>
        <v>-0.80901699437494012</v>
      </c>
      <c r="D439">
        <f t="shared" si="66"/>
        <v>0.58778525229248313</v>
      </c>
      <c r="E439">
        <f t="shared" ca="1" si="68"/>
        <v>2.6126087959710274E-13</v>
      </c>
      <c r="F439">
        <f t="shared" ca="1" si="69"/>
        <v>142.66582863561541</v>
      </c>
      <c r="G439">
        <f t="shared" ca="1" si="70"/>
        <v>46.354937703098713</v>
      </c>
      <c r="H439">
        <f t="shared" ca="1" si="71"/>
        <v>150.00772949999924</v>
      </c>
      <c r="I439">
        <f t="shared" ca="1" si="72"/>
        <v>72.000000000000483</v>
      </c>
    </row>
    <row r="440" spans="1:9" x14ac:dyDescent="0.25">
      <c r="A440">
        <f t="shared" si="64"/>
        <v>0.42899999999999999</v>
      </c>
      <c r="B440">
        <f t="shared" si="67"/>
        <v>-171.62891027167456</v>
      </c>
      <c r="C440">
        <f t="shared" si="65"/>
        <v>-0.95105651629515464</v>
      </c>
      <c r="D440">
        <f t="shared" si="66"/>
        <v>0.30901699437494395</v>
      </c>
      <c r="E440">
        <f t="shared" ca="1" si="68"/>
        <v>-6.0290972214716014E-14</v>
      </c>
      <c r="F440">
        <f t="shared" ca="1" si="69"/>
        <v>142.66582863561547</v>
      </c>
      <c r="G440">
        <f t="shared" ca="1" si="70"/>
        <v>46.354937703098692</v>
      </c>
      <c r="H440">
        <f t="shared" ca="1" si="71"/>
        <v>150.0077294999993</v>
      </c>
      <c r="I440">
        <f t="shared" ca="1" si="72"/>
        <v>72.000000000000497</v>
      </c>
    </row>
    <row r="441" spans="1:9" x14ac:dyDescent="0.25">
      <c r="A441">
        <f t="shared" si="64"/>
        <v>0.43</v>
      </c>
      <c r="B441">
        <f t="shared" si="67"/>
        <v>-201.76188464943525</v>
      </c>
      <c r="C441">
        <f t="shared" si="65"/>
        <v>-1</v>
      </c>
      <c r="D441">
        <f t="shared" si="66"/>
        <v>8.820852034907567E-15</v>
      </c>
      <c r="E441">
        <f t="shared" ca="1" si="68"/>
        <v>9.8475254617369496E-14</v>
      </c>
      <c r="F441">
        <f t="shared" ca="1" si="69"/>
        <v>142.66582863561538</v>
      </c>
      <c r="G441">
        <f t="shared" ca="1" si="70"/>
        <v>46.354937703098692</v>
      </c>
      <c r="H441">
        <f t="shared" ca="1" si="71"/>
        <v>150.00772949999921</v>
      </c>
      <c r="I441">
        <f t="shared" ca="1" si="72"/>
        <v>72.000000000000483</v>
      </c>
    </row>
    <row r="442" spans="1:9" x14ac:dyDescent="0.25">
      <c r="A442">
        <f t="shared" si="64"/>
        <v>0.43099999999999999</v>
      </c>
      <c r="B442">
        <f t="shared" si="67"/>
        <v>-212.14500000000001</v>
      </c>
      <c r="C442">
        <f t="shared" si="65"/>
        <v>-0.95105651629515131</v>
      </c>
      <c r="D442">
        <f t="shared" si="66"/>
        <v>-0.30901699437495422</v>
      </c>
      <c r="E442">
        <f t="shared" ca="1" si="68"/>
        <v>0</v>
      </c>
      <c r="F442">
        <f t="shared" ca="1" si="69"/>
        <v>142.66582863561538</v>
      </c>
      <c r="G442">
        <f t="shared" ca="1" si="70"/>
        <v>46.354937703098692</v>
      </c>
      <c r="H442">
        <f t="shared" ca="1" si="71"/>
        <v>150.00772949999921</v>
      </c>
      <c r="I442">
        <f t="shared" ca="1" si="72"/>
        <v>72.000000000000483</v>
      </c>
    </row>
    <row r="443" spans="1:9" x14ac:dyDescent="0.25">
      <c r="A443">
        <f t="shared" si="64"/>
        <v>0.432</v>
      </c>
      <c r="B443">
        <f t="shared" si="67"/>
        <v>-201.76188464943525</v>
      </c>
      <c r="C443">
        <f t="shared" si="65"/>
        <v>-0.80901699437495056</v>
      </c>
      <c r="D443">
        <f t="shared" si="66"/>
        <v>-0.58778525229246881</v>
      </c>
      <c r="E443">
        <f t="shared" ca="1" si="68"/>
        <v>-1.0048495369119336E-13</v>
      </c>
      <c r="F443">
        <f t="shared" ca="1" si="69"/>
        <v>142.66582863561547</v>
      </c>
      <c r="G443">
        <f t="shared" ca="1" si="70"/>
        <v>46.354937703098749</v>
      </c>
      <c r="H443">
        <f t="shared" ca="1" si="71"/>
        <v>150.00772949999933</v>
      </c>
      <c r="I443">
        <f t="shared" ca="1" si="72"/>
        <v>72.000000000000469</v>
      </c>
    </row>
    <row r="444" spans="1:9" x14ac:dyDescent="0.25">
      <c r="A444">
        <f t="shared" si="64"/>
        <v>0.433</v>
      </c>
      <c r="B444">
        <f t="shared" si="67"/>
        <v>-171.62891027167103</v>
      </c>
      <c r="C444">
        <f t="shared" si="65"/>
        <v>-0.58778525229246448</v>
      </c>
      <c r="D444">
        <f t="shared" si="66"/>
        <v>-0.80901699437495367</v>
      </c>
      <c r="E444">
        <f t="shared" ca="1" si="68"/>
        <v>5.8281273140892145E-14</v>
      </c>
      <c r="F444">
        <f t="shared" ca="1" si="69"/>
        <v>142.66582863561544</v>
      </c>
      <c r="G444">
        <f t="shared" ca="1" si="70"/>
        <v>46.354937703098699</v>
      </c>
      <c r="H444">
        <f t="shared" ca="1" si="71"/>
        <v>150.00772949999927</v>
      </c>
      <c r="I444">
        <f t="shared" ca="1" si="72"/>
        <v>72.000000000000483</v>
      </c>
    </row>
    <row r="445" spans="1:9" x14ac:dyDescent="0.25">
      <c r="A445">
        <f t="shared" si="64"/>
        <v>0.434</v>
      </c>
      <c r="B445">
        <f t="shared" si="67"/>
        <v>-124.69570234758581</v>
      </c>
      <c r="C445">
        <f t="shared" si="65"/>
        <v>-0.30901699437494912</v>
      </c>
      <c r="D445">
        <f t="shared" si="66"/>
        <v>-0.95105651629515298</v>
      </c>
      <c r="E445">
        <f t="shared" ca="1" si="68"/>
        <v>-2.6226572913401465E-13</v>
      </c>
      <c r="F445">
        <f t="shared" ca="1" si="69"/>
        <v>142.66582863561553</v>
      </c>
      <c r="G445">
        <f t="shared" ca="1" si="70"/>
        <v>46.354937703098948</v>
      </c>
      <c r="H445">
        <f t="shared" ca="1" si="71"/>
        <v>150.00772949999944</v>
      </c>
      <c r="I445">
        <f t="shared" ca="1" si="72"/>
        <v>72.000000000000412</v>
      </c>
    </row>
    <row r="446" spans="1:9" x14ac:dyDescent="0.25">
      <c r="A446">
        <f t="shared" si="64"/>
        <v>0.435</v>
      </c>
      <c r="B446">
        <f t="shared" si="67"/>
        <v>-65.556410271668938</v>
      </c>
      <c r="C446">
        <f t="shared" si="65"/>
        <v>1.4210529454550258E-14</v>
      </c>
      <c r="D446">
        <f t="shared" si="66"/>
        <v>-1</v>
      </c>
      <c r="E446">
        <f t="shared" ca="1" si="68"/>
        <v>9.7470405080457561E-14</v>
      </c>
      <c r="F446">
        <f t="shared" ca="1" si="69"/>
        <v>142.66582863561553</v>
      </c>
      <c r="G446">
        <f t="shared" ca="1" si="70"/>
        <v>46.354937703098848</v>
      </c>
      <c r="H446">
        <f t="shared" ca="1" si="71"/>
        <v>150.00772949999941</v>
      </c>
      <c r="I446">
        <f t="shared" ca="1" si="72"/>
        <v>72.000000000000441</v>
      </c>
    </row>
    <row r="447" spans="1:9" x14ac:dyDescent="0.25">
      <c r="A447">
        <f t="shared" si="64"/>
        <v>0.436</v>
      </c>
      <c r="B447">
        <f t="shared" si="67"/>
        <v>1.8711616501035365E-12</v>
      </c>
      <c r="C447">
        <f t="shared" si="65"/>
        <v>0.30901699437494912</v>
      </c>
      <c r="D447">
        <f t="shared" si="66"/>
        <v>-0.95105651629515298</v>
      </c>
      <c r="E447">
        <f t="shared" ca="1" si="68"/>
        <v>-3.2343634227269879E-13</v>
      </c>
      <c r="F447">
        <f t="shared" ca="1" si="69"/>
        <v>142.66582863561541</v>
      </c>
      <c r="G447">
        <f t="shared" ca="1" si="70"/>
        <v>46.354937703099154</v>
      </c>
      <c r="H447">
        <f t="shared" ca="1" si="71"/>
        <v>150.00772949999939</v>
      </c>
      <c r="I447">
        <f t="shared" ca="1" si="72"/>
        <v>72.000000000000313</v>
      </c>
    </row>
    <row r="448" spans="1:9" x14ac:dyDescent="0.25">
      <c r="A448">
        <f t="shared" si="64"/>
        <v>0.437</v>
      </c>
      <c r="B448">
        <f t="shared" si="67"/>
        <v>65.55641027167249</v>
      </c>
      <c r="C448">
        <f t="shared" si="65"/>
        <v>0.58778525229246448</v>
      </c>
      <c r="D448">
        <f t="shared" si="66"/>
        <v>-0.80901699437495367</v>
      </c>
      <c r="E448">
        <f t="shared" ca="1" si="68"/>
        <v>9.7470405080457561E-14</v>
      </c>
      <c r="F448">
        <f t="shared" ca="1" si="69"/>
        <v>142.66582863561547</v>
      </c>
      <c r="G448">
        <f t="shared" ca="1" si="70"/>
        <v>46.354937703099075</v>
      </c>
      <c r="H448">
        <f t="shared" ca="1" si="71"/>
        <v>150.00772949999941</v>
      </c>
      <c r="I448">
        <f t="shared" ca="1" si="72"/>
        <v>72.000000000000355</v>
      </c>
    </row>
    <row r="449" spans="1:9" x14ac:dyDescent="0.25">
      <c r="A449">
        <f t="shared" si="64"/>
        <v>0.438</v>
      </c>
      <c r="B449">
        <f t="shared" si="67"/>
        <v>124.69570234758883</v>
      </c>
      <c r="C449">
        <f t="shared" si="65"/>
        <v>0.80901699437495056</v>
      </c>
      <c r="D449">
        <f t="shared" si="66"/>
        <v>-0.58778525229246881</v>
      </c>
      <c r="E449">
        <f t="shared" ca="1" si="68"/>
        <v>8.3402511563690492E-14</v>
      </c>
      <c r="F449">
        <f t="shared" ca="1" si="69"/>
        <v>142.66582863561553</v>
      </c>
      <c r="G449">
        <f t="shared" ca="1" si="70"/>
        <v>46.354937703099026</v>
      </c>
      <c r="H449">
        <f t="shared" ca="1" si="71"/>
        <v>150.00772949999947</v>
      </c>
      <c r="I449">
        <f t="shared" ca="1" si="72"/>
        <v>72.000000000000384</v>
      </c>
    </row>
    <row r="450" spans="1:9" x14ac:dyDescent="0.25">
      <c r="A450">
        <f t="shared" si="64"/>
        <v>0.439</v>
      </c>
      <c r="B450">
        <f t="shared" si="67"/>
        <v>171.62891027167322</v>
      </c>
      <c r="C450">
        <f t="shared" si="65"/>
        <v>0.95105651629515131</v>
      </c>
      <c r="D450">
        <f t="shared" si="66"/>
        <v>-0.30901699437495422</v>
      </c>
      <c r="E450">
        <f t="shared" ca="1" si="68"/>
        <v>6.0290972214716014E-14</v>
      </c>
      <c r="F450">
        <f t="shared" ca="1" si="69"/>
        <v>142.66582863561558</v>
      </c>
      <c r="G450">
        <f t="shared" ca="1" si="70"/>
        <v>46.354937703099004</v>
      </c>
      <c r="H450">
        <f t="shared" ca="1" si="71"/>
        <v>150.0077294999995</v>
      </c>
      <c r="I450">
        <f t="shared" ca="1" si="72"/>
        <v>72.000000000000398</v>
      </c>
    </row>
    <row r="451" spans="1:9" x14ac:dyDescent="0.25">
      <c r="A451">
        <f t="shared" si="64"/>
        <v>0.44</v>
      </c>
      <c r="B451">
        <f t="shared" si="67"/>
        <v>201.76188464943641</v>
      </c>
      <c r="C451">
        <f t="shared" si="65"/>
        <v>1</v>
      </c>
      <c r="D451">
        <f t="shared" si="66"/>
        <v>8.8202015136040757E-15</v>
      </c>
      <c r="E451">
        <f t="shared" ca="1" si="68"/>
        <v>3.2155185181181876E-14</v>
      </c>
      <c r="F451">
        <f t="shared" ca="1" si="69"/>
        <v>142.66582863561561</v>
      </c>
      <c r="G451">
        <f t="shared" ca="1" si="70"/>
        <v>46.354937703099004</v>
      </c>
      <c r="H451">
        <f t="shared" ca="1" si="71"/>
        <v>150.00772949999953</v>
      </c>
      <c r="I451">
        <f t="shared" ca="1" si="72"/>
        <v>72.000000000000398</v>
      </c>
    </row>
    <row r="452" spans="1:9" x14ac:dyDescent="0.25">
      <c r="A452">
        <f t="shared" si="64"/>
        <v>0.441</v>
      </c>
      <c r="B452">
        <f t="shared" si="67"/>
        <v>212.14500000000001</v>
      </c>
      <c r="C452">
        <f t="shared" si="65"/>
        <v>0.95105651629515464</v>
      </c>
      <c r="D452">
        <f t="shared" si="66"/>
        <v>0.30901699437494395</v>
      </c>
      <c r="E452">
        <f t="shared" ca="1" si="68"/>
        <v>0</v>
      </c>
      <c r="F452">
        <f t="shared" ca="1" si="69"/>
        <v>142.66582863561561</v>
      </c>
      <c r="G452">
        <f t="shared" ca="1" si="70"/>
        <v>46.354937703099004</v>
      </c>
      <c r="H452">
        <f t="shared" ca="1" si="71"/>
        <v>150.00772949999953</v>
      </c>
      <c r="I452">
        <f t="shared" ca="1" si="72"/>
        <v>72.000000000000398</v>
      </c>
    </row>
    <row r="453" spans="1:9" x14ac:dyDescent="0.25">
      <c r="A453">
        <f t="shared" si="64"/>
        <v>0.442</v>
      </c>
      <c r="B453">
        <f t="shared" si="67"/>
        <v>201.76188464943408</v>
      </c>
      <c r="C453">
        <f t="shared" si="65"/>
        <v>0.80901699437494012</v>
      </c>
      <c r="D453">
        <f t="shared" si="66"/>
        <v>0.58778525229248313</v>
      </c>
      <c r="E453">
        <f t="shared" ca="1" si="68"/>
        <v>-3.2155185181181876E-14</v>
      </c>
      <c r="F453">
        <f t="shared" ca="1" si="69"/>
        <v>142.66582863561558</v>
      </c>
      <c r="G453">
        <f t="shared" ca="1" si="70"/>
        <v>46.354937703098983</v>
      </c>
      <c r="H453">
        <f t="shared" ca="1" si="71"/>
        <v>150.0077294999995</v>
      </c>
      <c r="I453">
        <f t="shared" ca="1" si="72"/>
        <v>72.000000000000412</v>
      </c>
    </row>
    <row r="454" spans="1:9" x14ac:dyDescent="0.25">
      <c r="A454">
        <f t="shared" si="64"/>
        <v>0.443</v>
      </c>
      <c r="B454">
        <f t="shared" si="67"/>
        <v>171.62891027167237</v>
      </c>
      <c r="C454">
        <f t="shared" si="65"/>
        <v>0.58778525229247325</v>
      </c>
      <c r="D454">
        <f t="shared" si="66"/>
        <v>0.80901699437494734</v>
      </c>
      <c r="E454">
        <f t="shared" ca="1" si="68"/>
        <v>-6.0290972214716014E-14</v>
      </c>
      <c r="F454">
        <f t="shared" ca="1" si="69"/>
        <v>142.66582863561555</v>
      </c>
      <c r="G454">
        <f t="shared" ca="1" si="70"/>
        <v>46.354937703098933</v>
      </c>
      <c r="H454">
        <f t="shared" ca="1" si="71"/>
        <v>150.00772949999947</v>
      </c>
      <c r="I454">
        <f t="shared" ca="1" si="72"/>
        <v>72.000000000000412</v>
      </c>
    </row>
    <row r="455" spans="1:9" x14ac:dyDescent="0.25">
      <c r="A455">
        <f t="shared" si="64"/>
        <v>0.44400000000000001</v>
      </c>
      <c r="B455">
        <f t="shared" si="67"/>
        <v>124.69570234758278</v>
      </c>
      <c r="C455">
        <f t="shared" si="65"/>
        <v>0.30901699437493235</v>
      </c>
      <c r="D455">
        <f t="shared" si="66"/>
        <v>0.95105651629515853</v>
      </c>
      <c r="E455">
        <f t="shared" ca="1" si="68"/>
        <v>-8.3402511563690492E-14</v>
      </c>
      <c r="F455">
        <f t="shared" ca="1" si="69"/>
        <v>142.66582863561553</v>
      </c>
      <c r="G455">
        <f t="shared" ca="1" si="70"/>
        <v>46.354937703098855</v>
      </c>
      <c r="H455">
        <f t="shared" ca="1" si="71"/>
        <v>150.00772949999941</v>
      </c>
      <c r="I455">
        <f t="shared" ca="1" si="72"/>
        <v>72.000000000000441</v>
      </c>
    </row>
    <row r="456" spans="1:9" x14ac:dyDescent="0.25">
      <c r="A456">
        <f t="shared" si="64"/>
        <v>0.44500000000000001</v>
      </c>
      <c r="B456">
        <f t="shared" si="67"/>
        <v>65.556410271671112</v>
      </c>
      <c r="C456">
        <f t="shared" si="65"/>
        <v>-3.4298735726578933E-15</v>
      </c>
      <c r="D456">
        <f t="shared" si="66"/>
        <v>1</v>
      </c>
      <c r="E456">
        <f t="shared" ca="1" si="68"/>
        <v>-9.7470405080457561E-14</v>
      </c>
      <c r="F456">
        <f t="shared" ca="1" si="69"/>
        <v>142.66582863561553</v>
      </c>
      <c r="G456">
        <f t="shared" ca="1" si="70"/>
        <v>46.354937703098756</v>
      </c>
      <c r="H456">
        <f t="shared" ca="1" si="71"/>
        <v>150.00772949999939</v>
      </c>
      <c r="I456">
        <f t="shared" ca="1" si="72"/>
        <v>72.000000000000483</v>
      </c>
    </row>
    <row r="457" spans="1:9" x14ac:dyDescent="0.25">
      <c r="A457">
        <f t="shared" si="64"/>
        <v>0.44600000000000001</v>
      </c>
      <c r="B457">
        <f t="shared" si="67"/>
        <v>4.1590059196051911E-13</v>
      </c>
      <c r="C457">
        <f t="shared" si="65"/>
        <v>-0.30901699437493885</v>
      </c>
      <c r="D457">
        <f t="shared" si="66"/>
        <v>0.95105651629515631</v>
      </c>
      <c r="E457">
        <f t="shared" ca="1" si="68"/>
        <v>-1.0291126774366557E-13</v>
      </c>
      <c r="F457">
        <f t="shared" ca="1" si="69"/>
        <v>142.66582863561555</v>
      </c>
      <c r="G457">
        <f t="shared" ca="1" si="70"/>
        <v>46.354937703098656</v>
      </c>
      <c r="H457">
        <f t="shared" ca="1" si="71"/>
        <v>150.00772949999936</v>
      </c>
      <c r="I457">
        <f t="shared" ca="1" si="72"/>
        <v>72.000000000000526</v>
      </c>
    </row>
    <row r="458" spans="1:9" x14ac:dyDescent="0.25">
      <c r="A458">
        <f t="shared" si="64"/>
        <v>0.44700000000000001</v>
      </c>
      <c r="B458">
        <f t="shared" si="67"/>
        <v>-65.556410271676057</v>
      </c>
      <c r="C458">
        <f t="shared" si="65"/>
        <v>-0.5877852522924788</v>
      </c>
      <c r="D458">
        <f t="shared" si="66"/>
        <v>0.80901699437494334</v>
      </c>
      <c r="E458">
        <f t="shared" ca="1" si="68"/>
        <v>-9.8475254617369496E-14</v>
      </c>
      <c r="F458">
        <f t="shared" ca="1" si="69"/>
        <v>142.66582863561561</v>
      </c>
      <c r="G458">
        <f t="shared" ca="1" si="70"/>
        <v>46.354937703098578</v>
      </c>
      <c r="H458">
        <f t="shared" ca="1" si="71"/>
        <v>150.00772949999939</v>
      </c>
      <c r="I458">
        <f t="shared" ca="1" si="72"/>
        <v>72.00000000000054</v>
      </c>
    </row>
    <row r="459" spans="1:9" x14ac:dyDescent="0.25">
      <c r="A459">
        <f t="shared" si="64"/>
        <v>0.44800000000000001</v>
      </c>
      <c r="B459">
        <f t="shared" si="67"/>
        <v>-124.69570234758697</v>
      </c>
      <c r="C459">
        <f t="shared" si="65"/>
        <v>-0.80901699437494423</v>
      </c>
      <c r="D459">
        <f t="shared" si="66"/>
        <v>0.58778525229247758</v>
      </c>
      <c r="E459">
        <f t="shared" ca="1" si="68"/>
        <v>-8.2397662026778558E-14</v>
      </c>
      <c r="F459">
        <f t="shared" ca="1" si="69"/>
        <v>142.66582863561567</v>
      </c>
      <c r="G459">
        <f t="shared" ca="1" si="70"/>
        <v>46.354937703098528</v>
      </c>
      <c r="H459">
        <f t="shared" ca="1" si="71"/>
        <v>150.00772949999944</v>
      </c>
      <c r="I459">
        <f t="shared" ca="1" si="72"/>
        <v>72.000000000000568</v>
      </c>
    </row>
    <row r="460" spans="1:9" x14ac:dyDescent="0.25">
      <c r="A460">
        <f t="shared" ref="A460:A473" si="73">(ROW($A460)-ROW($A$11))*$B$4+$B$5</f>
        <v>0.44900000000000001</v>
      </c>
      <c r="B460">
        <f t="shared" si="67"/>
        <v>-171.62891027167544</v>
      </c>
      <c r="C460">
        <f t="shared" ref="C460:C473" si="74">COS($A460*$C$1)</f>
        <v>-0.95105651629515686</v>
      </c>
      <c r="D460">
        <f t="shared" ref="D460:D473" si="75">SIN($A460*$C$1)</f>
        <v>0.30901699437493746</v>
      </c>
      <c r="E460">
        <f t="shared" ca="1" si="68"/>
        <v>-6.2300671288539882E-14</v>
      </c>
      <c r="F460">
        <f t="shared" ca="1" si="69"/>
        <v>142.66582863561572</v>
      </c>
      <c r="G460">
        <f t="shared" ca="1" si="70"/>
        <v>46.354937703098507</v>
      </c>
      <c r="H460">
        <f t="shared" ca="1" si="71"/>
        <v>150.0077294999995</v>
      </c>
      <c r="I460">
        <f t="shared" ca="1" si="72"/>
        <v>72.000000000000597</v>
      </c>
    </row>
    <row r="461" spans="1:9" x14ac:dyDescent="0.25">
      <c r="A461">
        <f t="shared" si="73"/>
        <v>0.45</v>
      </c>
      <c r="B461">
        <f t="shared" si="67"/>
        <v>-201.7618846494357</v>
      </c>
      <c r="C461">
        <f t="shared" si="74"/>
        <v>-1</v>
      </c>
      <c r="D461">
        <f t="shared" si="75"/>
        <v>1.9604543682882891E-15</v>
      </c>
      <c r="E461">
        <f t="shared" ca="1" si="68"/>
        <v>-3.2155185181181876E-14</v>
      </c>
      <c r="F461">
        <f t="shared" ca="1" si="69"/>
        <v>142.66582863561575</v>
      </c>
      <c r="G461">
        <f t="shared" ca="1" si="70"/>
        <v>46.354937703098507</v>
      </c>
      <c r="H461">
        <f t="shared" ca="1" si="71"/>
        <v>150.0077294999995</v>
      </c>
      <c r="I461">
        <f t="shared" ca="1" si="72"/>
        <v>72.000000000000597</v>
      </c>
    </row>
    <row r="462" spans="1:9" x14ac:dyDescent="0.25">
      <c r="A462">
        <f t="shared" si="73"/>
        <v>0.45100000000000001</v>
      </c>
      <c r="B462">
        <f t="shared" si="67"/>
        <v>-212.14500000000001</v>
      </c>
      <c r="C462">
        <f t="shared" si="74"/>
        <v>-0.9510565162951492</v>
      </c>
      <c r="D462">
        <f t="shared" si="75"/>
        <v>-0.30901699437496077</v>
      </c>
      <c r="E462">
        <f t="shared" ca="1" si="68"/>
        <v>0</v>
      </c>
      <c r="F462">
        <f t="shared" ca="1" si="69"/>
        <v>142.66582863561575</v>
      </c>
      <c r="G462">
        <f t="shared" ca="1" si="70"/>
        <v>46.354937703098507</v>
      </c>
      <c r="H462">
        <f t="shared" ca="1" si="71"/>
        <v>150.0077294999995</v>
      </c>
      <c r="I462">
        <f t="shared" ca="1" si="72"/>
        <v>72.000000000000597</v>
      </c>
    </row>
    <row r="463" spans="1:9" x14ac:dyDescent="0.25">
      <c r="A463">
        <f t="shared" si="73"/>
        <v>0.45200000000000001</v>
      </c>
      <c r="B463">
        <f t="shared" si="67"/>
        <v>-201.76188464943479</v>
      </c>
      <c r="C463">
        <f t="shared" si="74"/>
        <v>-0.80901699437494645</v>
      </c>
      <c r="D463">
        <f t="shared" si="75"/>
        <v>-0.58778525229247436</v>
      </c>
      <c r="E463">
        <f t="shared" ca="1" si="68"/>
        <v>3.2155185181181876E-14</v>
      </c>
      <c r="F463">
        <f t="shared" ca="1" si="69"/>
        <v>142.66582863561572</v>
      </c>
      <c r="G463">
        <f t="shared" ca="1" si="70"/>
        <v>46.354937703098486</v>
      </c>
      <c r="H463">
        <f t="shared" ca="1" si="71"/>
        <v>150.00772949999947</v>
      </c>
      <c r="I463">
        <f t="shared" ca="1" si="72"/>
        <v>72.000000000000597</v>
      </c>
    </row>
    <row r="464" spans="1:9" x14ac:dyDescent="0.25">
      <c r="A464">
        <f t="shared" si="73"/>
        <v>0.45300000000000001</v>
      </c>
      <c r="B464">
        <f t="shared" si="67"/>
        <v>-171.62891027167018</v>
      </c>
      <c r="C464">
        <f t="shared" si="74"/>
        <v>-0.58778525229245893</v>
      </c>
      <c r="D464">
        <f t="shared" si="75"/>
        <v>-0.80901699437495778</v>
      </c>
      <c r="E464">
        <f t="shared" ca="1" si="68"/>
        <v>6.0290972214716014E-14</v>
      </c>
      <c r="F464">
        <f t="shared" ca="1" si="69"/>
        <v>142.6658286356157</v>
      </c>
      <c r="G464">
        <f t="shared" ca="1" si="70"/>
        <v>46.354937703098436</v>
      </c>
      <c r="H464">
        <f t="shared" ca="1" si="71"/>
        <v>150.00772949999944</v>
      </c>
      <c r="I464">
        <f t="shared" ca="1" si="72"/>
        <v>72.000000000000611</v>
      </c>
    </row>
    <row r="465" spans="1:9" x14ac:dyDescent="0.25">
      <c r="A465">
        <f t="shared" si="73"/>
        <v>0.45400000000000001</v>
      </c>
      <c r="B465">
        <f t="shared" si="67"/>
        <v>-124.69570234758463</v>
      </c>
      <c r="C465">
        <f t="shared" si="74"/>
        <v>-0.30901699437494257</v>
      </c>
      <c r="D465">
        <f t="shared" si="75"/>
        <v>-0.9510565162951552</v>
      </c>
      <c r="E465">
        <f t="shared" ca="1" si="68"/>
        <v>8.3402511563690492E-14</v>
      </c>
      <c r="F465">
        <f t="shared" ca="1" si="69"/>
        <v>142.66582863561567</v>
      </c>
      <c r="G465">
        <f t="shared" ca="1" si="70"/>
        <v>46.354937703098358</v>
      </c>
      <c r="H465">
        <f t="shared" ca="1" si="71"/>
        <v>150.00772949999939</v>
      </c>
      <c r="I465">
        <f t="shared" ca="1" si="72"/>
        <v>72.000000000000639</v>
      </c>
    </row>
    <row r="466" spans="1:9" x14ac:dyDescent="0.25">
      <c r="A466">
        <f t="shared" si="73"/>
        <v>0.45500000000000002</v>
      </c>
      <c r="B466">
        <f t="shared" si="67"/>
        <v>-65.556410271673286</v>
      </c>
      <c r="C466">
        <f t="shared" si="74"/>
        <v>-7.3507823092344715E-15</v>
      </c>
      <c r="D466">
        <f t="shared" si="75"/>
        <v>-1</v>
      </c>
      <c r="E466">
        <f t="shared" ca="1" si="68"/>
        <v>-3.0748395829505167E-13</v>
      </c>
      <c r="F466">
        <f t="shared" ca="1" si="69"/>
        <v>142.66582863561567</v>
      </c>
      <c r="G466">
        <f t="shared" ca="1" si="70"/>
        <v>46.354937703098663</v>
      </c>
      <c r="H466">
        <f t="shared" ca="1" si="71"/>
        <v>150.0077294999995</v>
      </c>
      <c r="I466">
        <f t="shared" ca="1" si="72"/>
        <v>72.00000000000054</v>
      </c>
    </row>
    <row r="467" spans="1:9" x14ac:dyDescent="0.25">
      <c r="A467">
        <f t="shared" si="73"/>
        <v>0.45600000000000002</v>
      </c>
      <c r="B467">
        <f t="shared" si="67"/>
        <v>3.3265607130884836E-12</v>
      </c>
      <c r="C467">
        <f t="shared" si="74"/>
        <v>0.30901699437495561</v>
      </c>
      <c r="D467">
        <f t="shared" si="75"/>
        <v>-0.95105651629515087</v>
      </c>
      <c r="E467">
        <f t="shared" ca="1" si="68"/>
        <v>1.0291126774366561E-13</v>
      </c>
      <c r="F467">
        <f t="shared" ca="1" si="69"/>
        <v>142.6658286356157</v>
      </c>
      <c r="G467">
        <f t="shared" ca="1" si="70"/>
        <v>46.354937703098564</v>
      </c>
      <c r="H467">
        <f t="shared" ca="1" si="71"/>
        <v>150.00772949999947</v>
      </c>
      <c r="I467">
        <f t="shared" ca="1" si="72"/>
        <v>72.000000000000568</v>
      </c>
    </row>
    <row r="468" spans="1:9" x14ac:dyDescent="0.25">
      <c r="A468">
        <f t="shared" si="73"/>
        <v>0.45700000000000002</v>
      </c>
      <c r="B468">
        <f t="shared" si="67"/>
        <v>65.556410271673883</v>
      </c>
      <c r="C468">
        <f t="shared" si="74"/>
        <v>0.58778525229247003</v>
      </c>
      <c r="D468">
        <f t="shared" si="75"/>
        <v>-0.80901699437494967</v>
      </c>
      <c r="E468">
        <f t="shared" ca="1" si="68"/>
        <v>9.8475254617369496E-14</v>
      </c>
      <c r="F468">
        <f t="shared" ca="1" si="69"/>
        <v>142.66582863561575</v>
      </c>
      <c r="G468">
        <f t="shared" ca="1" si="70"/>
        <v>46.354937703098486</v>
      </c>
      <c r="H468">
        <f t="shared" ca="1" si="71"/>
        <v>150.0077294999995</v>
      </c>
      <c r="I468">
        <f t="shared" ca="1" si="72"/>
        <v>72.000000000000597</v>
      </c>
    </row>
    <row r="469" spans="1:9" x14ac:dyDescent="0.25">
      <c r="A469">
        <f t="shared" si="73"/>
        <v>0.45800000000000002</v>
      </c>
      <c r="B469">
        <f t="shared" si="67"/>
        <v>124.69570234759001</v>
      </c>
      <c r="C469">
        <f t="shared" si="74"/>
        <v>0.80901699437495456</v>
      </c>
      <c r="D469">
        <f t="shared" si="75"/>
        <v>-0.58778525229246326</v>
      </c>
      <c r="E469">
        <f t="shared" ca="1" si="68"/>
        <v>8.3402511563690492E-14</v>
      </c>
      <c r="F469">
        <f t="shared" ca="1" si="69"/>
        <v>142.66582863561581</v>
      </c>
      <c r="G469">
        <f t="shared" ca="1" si="70"/>
        <v>46.354937703098436</v>
      </c>
      <c r="H469">
        <f t="shared" ca="1" si="71"/>
        <v>150.00772949999956</v>
      </c>
      <c r="I469">
        <f t="shared" ca="1" si="72"/>
        <v>72.000000000000625</v>
      </c>
    </row>
    <row r="470" spans="1:9" x14ac:dyDescent="0.25">
      <c r="A470">
        <f t="shared" si="73"/>
        <v>0.45900000000000002</v>
      </c>
      <c r="B470">
        <f t="shared" si="67"/>
        <v>171.62891027167407</v>
      </c>
      <c r="C470">
        <f t="shared" si="74"/>
        <v>0.95105651629515353</v>
      </c>
      <c r="D470">
        <f t="shared" si="75"/>
        <v>-0.30901699437494773</v>
      </c>
      <c r="E470">
        <f t="shared" ca="1" si="68"/>
        <v>6.0290972214716014E-14</v>
      </c>
      <c r="F470">
        <f t="shared" ca="1" si="69"/>
        <v>142.66582863561587</v>
      </c>
      <c r="G470">
        <f t="shared" ca="1" si="70"/>
        <v>46.354937703098415</v>
      </c>
      <c r="H470">
        <f t="shared" ca="1" si="71"/>
        <v>150.00772949999958</v>
      </c>
      <c r="I470">
        <f t="shared" ca="1" si="72"/>
        <v>72.000000000000654</v>
      </c>
    </row>
    <row r="471" spans="1:9" x14ac:dyDescent="0.25">
      <c r="A471">
        <f t="shared" si="73"/>
        <v>0.46</v>
      </c>
      <c r="B471">
        <f t="shared" si="67"/>
        <v>201.76188464943687</v>
      </c>
      <c r="C471">
        <f t="shared" si="74"/>
        <v>1</v>
      </c>
      <c r="D471">
        <f t="shared" si="75"/>
        <v>1.5680599180223354E-14</v>
      </c>
      <c r="E471">
        <f t="shared" ca="1" si="68"/>
        <v>3.2155185181181876E-14</v>
      </c>
      <c r="F471">
        <f t="shared" ca="1" si="69"/>
        <v>142.6658286356159</v>
      </c>
      <c r="G471">
        <f t="shared" ca="1" si="70"/>
        <v>46.354937703098415</v>
      </c>
      <c r="H471">
        <f t="shared" ca="1" si="71"/>
        <v>150.00772949999961</v>
      </c>
      <c r="I471">
        <f t="shared" ca="1" si="72"/>
        <v>72.000000000000654</v>
      </c>
    </row>
    <row r="472" spans="1:9" x14ac:dyDescent="0.25">
      <c r="A472">
        <f t="shared" si="73"/>
        <v>0.46100000000000002</v>
      </c>
      <c r="B472">
        <f t="shared" si="67"/>
        <v>212.14500000000001</v>
      </c>
      <c r="C472">
        <f t="shared" si="74"/>
        <v>0.95105651629515253</v>
      </c>
      <c r="D472">
        <f t="shared" si="75"/>
        <v>0.3090169943749505</v>
      </c>
      <c r="E472">
        <f t="shared" ca="1" si="68"/>
        <v>0</v>
      </c>
      <c r="F472">
        <f t="shared" ca="1" si="69"/>
        <v>142.6658286356159</v>
      </c>
      <c r="G472">
        <f t="shared" ca="1" si="70"/>
        <v>46.354937703098415</v>
      </c>
      <c r="H472">
        <f t="shared" ca="1" si="71"/>
        <v>150.00772949999961</v>
      </c>
      <c r="I472">
        <f t="shared" ca="1" si="72"/>
        <v>72.000000000000654</v>
      </c>
    </row>
    <row r="473" spans="1:9" x14ac:dyDescent="0.25">
      <c r="A473">
        <f t="shared" si="73"/>
        <v>0.46200000000000002</v>
      </c>
      <c r="B473">
        <f t="shared" si="67"/>
        <v>201.76188464943363</v>
      </c>
      <c r="C473">
        <f t="shared" si="74"/>
        <v>0.80901699437493613</v>
      </c>
      <c r="D473">
        <f t="shared" si="75"/>
        <v>0.58778525229248868</v>
      </c>
      <c r="E473">
        <f t="shared" ca="1" si="68"/>
        <v>-3.2155185181181876E-14</v>
      </c>
      <c r="F473">
        <f t="shared" ca="1" si="69"/>
        <v>142.66582863561587</v>
      </c>
      <c r="G473">
        <f t="shared" ca="1" si="70"/>
        <v>46.354937703098393</v>
      </c>
      <c r="H473">
        <f t="shared" ca="1" si="71"/>
        <v>150.00772949999958</v>
      </c>
      <c r="I473">
        <f t="shared" ca="1" si="72"/>
        <v>72.000000000000654</v>
      </c>
    </row>
  </sheetData>
  <pageMargins left="0.511811024" right="0.511811024" top="0.78740157499999996" bottom="0.78740157499999996" header="0.31496062000000002" footer="0.31496062000000002"/>
  <headerFooter>
    <oddFooter>&amp;R_x000D_&amp;1#&amp;"Aptos"&amp;10&amp;K000000 Classificação: Direcionado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CB832-E861-417E-9FD6-9BC00C438AE0}">
  <dimension ref="A1:K473"/>
  <sheetViews>
    <sheetView tabSelected="1" topLeftCell="I4" zoomScale="160" zoomScaleNormal="160" workbookViewId="0">
      <selection activeCell="M43" sqref="M43"/>
    </sheetView>
  </sheetViews>
  <sheetFormatPr defaultRowHeight="15" x14ac:dyDescent="0.25"/>
  <cols>
    <col min="4" max="5" width="12.7109375" bestFit="1" customWidth="1"/>
  </cols>
  <sheetData>
    <row r="1" spans="1:9" x14ac:dyDescent="0.25">
      <c r="A1" t="s">
        <v>0</v>
      </c>
      <c r="B1">
        <v>50</v>
      </c>
      <c r="C1">
        <f>2*PI()*$B$1</f>
        <v>314.15926535897933</v>
      </c>
      <c r="E1" t="s">
        <v>11</v>
      </c>
    </row>
    <row r="2" spans="1:9" x14ac:dyDescent="0.25">
      <c r="A2" t="s">
        <v>6</v>
      </c>
      <c r="B2">
        <v>20</v>
      </c>
      <c r="E2" t="s">
        <v>12</v>
      </c>
    </row>
    <row r="3" spans="1:9" x14ac:dyDescent="0.25">
      <c r="A3" t="s">
        <v>1</v>
      </c>
      <c r="B3">
        <f>$B$2*$B$1</f>
        <v>1000</v>
      </c>
      <c r="E3" t="s">
        <v>13</v>
      </c>
    </row>
    <row r="4" spans="1:9" x14ac:dyDescent="0.25">
      <c r="A4" t="s">
        <v>2</v>
      </c>
      <c r="B4">
        <f>1/$B$3</f>
        <v>1E-3</v>
      </c>
      <c r="E4" t="s">
        <v>14</v>
      </c>
    </row>
    <row r="5" spans="1:9" x14ac:dyDescent="0.25">
      <c r="A5" t="s">
        <v>10</v>
      </c>
      <c r="B5">
        <v>0</v>
      </c>
      <c r="E5" t="s">
        <v>15</v>
      </c>
    </row>
    <row r="6" spans="1:9" x14ac:dyDescent="0.25">
      <c r="A6" t="s">
        <v>4</v>
      </c>
      <c r="B6">
        <v>141.43</v>
      </c>
      <c r="E6" t="s">
        <v>16</v>
      </c>
    </row>
    <row r="7" spans="1:9" x14ac:dyDescent="0.25">
      <c r="A7" t="s">
        <v>5</v>
      </c>
      <c r="B7">
        <v>22.25</v>
      </c>
      <c r="C7">
        <f>$B$7*(PI()/180)</f>
        <v>0.38833575856873831</v>
      </c>
      <c r="E7" t="s">
        <v>17</v>
      </c>
    </row>
    <row r="9" spans="1:9" x14ac:dyDescent="0.25">
      <c r="F9" s="1" t="s">
        <v>18</v>
      </c>
      <c r="G9" s="1" t="s">
        <v>19</v>
      </c>
      <c r="H9" s="1" t="s">
        <v>20</v>
      </c>
      <c r="I9" s="1" t="s">
        <v>21</v>
      </c>
    </row>
    <row r="10" spans="1:9" s="1" customFormat="1" x14ac:dyDescent="0.25">
      <c r="A10" s="1" t="s">
        <v>3</v>
      </c>
      <c r="B10" s="1" t="s">
        <v>7</v>
      </c>
      <c r="C10" s="1" t="s">
        <v>8</v>
      </c>
      <c r="D10" s="1" t="s">
        <v>9</v>
      </c>
      <c r="E10" s="1" t="s">
        <v>24</v>
      </c>
    </row>
    <row r="11" spans="1:9" x14ac:dyDescent="0.25">
      <c r="A11">
        <f>(ROW($A11)-ROW($A$11))*$B$4+$B$5</f>
        <v>0</v>
      </c>
      <c r="B11">
        <f>$B$6*SIN((A11*$C$1)+$C$7)</f>
        <v>53.552273952154593</v>
      </c>
      <c r="C11">
        <f>COS($A11*$C$1)</f>
        <v>1</v>
      </c>
      <c r="D11">
        <f>SIN($A11*$C$1)</f>
        <v>0</v>
      </c>
      <c r="E11">
        <f t="shared" ref="E11:E74" ca="1" si="0">(1.4142/$B$2)*(B11-IF((ROW($A11)-ROW($A$11))&lt;$B$2,0,OFFSET($B11,-$B$2,0)))</f>
        <v>3.7866812911568508</v>
      </c>
      <c r="F11">
        <f ca="1">F10+$E11*C11</f>
        <v>3.7866812911568508</v>
      </c>
      <c r="G11">
        <f ca="1">G10+$E11*D11</f>
        <v>0</v>
      </c>
      <c r="H11">
        <f t="shared" ref="H11:H74" ca="1" si="1">IF(F11="","",SQRT(F11^2+G11^2))</f>
        <v>3.7866812911568508</v>
      </c>
      <c r="I11">
        <f ca="1">IF(F11="","",ATAN2(G11,F11)*180/PI())</f>
        <v>90</v>
      </c>
    </row>
    <row r="12" spans="1:9" x14ac:dyDescent="0.25">
      <c r="A12">
        <f t="shared" ref="A12:A75" si="2">(ROW($A12)-ROW($A$11))*$B$4+$B$5</f>
        <v>1E-3</v>
      </c>
      <c r="B12">
        <f t="shared" ref="B12:B75" si="3">$B$6*SIN((A12*$C$1)+$C$7)</f>
        <v>91.38131444090439</v>
      </c>
      <c r="C12">
        <f t="shared" ref="C12:C75" si="4">COS($A12*$C$1)</f>
        <v>0.95105651629515353</v>
      </c>
      <c r="D12">
        <f t="shared" ref="D12:D75" si="5">SIN($A12*$C$1)</f>
        <v>0.3090169943749474</v>
      </c>
      <c r="E12">
        <f t="shared" ca="1" si="0"/>
        <v>6.4615727441163493</v>
      </c>
      <c r="F12">
        <f t="shared" ref="F12:F75" ca="1" si="6">F11+$E12*COS($A12*$C$1)</f>
        <v>9.9320021549638611</v>
      </c>
      <c r="G12">
        <f t="shared" ref="G12:G75" ca="1" si="7">G11+$E12*SIN($A12*$C$1)</f>
        <v>1.9967357883219152</v>
      </c>
      <c r="H12">
        <f t="shared" ca="1" si="1"/>
        <v>10.13072655906635</v>
      </c>
      <c r="I12">
        <f t="shared" ref="I12:I75" ca="1" si="8">IF(F12="","",ATAN2(G12,F12)*180/PI())</f>
        <v>78.632749537858743</v>
      </c>
    </row>
    <row r="13" spans="1:9" x14ac:dyDescent="0.25">
      <c r="A13">
        <f t="shared" si="2"/>
        <v>2E-3</v>
      </c>
      <c r="B13">
        <f t="shared" si="3"/>
        <v>120.26531518112246</v>
      </c>
      <c r="C13">
        <f t="shared" si="4"/>
        <v>0.80901699437494745</v>
      </c>
      <c r="D13">
        <f t="shared" si="5"/>
        <v>0.58778525229247314</v>
      </c>
      <c r="E13">
        <f t="shared" ca="1" si="0"/>
        <v>8.5039604364571684</v>
      </c>
      <c r="F13">
        <f t="shared" ca="1" si="6"/>
        <v>16.811850667549905</v>
      </c>
      <c r="G13">
        <f t="shared" ca="1" si="7"/>
        <v>6.9952383189501024</v>
      </c>
      <c r="H13">
        <f t="shared" ca="1" si="1"/>
        <v>18.209109863112641</v>
      </c>
      <c r="I13">
        <f t="shared" ca="1" si="8"/>
        <v>67.408307160166444</v>
      </c>
    </row>
    <row r="14" spans="1:9" x14ac:dyDescent="0.25">
      <c r="A14">
        <f t="shared" si="2"/>
        <v>3.0000000000000001E-3</v>
      </c>
      <c r="B14">
        <f t="shared" si="3"/>
        <v>137.37690893368958</v>
      </c>
      <c r="C14">
        <f t="shared" si="4"/>
        <v>0.58778525229247303</v>
      </c>
      <c r="D14">
        <f t="shared" si="5"/>
        <v>0.80901699437494745</v>
      </c>
      <c r="E14">
        <f t="shared" ca="1" si="0"/>
        <v>9.7139212307011888</v>
      </c>
      <c r="F14">
        <f t="shared" ca="1" si="6"/>
        <v>22.521550308886813</v>
      </c>
      <c r="G14">
        <f t="shared" ca="1" si="7"/>
        <v>14.853965676606968</v>
      </c>
      <c r="H14">
        <f t="shared" ca="1" si="1"/>
        <v>26.978890352227936</v>
      </c>
      <c r="I14">
        <f t="shared" ca="1" si="8"/>
        <v>56.593370099754289</v>
      </c>
    </row>
    <row r="15" spans="1:9" x14ac:dyDescent="0.25">
      <c r="A15">
        <f t="shared" si="2"/>
        <v>4.0000000000000001E-3</v>
      </c>
      <c r="B15">
        <f t="shared" si="3"/>
        <v>141.04109367862026</v>
      </c>
      <c r="C15">
        <f t="shared" si="4"/>
        <v>0.30901699437494745</v>
      </c>
      <c r="D15">
        <f t="shared" si="5"/>
        <v>0.95105651629515353</v>
      </c>
      <c r="E15">
        <f t="shared" ca="1" si="0"/>
        <v>9.9730157340152381</v>
      </c>
      <c r="F15">
        <f t="shared" ca="1" si="6"/>
        <v>25.603381655866261</v>
      </c>
      <c r="G15">
        <f t="shared" ca="1" si="7"/>
        <v>24.338867277556254</v>
      </c>
      <c r="H15">
        <f t="shared" ca="1" si="1"/>
        <v>35.325820762870428</v>
      </c>
      <c r="I15">
        <f t="shared" ca="1" si="8"/>
        <v>46.450392446750115</v>
      </c>
    </row>
    <row r="16" spans="1:9" x14ac:dyDescent="0.25">
      <c r="A16">
        <f t="shared" si="2"/>
        <v>5.0000000000000001E-3</v>
      </c>
      <c r="B16">
        <f t="shared" si="3"/>
        <v>130.89919348320441</v>
      </c>
      <c r="C16">
        <f t="shared" si="4"/>
        <v>6.1257422745431001E-17</v>
      </c>
      <c r="D16">
        <f t="shared" si="5"/>
        <v>1</v>
      </c>
      <c r="E16">
        <f t="shared" ca="1" si="0"/>
        <v>9.2558819711973843</v>
      </c>
      <c r="F16">
        <f t="shared" ca="1" si="6"/>
        <v>25.603381655866261</v>
      </c>
      <c r="G16">
        <f t="shared" ca="1" si="7"/>
        <v>33.594749248753637</v>
      </c>
      <c r="H16">
        <f t="shared" ca="1" si="1"/>
        <v>42.239085327485277</v>
      </c>
      <c r="I16">
        <f t="shared" ca="1" si="8"/>
        <v>37.311913511325031</v>
      </c>
    </row>
    <row r="17" spans="1:11" x14ac:dyDescent="0.25">
      <c r="A17">
        <f t="shared" si="2"/>
        <v>6.0000000000000001E-3</v>
      </c>
      <c r="B17">
        <f t="shared" si="3"/>
        <v>107.94396820134305</v>
      </c>
      <c r="C17">
        <f t="shared" si="4"/>
        <v>-0.30901699437494756</v>
      </c>
      <c r="D17">
        <f t="shared" si="5"/>
        <v>0.95105651629515353</v>
      </c>
      <c r="E17">
        <f t="shared" ca="1" si="0"/>
        <v>7.6327179915169667</v>
      </c>
      <c r="F17">
        <f t="shared" ca="1" si="6"/>
        <v>23.244742083216103</v>
      </c>
      <c r="G17">
        <f t="shared" ca="1" si="7"/>
        <v>40.853895431629105</v>
      </c>
      <c r="H17">
        <f t="shared" ca="1" si="1"/>
        <v>47.003816934943949</v>
      </c>
      <c r="I17">
        <f t="shared" ca="1" si="8"/>
        <v>29.638684937070632</v>
      </c>
    </row>
    <row r="18" spans="1:11" x14ac:dyDescent="0.25">
      <c r="A18">
        <f t="shared" si="2"/>
        <v>7.0000000000000001E-3</v>
      </c>
      <c r="B18">
        <f t="shared" si="3"/>
        <v>74.422435222083948</v>
      </c>
      <c r="C18">
        <f t="shared" si="4"/>
        <v>-0.58778525229247303</v>
      </c>
      <c r="D18">
        <f t="shared" si="5"/>
        <v>0.80901699437494745</v>
      </c>
      <c r="E18">
        <f t="shared" ca="1" si="0"/>
        <v>5.2624103945535552</v>
      </c>
      <c r="F18">
        <f t="shared" ca="1" si="6"/>
        <v>20.151574861786909</v>
      </c>
      <c r="G18">
        <f t="shared" ca="1" si="7"/>
        <v>45.111274872198301</v>
      </c>
      <c r="H18">
        <f t="shared" ca="1" si="1"/>
        <v>49.407621780502971</v>
      </c>
      <c r="I18">
        <f t="shared" ca="1" si="8"/>
        <v>24.070705523608375</v>
      </c>
    </row>
    <row r="19" spans="1:11" x14ac:dyDescent="0.25">
      <c r="A19">
        <f t="shared" si="2"/>
        <v>8.0000000000000002E-3</v>
      </c>
      <c r="B19">
        <f t="shared" si="3"/>
        <v>33.6159157516907</v>
      </c>
      <c r="C19">
        <f t="shared" si="4"/>
        <v>-0.80901699437494734</v>
      </c>
      <c r="D19">
        <f t="shared" si="5"/>
        <v>0.58778525229247325</v>
      </c>
      <c r="E19">
        <f t="shared" ca="1" si="0"/>
        <v>2.3769814028020493</v>
      </c>
      <c r="F19">
        <f t="shared" ca="1" si="6"/>
        <v>18.228556511606847</v>
      </c>
      <c r="G19">
        <f t="shared" ca="1" si="7"/>
        <v>46.508429485738823</v>
      </c>
      <c r="H19">
        <f t="shared" ca="1" si="1"/>
        <v>49.95312088074963</v>
      </c>
      <c r="I19">
        <f t="shared" ca="1" si="8"/>
        <v>21.4022450737789</v>
      </c>
    </row>
    <row r="20" spans="1:11" x14ac:dyDescent="0.25">
      <c r="A20">
        <f t="shared" si="2"/>
        <v>9.0000000000000011E-3</v>
      </c>
      <c r="B20">
        <f t="shared" si="3"/>
        <v>-10.481163768335337</v>
      </c>
      <c r="C20">
        <f t="shared" si="4"/>
        <v>-0.95105651629515364</v>
      </c>
      <c r="D20">
        <f t="shared" si="5"/>
        <v>0.30901699437494712</v>
      </c>
      <c r="E20">
        <f t="shared" ca="1" si="0"/>
        <v>-0.74112309005899168</v>
      </c>
      <c r="F20">
        <f t="shared" ca="1" si="6"/>
        <v>18.933406455784251</v>
      </c>
      <c r="G20">
        <f t="shared" ca="1" si="7"/>
        <v>46.27940985598692</v>
      </c>
      <c r="H20">
        <f t="shared" ca="1" si="1"/>
        <v>50.002576500000004</v>
      </c>
      <c r="I20">
        <f t="shared" ca="1" si="8"/>
        <v>22.249999999999993</v>
      </c>
    </row>
    <row r="21" spans="1:11" x14ac:dyDescent="0.25">
      <c r="A21">
        <f t="shared" si="2"/>
        <v>0.01</v>
      </c>
      <c r="B21">
        <f t="shared" si="3"/>
        <v>-53.552273952154565</v>
      </c>
      <c r="C21">
        <f t="shared" si="4"/>
        <v>-1</v>
      </c>
      <c r="D21">
        <f t="shared" si="5"/>
        <v>1.22514845490862E-16</v>
      </c>
      <c r="E21">
        <f t="shared" ca="1" si="0"/>
        <v>-3.786681291156849</v>
      </c>
      <c r="F21">
        <f t="shared" ca="1" si="6"/>
        <v>22.7200877469411</v>
      </c>
      <c r="G21">
        <f t="shared" ca="1" si="7"/>
        <v>46.27940985598692</v>
      </c>
      <c r="H21">
        <f t="shared" ca="1" si="1"/>
        <v>51.555660832222124</v>
      </c>
      <c r="I21">
        <f t="shared" ca="1" si="8"/>
        <v>26.147943324642355</v>
      </c>
    </row>
    <row r="22" spans="1:11" x14ac:dyDescent="0.25">
      <c r="A22">
        <f t="shared" si="2"/>
        <v>1.0999999999999999E-2</v>
      </c>
      <c r="B22">
        <f t="shared" si="3"/>
        <v>-91.381314440904347</v>
      </c>
      <c r="C22">
        <f t="shared" si="4"/>
        <v>-0.95105651629515364</v>
      </c>
      <c r="D22">
        <f t="shared" si="5"/>
        <v>-0.30901699437494728</v>
      </c>
      <c r="E22">
        <f t="shared" ca="1" si="0"/>
        <v>-6.4615727441163457</v>
      </c>
      <c r="F22">
        <f t="shared" ca="1" si="6"/>
        <v>28.865408610748108</v>
      </c>
      <c r="G22">
        <f t="shared" ca="1" si="7"/>
        <v>48.276145644308833</v>
      </c>
      <c r="H22">
        <f t="shared" ca="1" si="1"/>
        <v>56.247649306757431</v>
      </c>
      <c r="I22">
        <f t="shared" ca="1" si="8"/>
        <v>30.876165832738</v>
      </c>
    </row>
    <row r="23" spans="1:11" x14ac:dyDescent="0.25">
      <c r="A23">
        <f t="shared" si="2"/>
        <v>1.2E-2</v>
      </c>
      <c r="B23">
        <f t="shared" si="3"/>
        <v>-120.2653151811225</v>
      </c>
      <c r="C23">
        <f t="shared" si="4"/>
        <v>-0.80901699437494723</v>
      </c>
      <c r="D23">
        <f t="shared" si="5"/>
        <v>-0.58778525229247336</v>
      </c>
      <c r="E23">
        <f t="shared" ca="1" si="0"/>
        <v>-8.5039604364571719</v>
      </c>
      <c r="F23">
        <f t="shared" ca="1" si="6"/>
        <v>35.745257123334156</v>
      </c>
      <c r="G23">
        <f t="shared" ca="1" si="7"/>
        <v>53.274648174937028</v>
      </c>
      <c r="H23">
        <f t="shared" ca="1" si="1"/>
        <v>64.155370351799789</v>
      </c>
      <c r="I23">
        <f t="shared" ca="1" si="8"/>
        <v>33.860104479717094</v>
      </c>
    </row>
    <row r="24" spans="1:11" x14ac:dyDescent="0.25">
      <c r="A24">
        <f t="shared" si="2"/>
        <v>1.3000000000000001E-2</v>
      </c>
      <c r="B24">
        <f t="shared" si="3"/>
        <v>-137.37690893368958</v>
      </c>
      <c r="C24">
        <f t="shared" si="4"/>
        <v>-0.58778525229247258</v>
      </c>
      <c r="D24">
        <f t="shared" si="5"/>
        <v>-0.8090169943749479</v>
      </c>
      <c r="E24">
        <f t="shared" ca="1" si="0"/>
        <v>-9.7139212307011888</v>
      </c>
      <c r="F24">
        <f t="shared" ca="1" si="6"/>
        <v>41.45495676467106</v>
      </c>
      <c r="G24">
        <f t="shared" ca="1" si="7"/>
        <v>61.133375532593895</v>
      </c>
      <c r="H24">
        <f t="shared" ca="1" si="1"/>
        <v>73.863408020276836</v>
      </c>
      <c r="I24">
        <f t="shared" ca="1" si="8"/>
        <v>34.141462034152887</v>
      </c>
    </row>
    <row r="25" spans="1:11" x14ac:dyDescent="0.25">
      <c r="A25">
        <f t="shared" si="2"/>
        <v>1.4E-2</v>
      </c>
      <c r="B25">
        <f t="shared" si="3"/>
        <v>-141.04109367862026</v>
      </c>
      <c r="C25">
        <f t="shared" si="4"/>
        <v>-0.30901699437494756</v>
      </c>
      <c r="D25">
        <f t="shared" si="5"/>
        <v>-0.95105651629515353</v>
      </c>
      <c r="E25">
        <f t="shared" ca="1" si="0"/>
        <v>-9.9730157340152381</v>
      </c>
      <c r="F25">
        <f t="shared" ca="1" si="6"/>
        <v>44.536788111650509</v>
      </c>
      <c r="G25">
        <f t="shared" ca="1" si="7"/>
        <v>70.618277133543188</v>
      </c>
      <c r="H25">
        <f t="shared" ca="1" si="1"/>
        <v>83.489320039223955</v>
      </c>
      <c r="I25">
        <f t="shared" ca="1" si="8"/>
        <v>32.238376752588927</v>
      </c>
    </row>
    <row r="26" spans="1:11" x14ac:dyDescent="0.25">
      <c r="A26">
        <f t="shared" si="2"/>
        <v>1.4999999999999999E-2</v>
      </c>
      <c r="B26">
        <f t="shared" si="3"/>
        <v>-130.89919348320444</v>
      </c>
      <c r="C26">
        <f t="shared" si="4"/>
        <v>-1.83772268236293E-16</v>
      </c>
      <c r="D26">
        <f t="shared" si="5"/>
        <v>-1</v>
      </c>
      <c r="E26">
        <f t="shared" ca="1" si="0"/>
        <v>-9.2558819711973861</v>
      </c>
      <c r="F26">
        <f t="shared" ca="1" si="6"/>
        <v>44.536788111650509</v>
      </c>
      <c r="G26">
        <f t="shared" ca="1" si="7"/>
        <v>79.874159104740571</v>
      </c>
      <c r="H26">
        <f t="shared" ca="1" si="1"/>
        <v>91.451663669894302</v>
      </c>
      <c r="I26">
        <f t="shared" ca="1" si="8"/>
        <v>29.143466818478842</v>
      </c>
    </row>
    <row r="27" spans="1:11" x14ac:dyDescent="0.25">
      <c r="A27">
        <f t="shared" si="2"/>
        <v>1.6E-2</v>
      </c>
      <c r="B27">
        <f t="shared" si="3"/>
        <v>-107.9439682013431</v>
      </c>
      <c r="C27">
        <f t="shared" si="4"/>
        <v>0.30901699437494723</v>
      </c>
      <c r="D27">
        <f t="shared" si="5"/>
        <v>-0.95105651629515364</v>
      </c>
      <c r="E27">
        <f t="shared" ca="1" si="0"/>
        <v>-7.6327179915169703</v>
      </c>
      <c r="F27">
        <f t="shared" ca="1" si="6"/>
        <v>42.178148539000354</v>
      </c>
      <c r="G27">
        <f t="shared" ca="1" si="7"/>
        <v>87.133305287616039</v>
      </c>
      <c r="H27">
        <f t="shared" ca="1" si="1"/>
        <v>96.805005575759751</v>
      </c>
      <c r="I27">
        <f t="shared" ca="1" si="8"/>
        <v>25.829980847330095</v>
      </c>
    </row>
    <row r="28" spans="1:11" x14ac:dyDescent="0.25">
      <c r="A28">
        <f t="shared" si="2"/>
        <v>1.7000000000000001E-2</v>
      </c>
      <c r="B28">
        <f t="shared" si="3"/>
        <v>-74.422435222083863</v>
      </c>
      <c r="C28">
        <f t="shared" si="4"/>
        <v>0.58778525229247369</v>
      </c>
      <c r="D28">
        <f t="shared" si="5"/>
        <v>-0.80901699437494701</v>
      </c>
      <c r="E28">
        <f t="shared" ca="1" si="0"/>
        <v>-5.2624103945535499</v>
      </c>
      <c r="F28">
        <f t="shared" ca="1" si="6"/>
        <v>39.084981317571163</v>
      </c>
      <c r="G28">
        <f t="shared" ca="1" si="7"/>
        <v>91.390684728185235</v>
      </c>
      <c r="H28">
        <f t="shared" ca="1" si="1"/>
        <v>99.397650976677696</v>
      </c>
      <c r="I28">
        <f t="shared" ca="1" si="8"/>
        <v>23.154903982287941</v>
      </c>
    </row>
    <row r="29" spans="1:11" x14ac:dyDescent="0.25">
      <c r="A29">
        <f t="shared" si="2"/>
        <v>1.8000000000000002E-2</v>
      </c>
      <c r="B29">
        <f t="shared" si="3"/>
        <v>-33.615915751690594</v>
      </c>
      <c r="C29">
        <f t="shared" si="4"/>
        <v>0.80901699437494778</v>
      </c>
      <c r="D29">
        <f t="shared" si="5"/>
        <v>-0.58778525229247258</v>
      </c>
      <c r="E29">
        <f t="shared" ca="1" si="0"/>
        <v>-2.3769814028020417</v>
      </c>
      <c r="F29">
        <f t="shared" ca="1" si="6"/>
        <v>37.161962967391105</v>
      </c>
      <c r="G29">
        <f t="shared" ca="1" si="7"/>
        <v>92.787839341725743</v>
      </c>
      <c r="H29">
        <f t="shared" ca="1" si="1"/>
        <v>99.952962043631572</v>
      </c>
      <c r="I29">
        <f t="shared" ca="1" si="8"/>
        <v>21.826332264853217</v>
      </c>
    </row>
    <row r="30" spans="1:11" x14ac:dyDescent="0.25">
      <c r="A30">
        <f t="shared" si="2"/>
        <v>1.9E-2</v>
      </c>
      <c r="B30">
        <f t="shared" si="3"/>
        <v>10.481163768335255</v>
      </c>
      <c r="C30">
        <f t="shared" si="4"/>
        <v>0.95105651629515353</v>
      </c>
      <c r="D30">
        <f t="shared" si="5"/>
        <v>-0.30901699437494762</v>
      </c>
      <c r="E30">
        <f t="shared" ca="1" si="0"/>
        <v>0.74112309005898591</v>
      </c>
      <c r="F30">
        <f t="shared" ca="1" si="6"/>
        <v>37.866812911568502</v>
      </c>
      <c r="G30">
        <f t="shared" ca="1" si="7"/>
        <v>92.55881971197384</v>
      </c>
      <c r="H30">
        <f t="shared" ca="1" si="1"/>
        <v>100.00515300000001</v>
      </c>
      <c r="I30">
        <f t="shared" ca="1" si="8"/>
        <v>22.249999999999993</v>
      </c>
      <c r="K30">
        <f ca="1">F30-F11</f>
        <v>34.080131620411649</v>
      </c>
    </row>
    <row r="31" spans="1:11" x14ac:dyDescent="0.25">
      <c r="A31">
        <f t="shared" si="2"/>
        <v>0.02</v>
      </c>
      <c r="B31">
        <f t="shared" si="3"/>
        <v>53.552273952154543</v>
      </c>
      <c r="C31">
        <f t="shared" si="4"/>
        <v>1</v>
      </c>
      <c r="D31">
        <f t="shared" si="5"/>
        <v>-2.45029690981724E-16</v>
      </c>
      <c r="E31">
        <f t="shared" ca="1" si="0"/>
        <v>-3.5169733791917676E-15</v>
      </c>
      <c r="F31">
        <f t="shared" ca="1" si="6"/>
        <v>37.866812911568502</v>
      </c>
      <c r="G31">
        <f t="shared" ca="1" si="7"/>
        <v>92.55881971197384</v>
      </c>
      <c r="H31">
        <f t="shared" ca="1" si="1"/>
        <v>100.00515300000001</v>
      </c>
      <c r="I31">
        <f t="shared" ca="1" si="8"/>
        <v>22.249999999999993</v>
      </c>
      <c r="K31">
        <f t="shared" ref="K31:K94" ca="1" si="9">F31-F12</f>
        <v>27.934810756604641</v>
      </c>
    </row>
    <row r="32" spans="1:11" x14ac:dyDescent="0.25">
      <c r="A32">
        <f t="shared" si="2"/>
        <v>2.1000000000000001E-2</v>
      </c>
      <c r="B32">
        <f t="shared" si="3"/>
        <v>91.381314440904433</v>
      </c>
      <c r="C32">
        <f t="shared" si="4"/>
        <v>0.95105651629515342</v>
      </c>
      <c r="D32">
        <f t="shared" si="5"/>
        <v>0.30901699437494801</v>
      </c>
      <c r="E32">
        <f t="shared" ca="1" si="0"/>
        <v>3.0145486107358008E-15</v>
      </c>
      <c r="F32">
        <f t="shared" ca="1" si="6"/>
        <v>37.866812911568502</v>
      </c>
      <c r="G32">
        <f t="shared" ca="1" si="7"/>
        <v>92.55881971197384</v>
      </c>
      <c r="H32">
        <f t="shared" ca="1" si="1"/>
        <v>100.00515300000001</v>
      </c>
      <c r="I32">
        <f t="shared" ca="1" si="8"/>
        <v>22.249999999999993</v>
      </c>
      <c r="K32">
        <f t="shared" ca="1" si="9"/>
        <v>21.054962244018597</v>
      </c>
    </row>
    <row r="33" spans="1:11" x14ac:dyDescent="0.25">
      <c r="A33">
        <f t="shared" si="2"/>
        <v>2.1999999999999999E-2</v>
      </c>
      <c r="B33">
        <f t="shared" si="3"/>
        <v>120.26531518112243</v>
      </c>
      <c r="C33">
        <f t="shared" si="4"/>
        <v>0.80901699437494756</v>
      </c>
      <c r="D33">
        <f t="shared" si="5"/>
        <v>0.58778525229247292</v>
      </c>
      <c r="E33">
        <f t="shared" ca="1" si="0"/>
        <v>-2.0096990738238672E-15</v>
      </c>
      <c r="F33">
        <f t="shared" ca="1" si="6"/>
        <v>37.866812911568502</v>
      </c>
      <c r="G33">
        <f t="shared" ca="1" si="7"/>
        <v>92.55881971197384</v>
      </c>
      <c r="H33">
        <f t="shared" ca="1" si="1"/>
        <v>100.00515300000001</v>
      </c>
      <c r="I33">
        <f t="shared" ca="1" si="8"/>
        <v>22.249999999999993</v>
      </c>
      <c r="K33">
        <f t="shared" ca="1" si="9"/>
        <v>15.345262602681689</v>
      </c>
    </row>
    <row r="34" spans="1:11" x14ac:dyDescent="0.25">
      <c r="A34">
        <f t="shared" si="2"/>
        <v>2.3E-2</v>
      </c>
      <c r="B34">
        <f t="shared" si="3"/>
        <v>137.37690893368955</v>
      </c>
      <c r="C34">
        <f t="shared" si="4"/>
        <v>0.58778525229247336</v>
      </c>
      <c r="D34">
        <f t="shared" si="5"/>
        <v>0.80901699437494723</v>
      </c>
      <c r="E34">
        <f t="shared" ca="1" si="0"/>
        <v>-2.0096990738238672E-15</v>
      </c>
      <c r="F34">
        <f t="shared" ca="1" si="6"/>
        <v>37.866812911568502</v>
      </c>
      <c r="G34">
        <f t="shared" ca="1" si="7"/>
        <v>92.55881971197384</v>
      </c>
      <c r="H34">
        <f t="shared" ca="1" si="1"/>
        <v>100.00515300000001</v>
      </c>
      <c r="I34">
        <f t="shared" ca="1" si="8"/>
        <v>22.249999999999993</v>
      </c>
      <c r="K34">
        <f t="shared" ca="1" si="9"/>
        <v>12.26343125570224</v>
      </c>
    </row>
    <row r="35" spans="1:11" x14ac:dyDescent="0.25">
      <c r="A35">
        <f t="shared" si="2"/>
        <v>2.4E-2</v>
      </c>
      <c r="B35">
        <f t="shared" si="3"/>
        <v>141.04109367862026</v>
      </c>
      <c r="C35">
        <f t="shared" si="4"/>
        <v>0.30901699437494684</v>
      </c>
      <c r="D35">
        <f t="shared" si="5"/>
        <v>0.95105651629515375</v>
      </c>
      <c r="E35">
        <f t="shared" ca="1" si="0"/>
        <v>0</v>
      </c>
      <c r="F35">
        <f t="shared" ca="1" si="6"/>
        <v>37.866812911568502</v>
      </c>
      <c r="G35">
        <f t="shared" ca="1" si="7"/>
        <v>92.55881971197384</v>
      </c>
      <c r="H35">
        <f t="shared" ca="1" si="1"/>
        <v>100.00515300000001</v>
      </c>
      <c r="I35">
        <f t="shared" ca="1" si="8"/>
        <v>22.249999999999993</v>
      </c>
      <c r="K35">
        <f t="shared" ca="1" si="9"/>
        <v>12.26343125570224</v>
      </c>
    </row>
    <row r="36" spans="1:11" x14ac:dyDescent="0.25">
      <c r="A36">
        <f t="shared" si="2"/>
        <v>2.5000000000000001E-2</v>
      </c>
      <c r="B36">
        <f t="shared" si="3"/>
        <v>130.89919348320436</v>
      </c>
      <c r="C36">
        <f t="shared" si="4"/>
        <v>-5.8189130597297023E-16</v>
      </c>
      <c r="D36">
        <f t="shared" si="5"/>
        <v>1</v>
      </c>
      <c r="E36">
        <f t="shared" ca="1" si="0"/>
        <v>-4.0193981476477345E-15</v>
      </c>
      <c r="F36">
        <f t="shared" ca="1" si="6"/>
        <v>37.866812911568502</v>
      </c>
      <c r="G36">
        <f t="shared" ca="1" si="7"/>
        <v>92.55881971197384</v>
      </c>
      <c r="H36">
        <f t="shared" ca="1" si="1"/>
        <v>100.00515300000001</v>
      </c>
      <c r="I36">
        <f t="shared" ca="1" si="8"/>
        <v>22.249999999999993</v>
      </c>
      <c r="K36">
        <f t="shared" ca="1" si="9"/>
        <v>14.622070828352399</v>
      </c>
    </row>
    <row r="37" spans="1:11" x14ac:dyDescent="0.25">
      <c r="A37">
        <f t="shared" si="2"/>
        <v>2.6000000000000002E-2</v>
      </c>
      <c r="B37">
        <f t="shared" si="3"/>
        <v>107.94396820134294</v>
      </c>
      <c r="C37">
        <f t="shared" si="4"/>
        <v>-0.30901699437494878</v>
      </c>
      <c r="D37">
        <f t="shared" si="5"/>
        <v>0.95105651629515309</v>
      </c>
      <c r="E37">
        <f t="shared" ca="1" si="0"/>
        <v>-8.0387962952954689E-15</v>
      </c>
      <c r="F37">
        <f t="shared" ca="1" si="6"/>
        <v>37.866812911568502</v>
      </c>
      <c r="G37">
        <f t="shared" ca="1" si="7"/>
        <v>92.558819711973825</v>
      </c>
      <c r="H37">
        <f t="shared" ca="1" si="1"/>
        <v>100.00515299999998</v>
      </c>
      <c r="I37">
        <f t="shared" ca="1" si="8"/>
        <v>22.249999999999996</v>
      </c>
      <c r="K37">
        <f t="shared" ca="1" si="9"/>
        <v>17.715238049781593</v>
      </c>
    </row>
    <row r="38" spans="1:11" x14ac:dyDescent="0.25">
      <c r="A38">
        <f t="shared" si="2"/>
        <v>2.7E-2</v>
      </c>
      <c r="B38">
        <f t="shared" si="3"/>
        <v>74.422435222083976</v>
      </c>
      <c r="C38">
        <f t="shared" si="4"/>
        <v>-0.58778525229247292</v>
      </c>
      <c r="D38">
        <f t="shared" si="5"/>
        <v>0.80901699437494767</v>
      </c>
      <c r="E38">
        <f t="shared" ca="1" si="0"/>
        <v>2.0096990738238672E-15</v>
      </c>
      <c r="F38">
        <f t="shared" ca="1" si="6"/>
        <v>37.866812911568502</v>
      </c>
      <c r="G38">
        <f t="shared" ca="1" si="7"/>
        <v>92.558819711973825</v>
      </c>
      <c r="H38">
        <f t="shared" ca="1" si="1"/>
        <v>100.00515299999998</v>
      </c>
      <c r="I38">
        <f t="shared" ca="1" si="8"/>
        <v>22.249999999999996</v>
      </c>
      <c r="K38">
        <f t="shared" ca="1" si="9"/>
        <v>19.638256399961655</v>
      </c>
    </row>
    <row r="39" spans="1:11" x14ac:dyDescent="0.25">
      <c r="A39">
        <f t="shared" si="2"/>
        <v>2.8000000000000001E-2</v>
      </c>
      <c r="B39">
        <f t="shared" si="3"/>
        <v>33.615915751690736</v>
      </c>
      <c r="C39">
        <f t="shared" si="4"/>
        <v>-0.80901699437494723</v>
      </c>
      <c r="D39">
        <f t="shared" si="5"/>
        <v>0.58778525229247336</v>
      </c>
      <c r="E39">
        <f t="shared" ca="1" si="0"/>
        <v>2.512123842279834E-15</v>
      </c>
      <c r="F39">
        <f t="shared" ca="1" si="6"/>
        <v>37.866812911568502</v>
      </c>
      <c r="G39">
        <f t="shared" ca="1" si="7"/>
        <v>92.558819711973825</v>
      </c>
      <c r="H39">
        <f t="shared" ca="1" si="1"/>
        <v>100.00515299999998</v>
      </c>
      <c r="I39">
        <f t="shared" ca="1" si="8"/>
        <v>22.249999999999996</v>
      </c>
      <c r="K39">
        <f t="shared" ca="1" si="9"/>
        <v>18.933406455784251</v>
      </c>
    </row>
    <row r="40" spans="1:11" x14ac:dyDescent="0.25">
      <c r="A40">
        <f t="shared" si="2"/>
        <v>2.9000000000000001E-2</v>
      </c>
      <c r="B40">
        <f t="shared" si="3"/>
        <v>-10.481163768335238</v>
      </c>
      <c r="C40">
        <f t="shared" si="4"/>
        <v>-0.95105651629515342</v>
      </c>
      <c r="D40">
        <f t="shared" si="5"/>
        <v>0.30901699437494778</v>
      </c>
      <c r="E40">
        <f t="shared" ca="1" si="0"/>
        <v>7.0339467583835353E-15</v>
      </c>
      <c r="F40">
        <f t="shared" ca="1" si="6"/>
        <v>37.866812911568495</v>
      </c>
      <c r="G40">
        <f t="shared" ca="1" si="7"/>
        <v>92.558819711973825</v>
      </c>
      <c r="H40">
        <f t="shared" ca="1" si="1"/>
        <v>100.00515299999998</v>
      </c>
      <c r="I40">
        <f t="shared" ca="1" si="8"/>
        <v>22.249999999999993</v>
      </c>
      <c r="K40">
        <f t="shared" ca="1" si="9"/>
        <v>15.146725164627394</v>
      </c>
    </row>
    <row r="41" spans="1:11" x14ac:dyDescent="0.25">
      <c r="A41">
        <f t="shared" si="2"/>
        <v>0.03</v>
      </c>
      <c r="B41">
        <f t="shared" si="3"/>
        <v>-53.552273952154529</v>
      </c>
      <c r="C41">
        <f t="shared" si="4"/>
        <v>-1</v>
      </c>
      <c r="D41">
        <f t="shared" si="5"/>
        <v>3.67544536472586E-16</v>
      </c>
      <c r="E41">
        <f t="shared" ca="1" si="0"/>
        <v>2.512123842279834E-15</v>
      </c>
      <c r="F41">
        <f t="shared" ca="1" si="6"/>
        <v>37.866812911568495</v>
      </c>
      <c r="G41">
        <f t="shared" ca="1" si="7"/>
        <v>92.558819711973825</v>
      </c>
      <c r="H41">
        <f t="shared" ca="1" si="1"/>
        <v>100.00515299999998</v>
      </c>
      <c r="I41">
        <f t="shared" ca="1" si="8"/>
        <v>22.249999999999993</v>
      </c>
      <c r="K41">
        <f t="shared" ca="1" si="9"/>
        <v>9.0014043008203863</v>
      </c>
    </row>
    <row r="42" spans="1:11" x14ac:dyDescent="0.25">
      <c r="A42">
        <f t="shared" si="2"/>
        <v>3.1E-2</v>
      </c>
      <c r="B42">
        <f t="shared" si="3"/>
        <v>-91.381314440904319</v>
      </c>
      <c r="C42">
        <f t="shared" si="4"/>
        <v>-0.95105651629515364</v>
      </c>
      <c r="D42">
        <f t="shared" si="5"/>
        <v>-0.30901699437494706</v>
      </c>
      <c r="E42">
        <f t="shared" ca="1" si="0"/>
        <v>2.0096990738238672E-15</v>
      </c>
      <c r="F42">
        <f t="shared" ca="1" si="6"/>
        <v>37.866812911568495</v>
      </c>
      <c r="G42">
        <f t="shared" ca="1" si="7"/>
        <v>92.558819711973825</v>
      </c>
      <c r="H42">
        <f t="shared" ca="1" si="1"/>
        <v>100.00515299999998</v>
      </c>
      <c r="I42">
        <f t="shared" ca="1" si="8"/>
        <v>22.249999999999993</v>
      </c>
      <c r="K42">
        <f t="shared" ca="1" si="9"/>
        <v>2.121555788234339</v>
      </c>
    </row>
    <row r="43" spans="1:11" x14ac:dyDescent="0.25">
      <c r="A43">
        <f t="shared" si="2"/>
        <v>3.2000000000000001E-2</v>
      </c>
      <c r="B43">
        <f t="shared" si="3"/>
        <v>-120.26531518112243</v>
      </c>
      <c r="C43">
        <f t="shared" si="4"/>
        <v>-0.80901699437494767</v>
      </c>
      <c r="D43">
        <f t="shared" si="5"/>
        <v>-0.5877852522924728</v>
      </c>
      <c r="E43">
        <f t="shared" ca="1" si="0"/>
        <v>5.0242476845596681E-15</v>
      </c>
      <c r="F43">
        <f t="shared" ca="1" si="6"/>
        <v>37.866812911568488</v>
      </c>
      <c r="G43">
        <f t="shared" ca="1" si="7"/>
        <v>92.558819711973825</v>
      </c>
      <c r="H43">
        <f t="shared" ca="1" si="1"/>
        <v>100.00515299999998</v>
      </c>
      <c r="I43">
        <f t="shared" ca="1" si="8"/>
        <v>22.249999999999989</v>
      </c>
      <c r="K43">
        <f t="shared" ca="1" si="9"/>
        <v>-3.5881438531025722</v>
      </c>
    </row>
    <row r="44" spans="1:11" x14ac:dyDescent="0.25">
      <c r="A44">
        <f t="shared" si="2"/>
        <v>3.3000000000000002E-2</v>
      </c>
      <c r="B44">
        <f t="shared" si="3"/>
        <v>-137.37690893368961</v>
      </c>
      <c r="C44">
        <f t="shared" si="4"/>
        <v>-0.58778525229247203</v>
      </c>
      <c r="D44">
        <f t="shared" si="5"/>
        <v>-0.80901699437494823</v>
      </c>
      <c r="E44">
        <f t="shared" ca="1" si="0"/>
        <v>-2.0096990738238672E-15</v>
      </c>
      <c r="F44">
        <f t="shared" ca="1" si="6"/>
        <v>37.866812911568488</v>
      </c>
      <c r="G44">
        <f t="shared" ca="1" si="7"/>
        <v>92.558819711973825</v>
      </c>
      <c r="H44">
        <f t="shared" ca="1" si="1"/>
        <v>100.00515299999998</v>
      </c>
      <c r="I44">
        <f t="shared" ca="1" si="8"/>
        <v>22.249999999999989</v>
      </c>
      <c r="K44">
        <f t="shared" ca="1" si="9"/>
        <v>-6.6699752000820212</v>
      </c>
    </row>
    <row r="45" spans="1:11" x14ac:dyDescent="0.25">
      <c r="A45">
        <f t="shared" si="2"/>
        <v>3.4000000000000002E-2</v>
      </c>
      <c r="B45">
        <f t="shared" si="3"/>
        <v>-141.04109367862026</v>
      </c>
      <c r="C45">
        <f t="shared" si="4"/>
        <v>-0.30901699437494612</v>
      </c>
      <c r="D45">
        <f t="shared" si="5"/>
        <v>-0.95105651629515398</v>
      </c>
      <c r="E45">
        <f t="shared" ca="1" si="0"/>
        <v>0</v>
      </c>
      <c r="F45">
        <f t="shared" ca="1" si="6"/>
        <v>37.866812911568488</v>
      </c>
      <c r="G45">
        <f t="shared" ca="1" si="7"/>
        <v>92.558819711973825</v>
      </c>
      <c r="H45">
        <f t="shared" ca="1" si="1"/>
        <v>100.00515299999998</v>
      </c>
      <c r="I45">
        <f t="shared" ca="1" si="8"/>
        <v>22.249999999999989</v>
      </c>
      <c r="K45">
        <f t="shared" ca="1" si="9"/>
        <v>-6.6699752000820212</v>
      </c>
    </row>
    <row r="46" spans="1:11" x14ac:dyDescent="0.25">
      <c r="A46">
        <f t="shared" si="2"/>
        <v>3.5000000000000003E-2</v>
      </c>
      <c r="B46">
        <f t="shared" si="3"/>
        <v>-130.89919348320436</v>
      </c>
      <c r="C46">
        <f t="shared" si="4"/>
        <v>1.3475548801822335E-15</v>
      </c>
      <c r="D46">
        <f t="shared" si="5"/>
        <v>-1</v>
      </c>
      <c r="E46">
        <f t="shared" ca="1" si="0"/>
        <v>6.0290972214716017E-15</v>
      </c>
      <c r="F46">
        <f t="shared" ca="1" si="6"/>
        <v>37.866812911568488</v>
      </c>
      <c r="G46">
        <f t="shared" ca="1" si="7"/>
        <v>92.558819711973825</v>
      </c>
      <c r="H46">
        <f t="shared" ca="1" si="1"/>
        <v>100.00515299999998</v>
      </c>
      <c r="I46">
        <f t="shared" ca="1" si="8"/>
        <v>22.249999999999989</v>
      </c>
      <c r="K46">
        <f t="shared" ca="1" si="9"/>
        <v>-4.3113356274318662</v>
      </c>
    </row>
    <row r="47" spans="1:11" x14ac:dyDescent="0.25">
      <c r="A47">
        <f t="shared" si="2"/>
        <v>3.6000000000000004E-2</v>
      </c>
      <c r="B47">
        <f t="shared" si="3"/>
        <v>-107.94396820134295</v>
      </c>
      <c r="C47">
        <f t="shared" si="4"/>
        <v>0.30901699437494867</v>
      </c>
      <c r="D47">
        <f t="shared" si="5"/>
        <v>-0.9510565162951532</v>
      </c>
      <c r="E47">
        <f t="shared" ca="1" si="0"/>
        <v>1.0048495369119336E-14</v>
      </c>
      <c r="F47">
        <f t="shared" ca="1" si="6"/>
        <v>37.866812911568488</v>
      </c>
      <c r="G47">
        <f t="shared" ca="1" si="7"/>
        <v>92.558819711973811</v>
      </c>
      <c r="H47">
        <f t="shared" ca="1" si="1"/>
        <v>100.00515299999996</v>
      </c>
      <c r="I47">
        <f t="shared" ca="1" si="8"/>
        <v>22.249999999999993</v>
      </c>
      <c r="K47">
        <f t="shared" ca="1" si="9"/>
        <v>-1.2181684060026754</v>
      </c>
    </row>
    <row r="48" spans="1:11" x14ac:dyDescent="0.25">
      <c r="A48">
        <f t="shared" si="2"/>
        <v>3.6999999999999998E-2</v>
      </c>
      <c r="B48">
        <f t="shared" si="3"/>
        <v>-74.422435222084005</v>
      </c>
      <c r="C48">
        <f t="shared" si="4"/>
        <v>0.5877852522924728</v>
      </c>
      <c r="D48">
        <f t="shared" si="5"/>
        <v>-0.80901699437494767</v>
      </c>
      <c r="E48">
        <f t="shared" ca="1" si="0"/>
        <v>-1.0048495369119336E-14</v>
      </c>
      <c r="F48">
        <f t="shared" ca="1" si="6"/>
        <v>37.866812911568481</v>
      </c>
      <c r="G48">
        <f t="shared" ca="1" si="7"/>
        <v>92.558819711973825</v>
      </c>
      <c r="H48">
        <f t="shared" ca="1" si="1"/>
        <v>100.00515299999998</v>
      </c>
      <c r="I48">
        <f t="shared" ca="1" si="8"/>
        <v>22.249999999999989</v>
      </c>
      <c r="K48">
        <f t="shared" ca="1" si="9"/>
        <v>0.70484994417737568</v>
      </c>
    </row>
    <row r="49" spans="1:11" x14ac:dyDescent="0.25">
      <c r="A49">
        <f t="shared" si="2"/>
        <v>3.7999999999999999E-2</v>
      </c>
      <c r="B49">
        <f t="shared" si="3"/>
        <v>-33.61591575169075</v>
      </c>
      <c r="C49">
        <f t="shared" si="4"/>
        <v>0.80901699437494712</v>
      </c>
      <c r="D49">
        <f t="shared" si="5"/>
        <v>-0.58778525229247347</v>
      </c>
      <c r="E49">
        <f t="shared" ca="1" si="0"/>
        <v>-1.1053344906031269E-14</v>
      </c>
      <c r="F49">
        <f t="shared" ca="1" si="6"/>
        <v>37.866812911568474</v>
      </c>
      <c r="G49">
        <f t="shared" ca="1" si="7"/>
        <v>92.558819711973825</v>
      </c>
      <c r="H49">
        <f t="shared" ca="1" si="1"/>
        <v>100.00515299999996</v>
      </c>
      <c r="I49">
        <f t="shared" ca="1" si="8"/>
        <v>22.249999999999979</v>
      </c>
      <c r="K49">
        <f t="shared" ca="1" si="9"/>
        <v>0</v>
      </c>
    </row>
    <row r="50" spans="1:11" x14ac:dyDescent="0.25">
      <c r="A50">
        <f t="shared" si="2"/>
        <v>3.9E-2</v>
      </c>
      <c r="B50">
        <f t="shared" si="3"/>
        <v>10.48116376833522</v>
      </c>
      <c r="C50">
        <f t="shared" si="4"/>
        <v>0.95105651629515342</v>
      </c>
      <c r="D50">
        <f t="shared" si="5"/>
        <v>-0.3090169943749479</v>
      </c>
      <c r="E50">
        <f t="shared" ca="1" si="0"/>
        <v>-2.512123842279834E-15</v>
      </c>
      <c r="F50">
        <f t="shared" ca="1" si="6"/>
        <v>37.866812911568474</v>
      </c>
      <c r="G50">
        <f t="shared" ca="1" si="7"/>
        <v>92.558819711973825</v>
      </c>
      <c r="H50">
        <f t="shared" ca="1" si="1"/>
        <v>100.00515299999996</v>
      </c>
      <c r="I50">
        <f t="shared" ca="1" si="8"/>
        <v>22.249999999999979</v>
      </c>
      <c r="K50">
        <f t="shared" ca="1" si="9"/>
        <v>0</v>
      </c>
    </row>
    <row r="51" spans="1:11" x14ac:dyDescent="0.25">
      <c r="A51">
        <f t="shared" si="2"/>
        <v>0.04</v>
      </c>
      <c r="B51">
        <f t="shared" si="3"/>
        <v>53.552273952154515</v>
      </c>
      <c r="C51">
        <f t="shared" si="4"/>
        <v>1</v>
      </c>
      <c r="D51">
        <f t="shared" si="5"/>
        <v>-4.90059381963448E-16</v>
      </c>
      <c r="E51">
        <f t="shared" ca="1" si="0"/>
        <v>-2.0096990738238672E-15</v>
      </c>
      <c r="F51">
        <f t="shared" ca="1" si="6"/>
        <v>37.866812911568474</v>
      </c>
      <c r="G51">
        <f t="shared" ca="1" si="7"/>
        <v>92.558819711973825</v>
      </c>
      <c r="H51">
        <f t="shared" ca="1" si="1"/>
        <v>100.00515299999996</v>
      </c>
      <c r="I51">
        <f t="shared" ca="1" si="8"/>
        <v>22.249999999999979</v>
      </c>
      <c r="K51">
        <f t="shared" ca="1" si="9"/>
        <v>0</v>
      </c>
    </row>
    <row r="52" spans="1:11" x14ac:dyDescent="0.25">
      <c r="A52">
        <f t="shared" si="2"/>
        <v>4.1000000000000002E-2</v>
      </c>
      <c r="B52">
        <f t="shared" si="3"/>
        <v>91.38131444090449</v>
      </c>
      <c r="C52">
        <f t="shared" si="4"/>
        <v>0.9510565162951532</v>
      </c>
      <c r="D52">
        <f t="shared" si="5"/>
        <v>0.30901699437494862</v>
      </c>
      <c r="E52">
        <f t="shared" ca="1" si="0"/>
        <v>4.0193981476477345E-15</v>
      </c>
      <c r="F52">
        <f t="shared" ca="1" si="6"/>
        <v>37.866812911568481</v>
      </c>
      <c r="G52">
        <f t="shared" ca="1" si="7"/>
        <v>92.558819711973825</v>
      </c>
      <c r="H52">
        <f t="shared" ca="1" si="1"/>
        <v>100.00515299999998</v>
      </c>
      <c r="I52">
        <f t="shared" ca="1" si="8"/>
        <v>22.249999999999989</v>
      </c>
      <c r="K52">
        <f t="shared" ca="1" si="9"/>
        <v>0</v>
      </c>
    </row>
    <row r="53" spans="1:11" x14ac:dyDescent="0.25">
      <c r="A53">
        <f t="shared" si="2"/>
        <v>4.2000000000000003E-2</v>
      </c>
      <c r="B53">
        <f t="shared" si="3"/>
        <v>120.26531518112253</v>
      </c>
      <c r="C53">
        <f t="shared" si="4"/>
        <v>0.80901699437494667</v>
      </c>
      <c r="D53">
        <f t="shared" si="5"/>
        <v>0.58778525229247414</v>
      </c>
      <c r="E53">
        <f t="shared" ca="1" si="0"/>
        <v>7.0339467583835353E-15</v>
      </c>
      <c r="F53">
        <f t="shared" ca="1" si="6"/>
        <v>37.866812911568488</v>
      </c>
      <c r="G53">
        <f t="shared" ca="1" si="7"/>
        <v>92.558819711973825</v>
      </c>
      <c r="H53">
        <f t="shared" ca="1" si="1"/>
        <v>100.00515299999998</v>
      </c>
      <c r="I53">
        <f t="shared" ca="1" si="8"/>
        <v>22.249999999999989</v>
      </c>
      <c r="K53">
        <f t="shared" ca="1" si="9"/>
        <v>0</v>
      </c>
    </row>
    <row r="54" spans="1:11" x14ac:dyDescent="0.25">
      <c r="A54">
        <f t="shared" si="2"/>
        <v>4.3000000000000003E-2</v>
      </c>
      <c r="B54">
        <f t="shared" si="3"/>
        <v>137.37690893368961</v>
      </c>
      <c r="C54">
        <f t="shared" si="4"/>
        <v>0.58778525229247214</v>
      </c>
      <c r="D54">
        <f t="shared" si="5"/>
        <v>0.80901699437494812</v>
      </c>
      <c r="E54">
        <f t="shared" ca="1" si="0"/>
        <v>4.0193981476477345E-15</v>
      </c>
      <c r="F54">
        <f t="shared" ca="1" si="6"/>
        <v>37.866812911568488</v>
      </c>
      <c r="G54">
        <f t="shared" ca="1" si="7"/>
        <v>92.558819711973825</v>
      </c>
      <c r="H54">
        <f t="shared" ca="1" si="1"/>
        <v>100.00515299999998</v>
      </c>
      <c r="I54">
        <f t="shared" ca="1" si="8"/>
        <v>22.249999999999989</v>
      </c>
      <c r="K54">
        <f t="shared" ca="1" si="9"/>
        <v>0</v>
      </c>
    </row>
    <row r="55" spans="1:11" x14ac:dyDescent="0.25">
      <c r="A55">
        <f t="shared" si="2"/>
        <v>4.3999999999999997E-2</v>
      </c>
      <c r="B55">
        <f t="shared" si="3"/>
        <v>141.04109367862026</v>
      </c>
      <c r="C55">
        <f t="shared" si="4"/>
        <v>0.30901699437494795</v>
      </c>
      <c r="D55">
        <f t="shared" si="5"/>
        <v>0.95105651629515342</v>
      </c>
      <c r="E55">
        <f t="shared" ca="1" si="0"/>
        <v>0</v>
      </c>
      <c r="F55">
        <f t="shared" ca="1" si="6"/>
        <v>37.866812911568488</v>
      </c>
      <c r="G55">
        <f t="shared" ca="1" si="7"/>
        <v>92.558819711973825</v>
      </c>
      <c r="H55">
        <f t="shared" ca="1" si="1"/>
        <v>100.00515299999998</v>
      </c>
      <c r="I55">
        <f t="shared" ca="1" si="8"/>
        <v>22.249999999999989</v>
      </c>
      <c r="K55">
        <f t="shared" ca="1" si="9"/>
        <v>0</v>
      </c>
    </row>
    <row r="56" spans="1:11" x14ac:dyDescent="0.25">
      <c r="A56">
        <f t="shared" si="2"/>
        <v>4.4999999999999998E-2</v>
      </c>
      <c r="B56">
        <f t="shared" si="3"/>
        <v>130.89919348320444</v>
      </c>
      <c r="C56">
        <f t="shared" si="4"/>
        <v>5.51316804708879E-16</v>
      </c>
      <c r="D56">
        <f t="shared" si="5"/>
        <v>1</v>
      </c>
      <c r="E56">
        <f t="shared" ca="1" si="0"/>
        <v>6.0290972214716017E-15</v>
      </c>
      <c r="F56">
        <f t="shared" ca="1" si="6"/>
        <v>37.866812911568488</v>
      </c>
      <c r="G56">
        <f t="shared" ca="1" si="7"/>
        <v>92.558819711973825</v>
      </c>
      <c r="H56">
        <f t="shared" ca="1" si="1"/>
        <v>100.00515299999998</v>
      </c>
      <c r="I56">
        <f t="shared" ca="1" si="8"/>
        <v>22.249999999999989</v>
      </c>
      <c r="K56">
        <f t="shared" ca="1" si="9"/>
        <v>0</v>
      </c>
    </row>
    <row r="57" spans="1:11" x14ac:dyDescent="0.25">
      <c r="A57">
        <f t="shared" si="2"/>
        <v>4.5999999999999999E-2</v>
      </c>
      <c r="B57">
        <f t="shared" si="3"/>
        <v>107.94396820134313</v>
      </c>
      <c r="C57">
        <f t="shared" si="4"/>
        <v>-0.3090169943749469</v>
      </c>
      <c r="D57">
        <f t="shared" si="5"/>
        <v>0.95105651629515375</v>
      </c>
      <c r="E57">
        <f t="shared" ca="1" si="0"/>
        <v>1.3063043979855138E-14</v>
      </c>
      <c r="F57">
        <f t="shared" ca="1" si="6"/>
        <v>37.866812911568481</v>
      </c>
      <c r="G57">
        <f t="shared" ca="1" si="7"/>
        <v>92.55881971197384</v>
      </c>
      <c r="H57">
        <f t="shared" ca="1" si="1"/>
        <v>100.00515299999999</v>
      </c>
      <c r="I57">
        <f t="shared" ca="1" si="8"/>
        <v>22.249999999999979</v>
      </c>
      <c r="K57">
        <f t="shared" ca="1" si="9"/>
        <v>0</v>
      </c>
    </row>
    <row r="58" spans="1:11" x14ac:dyDescent="0.25">
      <c r="A58">
        <f t="shared" si="2"/>
        <v>4.7E-2</v>
      </c>
      <c r="B58">
        <f t="shared" si="3"/>
        <v>74.422435222084019</v>
      </c>
      <c r="C58">
        <f t="shared" si="4"/>
        <v>-0.58778525229247269</v>
      </c>
      <c r="D58">
        <f t="shared" si="5"/>
        <v>0.80901699437494778</v>
      </c>
      <c r="E58">
        <f t="shared" ca="1" si="0"/>
        <v>3.0145486107358008E-15</v>
      </c>
      <c r="F58">
        <f t="shared" ca="1" si="6"/>
        <v>37.866812911568481</v>
      </c>
      <c r="G58">
        <f t="shared" ca="1" si="7"/>
        <v>92.55881971197384</v>
      </c>
      <c r="H58">
        <f t="shared" ca="1" si="1"/>
        <v>100.00515299999999</v>
      </c>
      <c r="I58">
        <f t="shared" ca="1" si="8"/>
        <v>22.249999999999979</v>
      </c>
      <c r="K58">
        <f t="shared" ca="1" si="9"/>
        <v>0</v>
      </c>
    </row>
    <row r="59" spans="1:11" x14ac:dyDescent="0.25">
      <c r="A59">
        <f t="shared" si="2"/>
        <v>4.8000000000000001E-2</v>
      </c>
      <c r="B59">
        <f t="shared" si="3"/>
        <v>33.615915751690522</v>
      </c>
      <c r="C59">
        <f t="shared" si="4"/>
        <v>-0.80901699437494812</v>
      </c>
      <c r="D59">
        <f t="shared" si="5"/>
        <v>0.58778525229247214</v>
      </c>
      <c r="E59">
        <f t="shared" ca="1" si="0"/>
        <v>-1.5072743053679003E-14</v>
      </c>
      <c r="F59">
        <f t="shared" ca="1" si="6"/>
        <v>37.866812911568495</v>
      </c>
      <c r="G59">
        <f t="shared" ca="1" si="7"/>
        <v>92.558819711973825</v>
      </c>
      <c r="H59">
        <f t="shared" ca="1" si="1"/>
        <v>100.00515299999998</v>
      </c>
      <c r="I59">
        <f t="shared" ca="1" si="8"/>
        <v>22.249999999999993</v>
      </c>
      <c r="K59">
        <f t="shared" ca="1" si="9"/>
        <v>0</v>
      </c>
    </row>
    <row r="60" spans="1:11" x14ac:dyDescent="0.25">
      <c r="A60">
        <f t="shared" si="2"/>
        <v>4.9000000000000002E-2</v>
      </c>
      <c r="B60">
        <f t="shared" si="3"/>
        <v>-10.481163768335454</v>
      </c>
      <c r="C60">
        <f t="shared" si="4"/>
        <v>-0.95105651629515398</v>
      </c>
      <c r="D60">
        <f t="shared" si="5"/>
        <v>0.30901699437494629</v>
      </c>
      <c r="E60">
        <f t="shared" ca="1" si="0"/>
        <v>-1.5323955437906987E-14</v>
      </c>
      <c r="F60">
        <f t="shared" ca="1" si="6"/>
        <v>37.866812911568509</v>
      </c>
      <c r="G60">
        <f t="shared" ca="1" si="7"/>
        <v>92.558819711973825</v>
      </c>
      <c r="H60">
        <f t="shared" ca="1" si="1"/>
        <v>100.00515299999998</v>
      </c>
      <c r="I60">
        <f t="shared" ca="1" si="8"/>
        <v>22.25</v>
      </c>
      <c r="K60">
        <f t="shared" ca="1" si="9"/>
        <v>0</v>
      </c>
    </row>
    <row r="61" spans="1:11" x14ac:dyDescent="0.25">
      <c r="A61">
        <f t="shared" si="2"/>
        <v>0.05</v>
      </c>
      <c r="B61">
        <f t="shared" si="3"/>
        <v>-53.552273952154728</v>
      </c>
      <c r="C61">
        <f t="shared" si="4"/>
        <v>-1</v>
      </c>
      <c r="D61">
        <f t="shared" si="5"/>
        <v>-1.1637826119459405E-15</v>
      </c>
      <c r="E61">
        <f t="shared" ca="1" si="0"/>
        <v>-1.4067893516767071E-14</v>
      </c>
      <c r="F61">
        <f t="shared" ca="1" si="6"/>
        <v>37.866812911568523</v>
      </c>
      <c r="G61">
        <f t="shared" ca="1" si="7"/>
        <v>92.558819711973825</v>
      </c>
      <c r="H61">
        <f t="shared" ca="1" si="1"/>
        <v>100.00515299999998</v>
      </c>
      <c r="I61">
        <f t="shared" ca="1" si="8"/>
        <v>22.250000000000011</v>
      </c>
      <c r="K61">
        <f t="shared" ca="1" si="9"/>
        <v>0</v>
      </c>
    </row>
    <row r="62" spans="1:11" x14ac:dyDescent="0.25">
      <c r="A62">
        <f t="shared" si="2"/>
        <v>5.1000000000000004E-2</v>
      </c>
      <c r="B62">
        <f t="shared" si="3"/>
        <v>-91.381314440904688</v>
      </c>
      <c r="C62">
        <f t="shared" si="4"/>
        <v>-0.9510565162951532</v>
      </c>
      <c r="D62">
        <f t="shared" si="5"/>
        <v>-0.30901699437494851</v>
      </c>
      <c r="E62">
        <f t="shared" ca="1" si="0"/>
        <v>-2.6126087959710276E-14</v>
      </c>
      <c r="F62">
        <f t="shared" ca="1" si="6"/>
        <v>37.866812911568545</v>
      </c>
      <c r="G62">
        <f t="shared" ca="1" si="7"/>
        <v>92.55881971197384</v>
      </c>
      <c r="H62">
        <f t="shared" ca="1" si="1"/>
        <v>100.00515300000001</v>
      </c>
      <c r="I62">
        <f t="shared" ca="1" si="8"/>
        <v>22.250000000000014</v>
      </c>
      <c r="K62">
        <f t="shared" ca="1" si="9"/>
        <v>5.6843418860808015E-14</v>
      </c>
    </row>
    <row r="63" spans="1:11" x14ac:dyDescent="0.25">
      <c r="A63">
        <f t="shared" si="2"/>
        <v>5.2000000000000005E-2</v>
      </c>
      <c r="B63">
        <f t="shared" si="3"/>
        <v>-120.2653151811228</v>
      </c>
      <c r="C63">
        <f t="shared" si="4"/>
        <v>-0.80901699437494567</v>
      </c>
      <c r="D63">
        <f t="shared" si="5"/>
        <v>-0.58778525229247547</v>
      </c>
      <c r="E63">
        <f t="shared" ca="1" si="0"/>
        <v>-2.6126087959710276E-14</v>
      </c>
      <c r="F63">
        <f t="shared" ca="1" si="6"/>
        <v>37.866812911568566</v>
      </c>
      <c r="G63">
        <f t="shared" ca="1" si="7"/>
        <v>92.558819711973854</v>
      </c>
      <c r="H63">
        <f t="shared" ca="1" si="1"/>
        <v>100.00515300000002</v>
      </c>
      <c r="I63">
        <f t="shared" ca="1" si="8"/>
        <v>22.250000000000025</v>
      </c>
      <c r="K63">
        <f t="shared" ca="1" si="9"/>
        <v>7.815970093361102E-14</v>
      </c>
    </row>
    <row r="64" spans="1:11" x14ac:dyDescent="0.25">
      <c r="A64">
        <f t="shared" si="2"/>
        <v>5.2999999999999999E-2</v>
      </c>
      <c r="B64">
        <f t="shared" si="3"/>
        <v>-137.37690893368966</v>
      </c>
      <c r="C64">
        <f t="shared" si="4"/>
        <v>-0.58778525229247225</v>
      </c>
      <c r="D64">
        <f t="shared" si="5"/>
        <v>-0.80901699437494812</v>
      </c>
      <c r="E64">
        <f t="shared" ca="1" si="0"/>
        <v>-4.0193981476477345E-15</v>
      </c>
      <c r="F64">
        <f t="shared" ca="1" si="6"/>
        <v>37.866812911568566</v>
      </c>
      <c r="G64">
        <f t="shared" ca="1" si="7"/>
        <v>92.558819711973854</v>
      </c>
      <c r="H64">
        <f t="shared" ca="1" si="1"/>
        <v>100.00515300000002</v>
      </c>
      <c r="I64">
        <f t="shared" ca="1" si="8"/>
        <v>22.250000000000025</v>
      </c>
      <c r="K64">
        <f t="shared" ca="1" si="9"/>
        <v>7.815970093361102E-14</v>
      </c>
    </row>
    <row r="65" spans="1:11" x14ac:dyDescent="0.25">
      <c r="A65">
        <f t="shared" si="2"/>
        <v>5.3999999999999999E-2</v>
      </c>
      <c r="B65">
        <f t="shared" si="3"/>
        <v>-141.04109367862026</v>
      </c>
      <c r="C65">
        <f t="shared" si="4"/>
        <v>-0.30901699437494806</v>
      </c>
      <c r="D65">
        <f t="shared" si="5"/>
        <v>-0.95105651629515342</v>
      </c>
      <c r="E65">
        <f t="shared" ca="1" si="0"/>
        <v>0</v>
      </c>
      <c r="F65">
        <f t="shared" ca="1" si="6"/>
        <v>37.866812911568566</v>
      </c>
      <c r="G65">
        <f t="shared" ca="1" si="7"/>
        <v>92.558819711973854</v>
      </c>
      <c r="H65">
        <f t="shared" ca="1" si="1"/>
        <v>100.00515300000002</v>
      </c>
      <c r="I65">
        <f t="shared" ca="1" si="8"/>
        <v>22.250000000000025</v>
      </c>
      <c r="K65">
        <f t="shared" ca="1" si="9"/>
        <v>7.815970093361102E-14</v>
      </c>
    </row>
    <row r="66" spans="1:11" x14ac:dyDescent="0.25">
      <c r="A66">
        <f t="shared" si="2"/>
        <v>5.5E-2</v>
      </c>
      <c r="B66">
        <f t="shared" si="3"/>
        <v>-130.89919348320427</v>
      </c>
      <c r="C66">
        <f t="shared" si="4"/>
        <v>1.1025251892005095E-15</v>
      </c>
      <c r="D66">
        <f t="shared" si="5"/>
        <v>-1</v>
      </c>
      <c r="E66">
        <f t="shared" ca="1" si="0"/>
        <v>6.0290972214716017E-15</v>
      </c>
      <c r="F66">
        <f t="shared" ca="1" si="6"/>
        <v>37.866812911568566</v>
      </c>
      <c r="G66">
        <f t="shared" ca="1" si="7"/>
        <v>92.558819711973854</v>
      </c>
      <c r="H66">
        <f t="shared" ca="1" si="1"/>
        <v>100.00515300000002</v>
      </c>
      <c r="I66">
        <f t="shared" ca="1" si="8"/>
        <v>22.250000000000025</v>
      </c>
      <c r="K66">
        <f t="shared" ca="1" si="9"/>
        <v>7.815970093361102E-14</v>
      </c>
    </row>
    <row r="67" spans="1:11" x14ac:dyDescent="0.25">
      <c r="A67">
        <f t="shared" si="2"/>
        <v>5.6000000000000001E-2</v>
      </c>
      <c r="B67">
        <f t="shared" si="3"/>
        <v>-107.94396820134297</v>
      </c>
      <c r="C67">
        <f t="shared" si="4"/>
        <v>0.30901699437494679</v>
      </c>
      <c r="D67">
        <f t="shared" si="5"/>
        <v>-0.95105651629515375</v>
      </c>
      <c r="E67">
        <f t="shared" ca="1" si="0"/>
        <v>-1.0048495369119336E-15</v>
      </c>
      <c r="F67">
        <f t="shared" ca="1" si="6"/>
        <v>37.866812911568566</v>
      </c>
      <c r="G67">
        <f t="shared" ca="1" si="7"/>
        <v>92.558819711973854</v>
      </c>
      <c r="H67">
        <f t="shared" ca="1" si="1"/>
        <v>100.00515300000002</v>
      </c>
      <c r="I67">
        <f t="shared" ca="1" si="8"/>
        <v>22.250000000000025</v>
      </c>
      <c r="K67">
        <f t="shared" ca="1" si="9"/>
        <v>8.5265128291212022E-14</v>
      </c>
    </row>
    <row r="68" spans="1:11" x14ac:dyDescent="0.25">
      <c r="A68">
        <f t="shared" si="2"/>
        <v>5.7000000000000002E-2</v>
      </c>
      <c r="B68">
        <f t="shared" si="3"/>
        <v>-74.422435222083593</v>
      </c>
      <c r="C68">
        <f t="shared" si="4"/>
        <v>0.58778525229247403</v>
      </c>
      <c r="D68">
        <f t="shared" si="5"/>
        <v>-0.80901699437494679</v>
      </c>
      <c r="E68">
        <f t="shared" ca="1" si="0"/>
        <v>2.9140636570446072E-14</v>
      </c>
      <c r="F68">
        <f t="shared" ca="1" si="6"/>
        <v>37.86681291156858</v>
      </c>
      <c r="G68">
        <f t="shared" ca="1" si="7"/>
        <v>92.558819711973825</v>
      </c>
      <c r="H68">
        <f t="shared" ca="1" si="1"/>
        <v>100.00515300000001</v>
      </c>
      <c r="I68">
        <f t="shared" ca="1" si="8"/>
        <v>22.250000000000039</v>
      </c>
      <c r="K68">
        <f t="shared" ca="1" si="9"/>
        <v>1.0658141036401503E-13</v>
      </c>
    </row>
    <row r="69" spans="1:11" x14ac:dyDescent="0.25">
      <c r="A69">
        <f t="shared" si="2"/>
        <v>5.8000000000000003E-2</v>
      </c>
      <c r="B69">
        <f t="shared" si="3"/>
        <v>-33.615915751690544</v>
      </c>
      <c r="C69">
        <f t="shared" si="4"/>
        <v>0.80901699437494701</v>
      </c>
      <c r="D69">
        <f t="shared" si="5"/>
        <v>-0.58778525229247369</v>
      </c>
      <c r="E69">
        <f t="shared" ca="1" si="0"/>
        <v>1.4570318285223036E-14</v>
      </c>
      <c r="F69">
        <f t="shared" ca="1" si="6"/>
        <v>37.866812911568594</v>
      </c>
      <c r="G69">
        <f t="shared" ca="1" si="7"/>
        <v>92.558819711973811</v>
      </c>
      <c r="H69">
        <f t="shared" ca="1" si="1"/>
        <v>100.00515300000001</v>
      </c>
      <c r="I69">
        <f t="shared" ca="1" si="8"/>
        <v>22.25000000000005</v>
      </c>
      <c r="K69">
        <f t="shared" ca="1" si="9"/>
        <v>1.2079226507921703E-13</v>
      </c>
    </row>
    <row r="70" spans="1:11" x14ac:dyDescent="0.25">
      <c r="A70">
        <f t="shared" si="2"/>
        <v>5.9000000000000004E-2</v>
      </c>
      <c r="B70">
        <f t="shared" si="3"/>
        <v>10.481163768335687</v>
      </c>
      <c r="C70">
        <f t="shared" si="4"/>
        <v>0.95105651629515386</v>
      </c>
      <c r="D70">
        <f t="shared" si="5"/>
        <v>-0.3090169943749464</v>
      </c>
      <c r="E70">
        <f t="shared" ca="1" si="0"/>
        <v>3.3034428525979815E-14</v>
      </c>
      <c r="F70">
        <f t="shared" ca="1" si="6"/>
        <v>37.866812911568623</v>
      </c>
      <c r="G70">
        <f t="shared" ca="1" si="7"/>
        <v>92.558819711973797</v>
      </c>
      <c r="H70">
        <f t="shared" ca="1" si="1"/>
        <v>100.00515300000001</v>
      </c>
      <c r="I70">
        <f t="shared" ca="1" si="8"/>
        <v>22.250000000000068</v>
      </c>
      <c r="K70">
        <f t="shared" ca="1" si="9"/>
        <v>1.4921397450962104E-13</v>
      </c>
    </row>
    <row r="71" spans="1:11" x14ac:dyDescent="0.25">
      <c r="A71">
        <f t="shared" si="2"/>
        <v>0.06</v>
      </c>
      <c r="B71">
        <f t="shared" si="3"/>
        <v>53.552273952154714</v>
      </c>
      <c r="C71">
        <f t="shared" si="4"/>
        <v>1</v>
      </c>
      <c r="D71">
        <f t="shared" si="5"/>
        <v>-7.3508907294517201E-16</v>
      </c>
      <c r="E71">
        <f t="shared" ca="1" si="0"/>
        <v>1.4067893516767071E-14</v>
      </c>
      <c r="F71">
        <f t="shared" ca="1" si="6"/>
        <v>37.866812911568637</v>
      </c>
      <c r="G71">
        <f t="shared" ca="1" si="7"/>
        <v>92.558819711973797</v>
      </c>
      <c r="H71">
        <f t="shared" ca="1" si="1"/>
        <v>100.00515300000001</v>
      </c>
      <c r="I71">
        <f t="shared" ca="1" si="8"/>
        <v>22.250000000000075</v>
      </c>
      <c r="K71">
        <f t="shared" ca="1" si="9"/>
        <v>1.5631940186722204E-13</v>
      </c>
    </row>
    <row r="72" spans="1:11" x14ac:dyDescent="0.25">
      <c r="A72">
        <f t="shared" si="2"/>
        <v>6.0999999999999999E-2</v>
      </c>
      <c r="B72">
        <f t="shared" si="3"/>
        <v>91.38131444090466</v>
      </c>
      <c r="C72">
        <f t="shared" si="4"/>
        <v>0.95105651629515331</v>
      </c>
      <c r="D72">
        <f t="shared" si="5"/>
        <v>0.30901699437494839</v>
      </c>
      <c r="E72">
        <f t="shared" ca="1" si="0"/>
        <v>1.2058194442943203E-14</v>
      </c>
      <c r="F72">
        <f t="shared" ca="1" si="6"/>
        <v>37.866812911568651</v>
      </c>
      <c r="G72">
        <f t="shared" ca="1" si="7"/>
        <v>92.558819711973797</v>
      </c>
      <c r="H72">
        <f t="shared" ca="1" si="1"/>
        <v>100.00515300000002</v>
      </c>
      <c r="I72">
        <f t="shared" ca="1" si="8"/>
        <v>22.250000000000082</v>
      </c>
      <c r="K72">
        <f t="shared" ca="1" si="9"/>
        <v>1.6342482922482304E-13</v>
      </c>
    </row>
    <row r="73" spans="1:11" x14ac:dyDescent="0.25">
      <c r="A73">
        <f t="shared" si="2"/>
        <v>6.2E-2</v>
      </c>
      <c r="B73">
        <f t="shared" si="3"/>
        <v>120.26531518112252</v>
      </c>
      <c r="C73">
        <f t="shared" si="4"/>
        <v>0.8090169943749479</v>
      </c>
      <c r="D73">
        <f t="shared" si="5"/>
        <v>0.58778525229247247</v>
      </c>
      <c r="E73">
        <f t="shared" ca="1" si="0"/>
        <v>-1.0048495369119336E-15</v>
      </c>
      <c r="F73">
        <f t="shared" ca="1" si="6"/>
        <v>37.866812911568651</v>
      </c>
      <c r="G73">
        <f t="shared" ca="1" si="7"/>
        <v>92.558819711973797</v>
      </c>
      <c r="H73">
        <f t="shared" ca="1" si="1"/>
        <v>100.00515300000002</v>
      </c>
      <c r="I73">
        <f t="shared" ca="1" si="8"/>
        <v>22.250000000000082</v>
      </c>
      <c r="K73">
        <f t="shared" ca="1" si="9"/>
        <v>1.6342482922482304E-13</v>
      </c>
    </row>
    <row r="74" spans="1:11" x14ac:dyDescent="0.25">
      <c r="A74">
        <f t="shared" si="2"/>
        <v>6.3E-2</v>
      </c>
      <c r="B74">
        <f t="shared" si="3"/>
        <v>137.37690893368966</v>
      </c>
      <c r="C74">
        <f t="shared" si="4"/>
        <v>0.58778525229247236</v>
      </c>
      <c r="D74">
        <f t="shared" si="5"/>
        <v>0.80901699437494801</v>
      </c>
      <c r="E74">
        <f t="shared" ca="1" si="0"/>
        <v>4.0193981476477345E-15</v>
      </c>
      <c r="F74">
        <f t="shared" ca="1" si="6"/>
        <v>37.866812911568651</v>
      </c>
      <c r="G74">
        <f t="shared" ca="1" si="7"/>
        <v>92.558819711973797</v>
      </c>
      <c r="H74">
        <f t="shared" ca="1" si="1"/>
        <v>100.00515300000002</v>
      </c>
      <c r="I74">
        <f t="shared" ca="1" si="8"/>
        <v>22.250000000000082</v>
      </c>
      <c r="K74">
        <f t="shared" ca="1" si="9"/>
        <v>1.6342482922482304E-13</v>
      </c>
    </row>
    <row r="75" spans="1:11" x14ac:dyDescent="0.25">
      <c r="A75">
        <f t="shared" si="2"/>
        <v>6.4000000000000001E-2</v>
      </c>
      <c r="B75">
        <f t="shared" si="3"/>
        <v>141.04109367862026</v>
      </c>
      <c r="C75">
        <f t="shared" si="4"/>
        <v>0.30901699437494817</v>
      </c>
      <c r="D75">
        <f t="shared" si="5"/>
        <v>0.95105651629515331</v>
      </c>
      <c r="E75">
        <f t="shared" ref="E75:E138" ca="1" si="10">(1.4142/$B$2)*(B75-IF((ROW($A75)-ROW($A$11))&lt;$B$2,0,OFFSET($B75,-$B$2,0)))</f>
        <v>0</v>
      </c>
      <c r="F75">
        <f t="shared" ca="1" si="6"/>
        <v>37.866812911568651</v>
      </c>
      <c r="G75">
        <f t="shared" ca="1" si="7"/>
        <v>92.558819711973797</v>
      </c>
      <c r="H75">
        <f t="shared" ref="H75:H138" ca="1" si="11">IF(F75="","",SQRT(F75^2+G75^2))</f>
        <v>100.00515300000002</v>
      </c>
      <c r="I75">
        <f t="shared" ca="1" si="8"/>
        <v>22.250000000000082</v>
      </c>
      <c r="K75">
        <f t="shared" ca="1" si="9"/>
        <v>1.6342482922482304E-13</v>
      </c>
    </row>
    <row r="76" spans="1:11" x14ac:dyDescent="0.25">
      <c r="A76">
        <f t="shared" ref="A76:A139" si="12">(ROW($A76)-ROW($A$11))*$B$4+$B$5</f>
        <v>6.5000000000000002E-2</v>
      </c>
      <c r="B76">
        <f t="shared" ref="B76:B99" si="13">$B$6*SIN((A76*$C$1)+$C$7)</f>
        <v>130.89919348320427</v>
      </c>
      <c r="C76">
        <f t="shared" ref="C76:C139" si="14">COS($A76*$C$1)</f>
        <v>-9.8001034370964746E-16</v>
      </c>
      <c r="D76">
        <f t="shared" ref="D76:D139" si="15">SIN($A76*$C$1)</f>
        <v>1</v>
      </c>
      <c r="E76">
        <f t="shared" ca="1" si="10"/>
        <v>-1.2058194442943203E-14</v>
      </c>
      <c r="F76">
        <f t="shared" ref="F76:F139" ca="1" si="16">F75+$E76*COS($A76*$C$1)</f>
        <v>37.866812911568651</v>
      </c>
      <c r="G76">
        <f t="shared" ref="G76:G139" ca="1" si="17">G75+$E76*SIN($A76*$C$1)</f>
        <v>92.558819711973783</v>
      </c>
      <c r="H76">
        <f t="shared" ca="1" si="11"/>
        <v>100.00515300000001</v>
      </c>
      <c r="I76">
        <f t="shared" ref="I76:I139" ca="1" si="18">IF(F76="","",ATAN2(G76,F76)*180/PI())</f>
        <v>22.250000000000089</v>
      </c>
      <c r="K76">
        <f t="shared" ca="1" si="9"/>
        <v>1.7053025658242404E-13</v>
      </c>
    </row>
    <row r="77" spans="1:11" x14ac:dyDescent="0.25">
      <c r="A77">
        <f t="shared" si="12"/>
        <v>6.6000000000000003E-2</v>
      </c>
      <c r="B77">
        <f t="shared" si="13"/>
        <v>107.94396820134266</v>
      </c>
      <c r="C77">
        <f t="shared" si="14"/>
        <v>-0.30901699437495006</v>
      </c>
      <c r="D77">
        <f t="shared" si="15"/>
        <v>0.95105651629515275</v>
      </c>
      <c r="E77">
        <f t="shared" ca="1" si="10"/>
        <v>-3.316003471809381E-14</v>
      </c>
      <c r="F77">
        <f t="shared" ca="1" si="16"/>
        <v>37.866812911568658</v>
      </c>
      <c r="G77">
        <f t="shared" ca="1" si="17"/>
        <v>92.558819711973754</v>
      </c>
      <c r="H77">
        <f t="shared" ca="1" si="11"/>
        <v>100.00515299999998</v>
      </c>
      <c r="I77">
        <f t="shared" ca="1" si="18"/>
        <v>22.250000000000096</v>
      </c>
      <c r="K77">
        <f t="shared" ca="1" si="9"/>
        <v>1.7763568394002505E-13</v>
      </c>
    </row>
    <row r="78" spans="1:11" x14ac:dyDescent="0.25">
      <c r="A78">
        <f t="shared" si="12"/>
        <v>6.7000000000000004E-2</v>
      </c>
      <c r="B78">
        <f t="shared" si="13"/>
        <v>74.422435222083607</v>
      </c>
      <c r="C78">
        <f t="shared" si="14"/>
        <v>-0.58778525229247391</v>
      </c>
      <c r="D78">
        <f t="shared" si="15"/>
        <v>0.8090169943749469</v>
      </c>
      <c r="E78">
        <f t="shared" ca="1" si="10"/>
        <v>-2.9140636570446072E-14</v>
      </c>
      <c r="F78">
        <f t="shared" ca="1" si="16"/>
        <v>37.866812911568672</v>
      </c>
      <c r="G78">
        <f t="shared" ca="1" si="17"/>
        <v>92.558819711973726</v>
      </c>
      <c r="H78">
        <f t="shared" ca="1" si="11"/>
        <v>100.00515299999995</v>
      </c>
      <c r="I78">
        <f t="shared" ca="1" si="18"/>
        <v>22.25000000000011</v>
      </c>
      <c r="K78">
        <f t="shared" ca="1" si="9"/>
        <v>1.7763568394002505E-13</v>
      </c>
    </row>
    <row r="79" spans="1:11" x14ac:dyDescent="0.25">
      <c r="A79">
        <f t="shared" si="12"/>
        <v>6.8000000000000005E-2</v>
      </c>
      <c r="B79">
        <f t="shared" si="13"/>
        <v>33.615915751690068</v>
      </c>
      <c r="C79">
        <f t="shared" si="14"/>
        <v>-0.80901699437494901</v>
      </c>
      <c r="D79">
        <f t="shared" si="15"/>
        <v>0.58778525229247092</v>
      </c>
      <c r="E79">
        <f t="shared" ca="1" si="10"/>
        <v>-3.2155185181181876E-14</v>
      </c>
      <c r="F79">
        <f t="shared" ca="1" si="16"/>
        <v>37.866812911568701</v>
      </c>
      <c r="G79">
        <f t="shared" ca="1" si="17"/>
        <v>92.558819711973712</v>
      </c>
      <c r="H79">
        <f t="shared" ca="1" si="11"/>
        <v>100.00515299999995</v>
      </c>
      <c r="I79">
        <f t="shared" ca="1" si="18"/>
        <v>22.250000000000128</v>
      </c>
      <c r="K79">
        <f t="shared" ca="1" si="9"/>
        <v>1.9184653865522705E-13</v>
      </c>
    </row>
    <row r="80" spans="1:11" x14ac:dyDescent="0.25">
      <c r="A80">
        <f t="shared" si="12"/>
        <v>6.9000000000000006E-2</v>
      </c>
      <c r="B80">
        <f t="shared" si="13"/>
        <v>-10.481163768335669</v>
      </c>
      <c r="C80">
        <f t="shared" si="14"/>
        <v>-0.95105651629515386</v>
      </c>
      <c r="D80">
        <f t="shared" si="15"/>
        <v>0.30901699437494656</v>
      </c>
      <c r="E80">
        <f t="shared" ca="1" si="10"/>
        <v>-1.5198349245792995E-14</v>
      </c>
      <c r="F80">
        <f t="shared" ca="1" si="16"/>
        <v>37.866812911568715</v>
      </c>
      <c r="G80">
        <f t="shared" ca="1" si="17"/>
        <v>92.558819711973712</v>
      </c>
      <c r="H80">
        <f t="shared" ca="1" si="11"/>
        <v>100.00515299999996</v>
      </c>
      <c r="I80">
        <f t="shared" ca="1" si="18"/>
        <v>22.250000000000131</v>
      </c>
      <c r="K80">
        <f t="shared" ca="1" si="9"/>
        <v>1.9184653865522705E-13</v>
      </c>
    </row>
    <row r="81" spans="1:11" x14ac:dyDescent="0.25">
      <c r="A81">
        <f t="shared" si="12"/>
        <v>7.0000000000000007E-2</v>
      </c>
      <c r="B81">
        <f t="shared" si="13"/>
        <v>-53.552273952155161</v>
      </c>
      <c r="C81">
        <f t="shared" si="14"/>
        <v>-1</v>
      </c>
      <c r="D81">
        <f t="shared" si="15"/>
        <v>-2.6951097603644669E-15</v>
      </c>
      <c r="E81">
        <f t="shared" ca="1" si="10"/>
        <v>-3.0647910875813974E-14</v>
      </c>
      <c r="F81">
        <f t="shared" ca="1" si="16"/>
        <v>37.866812911568744</v>
      </c>
      <c r="G81">
        <f t="shared" ca="1" si="17"/>
        <v>92.558819711973712</v>
      </c>
      <c r="H81">
        <f t="shared" ca="1" si="11"/>
        <v>100.00515299999998</v>
      </c>
      <c r="I81">
        <f t="shared" ca="1" si="18"/>
        <v>22.250000000000149</v>
      </c>
      <c r="K81">
        <f t="shared" ca="1" si="9"/>
        <v>1.9895196601282805E-13</v>
      </c>
    </row>
    <row r="82" spans="1:11" x14ac:dyDescent="0.25">
      <c r="A82">
        <f t="shared" si="12"/>
        <v>7.1000000000000008E-2</v>
      </c>
      <c r="B82">
        <f t="shared" si="13"/>
        <v>-91.381314440904646</v>
      </c>
      <c r="C82">
        <f t="shared" si="14"/>
        <v>-0.95105651629515331</v>
      </c>
      <c r="D82">
        <f t="shared" si="15"/>
        <v>-0.30901699437494828</v>
      </c>
      <c r="E82">
        <f t="shared" ca="1" si="10"/>
        <v>3.0145486107358008E-15</v>
      </c>
      <c r="F82">
        <f t="shared" ca="1" si="16"/>
        <v>37.866812911568744</v>
      </c>
      <c r="G82">
        <f t="shared" ca="1" si="17"/>
        <v>92.558819711973712</v>
      </c>
      <c r="H82">
        <f t="shared" ca="1" si="11"/>
        <v>100.00515299999998</v>
      </c>
      <c r="I82">
        <f t="shared" ca="1" si="18"/>
        <v>22.250000000000149</v>
      </c>
      <c r="K82">
        <f t="shared" ca="1" si="9"/>
        <v>1.7763568394002505E-13</v>
      </c>
    </row>
    <row r="83" spans="1:11" x14ac:dyDescent="0.25">
      <c r="A83">
        <f t="shared" si="12"/>
        <v>7.2000000000000008E-2</v>
      </c>
      <c r="B83">
        <f t="shared" si="13"/>
        <v>-120.26531518112279</v>
      </c>
      <c r="C83">
        <f t="shared" si="14"/>
        <v>-0.8090169943749459</v>
      </c>
      <c r="D83">
        <f t="shared" si="15"/>
        <v>-0.58778525229247525</v>
      </c>
      <c r="E83">
        <f t="shared" ca="1" si="10"/>
        <v>1.0048495369119336E-15</v>
      </c>
      <c r="F83">
        <f t="shared" ca="1" si="16"/>
        <v>37.866812911568744</v>
      </c>
      <c r="G83">
        <f t="shared" ca="1" si="17"/>
        <v>92.558819711973712</v>
      </c>
      <c r="H83">
        <f t="shared" ca="1" si="11"/>
        <v>100.00515299999998</v>
      </c>
      <c r="I83">
        <f t="shared" ca="1" si="18"/>
        <v>22.250000000000149</v>
      </c>
      <c r="K83">
        <f t="shared" ca="1" si="9"/>
        <v>1.7763568394002505E-13</v>
      </c>
    </row>
    <row r="84" spans="1:11" x14ac:dyDescent="0.25">
      <c r="A84">
        <f t="shared" si="12"/>
        <v>7.2999999999999995E-2</v>
      </c>
      <c r="B84">
        <f t="shared" si="13"/>
        <v>-137.37690893368955</v>
      </c>
      <c r="C84">
        <f t="shared" si="14"/>
        <v>-0.58778525229247525</v>
      </c>
      <c r="D84">
        <f t="shared" si="15"/>
        <v>-0.8090169943749459</v>
      </c>
      <c r="E84">
        <f t="shared" ca="1" si="10"/>
        <v>8.0387962952954689E-15</v>
      </c>
      <c r="F84">
        <f t="shared" ca="1" si="16"/>
        <v>37.866812911568736</v>
      </c>
      <c r="G84">
        <f t="shared" ca="1" si="17"/>
        <v>92.558819711973712</v>
      </c>
      <c r="H84">
        <f t="shared" ca="1" si="11"/>
        <v>100.00515299999996</v>
      </c>
      <c r="I84">
        <f t="shared" ca="1" si="18"/>
        <v>22.250000000000146</v>
      </c>
      <c r="K84">
        <f t="shared" ca="1" si="9"/>
        <v>1.7053025658242404E-13</v>
      </c>
    </row>
    <row r="85" spans="1:11" x14ac:dyDescent="0.25">
      <c r="A85">
        <f t="shared" si="12"/>
        <v>7.3999999999999996E-2</v>
      </c>
      <c r="B85">
        <f t="shared" si="13"/>
        <v>-141.04109367862026</v>
      </c>
      <c r="C85">
        <f t="shared" si="14"/>
        <v>-0.30901699437494828</v>
      </c>
      <c r="D85">
        <f t="shared" si="15"/>
        <v>-0.95105651629515331</v>
      </c>
      <c r="E85">
        <f t="shared" ca="1" si="10"/>
        <v>0</v>
      </c>
      <c r="F85">
        <f t="shared" ca="1" si="16"/>
        <v>37.866812911568736</v>
      </c>
      <c r="G85">
        <f t="shared" ca="1" si="17"/>
        <v>92.558819711973712</v>
      </c>
      <c r="H85">
        <f t="shared" ca="1" si="11"/>
        <v>100.00515299999996</v>
      </c>
      <c r="I85">
        <f t="shared" ca="1" si="18"/>
        <v>22.250000000000146</v>
      </c>
      <c r="K85">
        <f t="shared" ca="1" si="9"/>
        <v>1.7053025658242404E-13</v>
      </c>
    </row>
    <row r="86" spans="1:11" x14ac:dyDescent="0.25">
      <c r="A86">
        <f t="shared" si="12"/>
        <v>7.4999999999999997E-2</v>
      </c>
      <c r="B86">
        <f t="shared" si="13"/>
        <v>-130.8991934832043</v>
      </c>
      <c r="C86">
        <f t="shared" si="14"/>
        <v>8.5749549821878546E-16</v>
      </c>
      <c r="D86">
        <f t="shared" si="15"/>
        <v>-1</v>
      </c>
      <c r="E86">
        <f t="shared" ca="1" si="10"/>
        <v>-2.0096990738238672E-15</v>
      </c>
      <c r="F86">
        <f t="shared" ca="1" si="16"/>
        <v>37.866812911568736</v>
      </c>
      <c r="G86">
        <f t="shared" ca="1" si="17"/>
        <v>92.558819711973712</v>
      </c>
      <c r="H86">
        <f t="shared" ca="1" si="11"/>
        <v>100.00515299999996</v>
      </c>
      <c r="I86">
        <f t="shared" ca="1" si="18"/>
        <v>22.250000000000146</v>
      </c>
      <c r="K86">
        <f t="shared" ca="1" si="9"/>
        <v>1.7053025658242404E-13</v>
      </c>
    </row>
    <row r="87" spans="1:11" x14ac:dyDescent="0.25">
      <c r="A87">
        <f t="shared" si="12"/>
        <v>7.5999999999999998E-2</v>
      </c>
      <c r="B87">
        <f t="shared" si="13"/>
        <v>-107.94396820134301</v>
      </c>
      <c r="C87">
        <f t="shared" si="14"/>
        <v>0.30901699437494656</v>
      </c>
      <c r="D87">
        <f t="shared" si="15"/>
        <v>-0.95105651629515386</v>
      </c>
      <c r="E87">
        <f t="shared" ca="1" si="10"/>
        <v>-3.0145486107358008E-15</v>
      </c>
      <c r="F87">
        <f t="shared" ca="1" si="16"/>
        <v>37.866812911568736</v>
      </c>
      <c r="G87">
        <f t="shared" ca="1" si="17"/>
        <v>92.558819711973712</v>
      </c>
      <c r="H87">
        <f t="shared" ca="1" si="11"/>
        <v>100.00515299999996</v>
      </c>
      <c r="I87">
        <f t="shared" ca="1" si="18"/>
        <v>22.250000000000146</v>
      </c>
      <c r="K87">
        <f t="shared" ca="1" si="9"/>
        <v>1.5631940186722204E-13</v>
      </c>
    </row>
    <row r="88" spans="1:11" x14ac:dyDescent="0.25">
      <c r="A88">
        <f t="shared" si="12"/>
        <v>7.6999999999999999E-2</v>
      </c>
      <c r="B88">
        <f t="shared" si="13"/>
        <v>-74.422435222083621</v>
      </c>
      <c r="C88">
        <f t="shared" si="14"/>
        <v>0.5877852522924738</v>
      </c>
      <c r="D88">
        <f t="shared" si="15"/>
        <v>-0.8090169943749469</v>
      </c>
      <c r="E88">
        <f t="shared" ca="1" si="10"/>
        <v>-2.0096990738238672E-15</v>
      </c>
      <c r="F88">
        <f t="shared" ca="1" si="16"/>
        <v>37.866812911568736</v>
      </c>
      <c r="G88">
        <f t="shared" ca="1" si="17"/>
        <v>92.558819711973712</v>
      </c>
      <c r="H88">
        <f t="shared" ca="1" si="11"/>
        <v>100.00515299999996</v>
      </c>
      <c r="I88">
        <f t="shared" ca="1" si="18"/>
        <v>22.250000000000146</v>
      </c>
      <c r="K88">
        <f t="shared" ca="1" si="9"/>
        <v>1.4210854715202004E-13</v>
      </c>
    </row>
    <row r="89" spans="1:11" x14ac:dyDescent="0.25">
      <c r="A89">
        <f t="shared" si="12"/>
        <v>7.8E-2</v>
      </c>
      <c r="B89">
        <f t="shared" si="13"/>
        <v>-33.615915751690579</v>
      </c>
      <c r="C89">
        <f t="shared" si="14"/>
        <v>0.8090169943749469</v>
      </c>
      <c r="D89">
        <f t="shared" si="15"/>
        <v>-0.58778525229247391</v>
      </c>
      <c r="E89">
        <f t="shared" ca="1" si="10"/>
        <v>-2.512123842279834E-15</v>
      </c>
      <c r="F89">
        <f t="shared" ca="1" si="16"/>
        <v>37.866812911568736</v>
      </c>
      <c r="G89">
        <f t="shared" ca="1" si="17"/>
        <v>92.558819711973712</v>
      </c>
      <c r="H89">
        <f t="shared" ca="1" si="11"/>
        <v>100.00515299999996</v>
      </c>
      <c r="I89">
        <f t="shared" ca="1" si="18"/>
        <v>22.250000000000146</v>
      </c>
      <c r="K89">
        <f t="shared" ca="1" si="9"/>
        <v>1.1368683772161603E-13</v>
      </c>
    </row>
    <row r="90" spans="1:11" x14ac:dyDescent="0.25">
      <c r="A90">
        <f t="shared" si="12"/>
        <v>7.9000000000000001E-2</v>
      </c>
      <c r="B90">
        <f t="shared" si="13"/>
        <v>10.481163768335652</v>
      </c>
      <c r="C90">
        <f t="shared" si="14"/>
        <v>0.95105651629515386</v>
      </c>
      <c r="D90">
        <f t="shared" si="15"/>
        <v>-0.30901699437494667</v>
      </c>
      <c r="E90">
        <f t="shared" ca="1" si="10"/>
        <v>-2.512123842279834E-15</v>
      </c>
      <c r="F90">
        <f t="shared" ca="1" si="16"/>
        <v>37.866812911568736</v>
      </c>
      <c r="G90">
        <f t="shared" ca="1" si="17"/>
        <v>92.558819711973712</v>
      </c>
      <c r="H90">
        <f t="shared" ca="1" si="11"/>
        <v>100.00515299999996</v>
      </c>
      <c r="I90">
        <f t="shared" ca="1" si="18"/>
        <v>22.250000000000146</v>
      </c>
      <c r="K90">
        <f t="shared" ca="1" si="9"/>
        <v>9.9475983006414026E-14</v>
      </c>
    </row>
    <row r="91" spans="1:11" x14ac:dyDescent="0.25">
      <c r="A91">
        <f t="shared" si="12"/>
        <v>0.08</v>
      </c>
      <c r="B91">
        <f t="shared" si="13"/>
        <v>53.552273952154678</v>
      </c>
      <c r="C91">
        <f t="shared" si="14"/>
        <v>1</v>
      </c>
      <c r="D91">
        <f t="shared" si="15"/>
        <v>-9.8011876392689601E-16</v>
      </c>
      <c r="E91">
        <f t="shared" ca="1" si="10"/>
        <v>-2.512123842279834E-15</v>
      </c>
      <c r="F91">
        <f t="shared" ca="1" si="16"/>
        <v>37.866812911568736</v>
      </c>
      <c r="G91">
        <f t="shared" ca="1" si="17"/>
        <v>92.558819711973712</v>
      </c>
      <c r="H91">
        <f t="shared" ca="1" si="11"/>
        <v>100.00515299999996</v>
      </c>
      <c r="I91">
        <f t="shared" ca="1" si="18"/>
        <v>22.250000000000146</v>
      </c>
      <c r="K91">
        <f t="shared" ca="1" si="9"/>
        <v>8.5265128291212022E-14</v>
      </c>
    </row>
    <row r="92" spans="1:11" x14ac:dyDescent="0.25">
      <c r="A92">
        <f t="shared" si="12"/>
        <v>8.1000000000000003E-2</v>
      </c>
      <c r="B92">
        <f t="shared" si="13"/>
        <v>91.381314440904632</v>
      </c>
      <c r="C92">
        <f t="shared" si="14"/>
        <v>0.95105651629515331</v>
      </c>
      <c r="D92">
        <f t="shared" si="15"/>
        <v>0.30901699437494817</v>
      </c>
      <c r="E92">
        <f t="shared" ca="1" si="10"/>
        <v>-2.0096990738238672E-15</v>
      </c>
      <c r="F92">
        <f t="shared" ca="1" si="16"/>
        <v>37.866812911568736</v>
      </c>
      <c r="G92">
        <f t="shared" ca="1" si="17"/>
        <v>92.558819711973712</v>
      </c>
      <c r="H92">
        <f t="shared" ca="1" si="11"/>
        <v>100.00515299999996</v>
      </c>
      <c r="I92">
        <f t="shared" ca="1" si="18"/>
        <v>22.250000000000146</v>
      </c>
      <c r="K92">
        <f t="shared" ca="1" si="9"/>
        <v>8.5265128291212022E-14</v>
      </c>
    </row>
    <row r="93" spans="1:11" x14ac:dyDescent="0.25">
      <c r="A93">
        <f t="shared" si="12"/>
        <v>8.2000000000000003E-2</v>
      </c>
      <c r="B93">
        <f t="shared" si="13"/>
        <v>120.26531518112277</v>
      </c>
      <c r="C93">
        <f t="shared" si="14"/>
        <v>0.8090169943749459</v>
      </c>
      <c r="D93">
        <f t="shared" si="15"/>
        <v>0.58778525229247514</v>
      </c>
      <c r="E93">
        <f t="shared" ca="1" si="10"/>
        <v>1.8087291664414807E-14</v>
      </c>
      <c r="F93">
        <f t="shared" ca="1" si="16"/>
        <v>37.866812911568751</v>
      </c>
      <c r="G93">
        <f t="shared" ca="1" si="17"/>
        <v>92.558819711973726</v>
      </c>
      <c r="H93">
        <f t="shared" ca="1" si="11"/>
        <v>100.00515299999998</v>
      </c>
      <c r="I93">
        <f t="shared" ca="1" si="18"/>
        <v>22.250000000000149</v>
      </c>
      <c r="K93">
        <f t="shared" ca="1" si="9"/>
        <v>9.9475983006414026E-14</v>
      </c>
    </row>
    <row r="94" spans="1:11" x14ac:dyDescent="0.25">
      <c r="A94">
        <f t="shared" si="12"/>
        <v>8.3000000000000004E-2</v>
      </c>
      <c r="B94">
        <f t="shared" si="13"/>
        <v>137.37690893368966</v>
      </c>
      <c r="C94">
        <f t="shared" si="14"/>
        <v>0.58778525229247247</v>
      </c>
      <c r="D94">
        <f t="shared" si="15"/>
        <v>0.8090169943749479</v>
      </c>
      <c r="E94">
        <f t="shared" ca="1" si="10"/>
        <v>0</v>
      </c>
      <c r="F94">
        <f t="shared" ca="1" si="16"/>
        <v>37.866812911568751</v>
      </c>
      <c r="G94">
        <f t="shared" ca="1" si="17"/>
        <v>92.558819711973726</v>
      </c>
      <c r="H94">
        <f t="shared" ca="1" si="11"/>
        <v>100.00515299999998</v>
      </c>
      <c r="I94">
        <f t="shared" ca="1" si="18"/>
        <v>22.250000000000149</v>
      </c>
      <c r="K94">
        <f t="shared" ca="1" si="9"/>
        <v>9.9475983006414026E-14</v>
      </c>
    </row>
    <row r="95" spans="1:11" x14ac:dyDescent="0.25">
      <c r="A95">
        <f t="shared" si="12"/>
        <v>8.4000000000000005E-2</v>
      </c>
      <c r="B95">
        <f t="shared" si="13"/>
        <v>141.04109367862023</v>
      </c>
      <c r="C95">
        <f t="shared" si="14"/>
        <v>0.30901699437494501</v>
      </c>
      <c r="D95">
        <f t="shared" si="15"/>
        <v>0.95105651629515431</v>
      </c>
      <c r="E95">
        <f t="shared" ca="1" si="10"/>
        <v>-2.0096990738238672E-15</v>
      </c>
      <c r="F95">
        <f t="shared" ca="1" si="16"/>
        <v>37.866812911568751</v>
      </c>
      <c r="G95">
        <f t="shared" ca="1" si="17"/>
        <v>92.558819711973726</v>
      </c>
      <c r="H95">
        <f t="shared" ca="1" si="11"/>
        <v>100.00515299999998</v>
      </c>
      <c r="I95">
        <f t="shared" ca="1" si="18"/>
        <v>22.250000000000149</v>
      </c>
      <c r="K95">
        <f t="shared" ref="K95:K158" ca="1" si="19">F95-F76</f>
        <v>9.9475983006414026E-14</v>
      </c>
    </row>
    <row r="96" spans="1:11" x14ac:dyDescent="0.25">
      <c r="A96">
        <f t="shared" si="12"/>
        <v>8.5000000000000006E-2</v>
      </c>
      <c r="B96">
        <f t="shared" si="13"/>
        <v>130.8991934832043</v>
      </c>
      <c r="C96">
        <f t="shared" si="14"/>
        <v>-7.3498065272792346E-16</v>
      </c>
      <c r="D96">
        <f t="shared" si="15"/>
        <v>1</v>
      </c>
      <c r="E96">
        <f t="shared" ca="1" si="10"/>
        <v>2.0096990738238672E-15</v>
      </c>
      <c r="F96">
        <f t="shared" ca="1" si="16"/>
        <v>37.866812911568751</v>
      </c>
      <c r="G96">
        <f t="shared" ca="1" si="17"/>
        <v>92.558819711973726</v>
      </c>
      <c r="H96">
        <f t="shared" ca="1" si="11"/>
        <v>100.00515299999998</v>
      </c>
      <c r="I96">
        <f t="shared" ca="1" si="18"/>
        <v>22.250000000000149</v>
      </c>
      <c r="K96">
        <f t="shared" ca="1" si="19"/>
        <v>9.2370555648813024E-14</v>
      </c>
    </row>
    <row r="97" spans="1:11" x14ac:dyDescent="0.25">
      <c r="A97">
        <f t="shared" si="12"/>
        <v>8.6000000000000007E-2</v>
      </c>
      <c r="B97">
        <f t="shared" si="13"/>
        <v>107.94396820134268</v>
      </c>
      <c r="C97">
        <f t="shared" si="14"/>
        <v>-0.30901699437494978</v>
      </c>
      <c r="D97">
        <f t="shared" si="15"/>
        <v>0.95105651629515275</v>
      </c>
      <c r="E97">
        <f t="shared" ca="1" si="10"/>
        <v>2.0096990738238672E-15</v>
      </c>
      <c r="F97">
        <f t="shared" ca="1" si="16"/>
        <v>37.866812911568751</v>
      </c>
      <c r="G97">
        <f t="shared" ca="1" si="17"/>
        <v>92.558819711973726</v>
      </c>
      <c r="H97">
        <f t="shared" ca="1" si="11"/>
        <v>100.00515299999998</v>
      </c>
      <c r="I97">
        <f t="shared" ca="1" si="18"/>
        <v>22.250000000000149</v>
      </c>
      <c r="K97">
        <f t="shared" ca="1" si="19"/>
        <v>7.815970093361102E-14</v>
      </c>
    </row>
    <row r="98" spans="1:11" x14ac:dyDescent="0.25">
      <c r="A98">
        <f t="shared" si="12"/>
        <v>8.7000000000000008E-2</v>
      </c>
      <c r="B98">
        <f t="shared" si="13"/>
        <v>74.422435222083209</v>
      </c>
      <c r="C98">
        <f t="shared" si="14"/>
        <v>-0.58778525229247658</v>
      </c>
      <c r="D98">
        <f t="shared" si="15"/>
        <v>0.8090169943749449</v>
      </c>
      <c r="E98">
        <f t="shared" ca="1" si="10"/>
        <v>-2.8135787033534141E-14</v>
      </c>
      <c r="F98">
        <f t="shared" ca="1" si="16"/>
        <v>37.866812911568765</v>
      </c>
      <c r="G98">
        <f t="shared" ca="1" si="17"/>
        <v>92.558819711973698</v>
      </c>
      <c r="H98">
        <f t="shared" ca="1" si="11"/>
        <v>100.00515299999996</v>
      </c>
      <c r="I98">
        <f t="shared" ca="1" si="18"/>
        <v>22.250000000000163</v>
      </c>
      <c r="K98">
        <f t="shared" ca="1" si="19"/>
        <v>6.3948846218409017E-14</v>
      </c>
    </row>
    <row r="99" spans="1:11" x14ac:dyDescent="0.25">
      <c r="A99">
        <f t="shared" si="12"/>
        <v>8.7999999999999995E-2</v>
      </c>
      <c r="B99">
        <f t="shared" si="13"/>
        <v>33.615915751690594</v>
      </c>
      <c r="C99">
        <f t="shared" si="14"/>
        <v>-0.80901699437494679</v>
      </c>
      <c r="D99">
        <f t="shared" si="15"/>
        <v>0.58778525229247403</v>
      </c>
      <c r="E99">
        <f t="shared" ca="1" si="10"/>
        <v>3.7179432865741541E-14</v>
      </c>
      <c r="F99">
        <f t="shared" ca="1" si="16"/>
        <v>37.866812911568736</v>
      </c>
      <c r="G99">
        <f t="shared" ca="1" si="17"/>
        <v>92.558819711973726</v>
      </c>
      <c r="H99">
        <f t="shared" ca="1" si="11"/>
        <v>100.00515299999998</v>
      </c>
      <c r="I99">
        <f t="shared" ca="1" si="18"/>
        <v>22.250000000000142</v>
      </c>
      <c r="K99">
        <f t="shared" ca="1" si="19"/>
        <v>0</v>
      </c>
    </row>
    <row r="100" spans="1:11" x14ac:dyDescent="0.25">
      <c r="A100">
        <f t="shared" si="12"/>
        <v>8.8999999999999996E-2</v>
      </c>
      <c r="B100">
        <f>1.5*$B$6*SIN((A100*$C$1)+PI()/2.5)</f>
        <v>-171.62891027167285</v>
      </c>
      <c r="C100">
        <f t="shared" si="14"/>
        <v>-0.95105651629515264</v>
      </c>
      <c r="D100">
        <f t="shared" si="15"/>
        <v>0.30901699437495017</v>
      </c>
      <c r="E100">
        <f t="shared" ca="1" si="10"/>
        <v>-11.394757155250971</v>
      </c>
      <c r="F100">
        <f t="shared" ca="1" si="16"/>
        <v>48.703870955670993</v>
      </c>
      <c r="G100">
        <f t="shared" ca="1" si="17"/>
        <v>89.037646104225615</v>
      </c>
      <c r="H100">
        <f t="shared" ca="1" si="11"/>
        <v>101.48777990402576</v>
      </c>
      <c r="I100">
        <f t="shared" ca="1" si="18"/>
        <v>28.678797302839513</v>
      </c>
      <c r="K100">
        <f t="shared" ca="1" si="19"/>
        <v>10.83705804410225</v>
      </c>
    </row>
    <row r="101" spans="1:11" x14ac:dyDescent="0.25">
      <c r="A101">
        <f t="shared" si="12"/>
        <v>0.09</v>
      </c>
      <c r="B101">
        <f t="shared" ref="B101:B164" si="20">1.5*$B$6*SIN((A101*$C$1)+PI()/2.5)</f>
        <v>-201.76188464943527</v>
      </c>
      <c r="C101">
        <f t="shared" si="14"/>
        <v>-1</v>
      </c>
      <c r="D101">
        <f t="shared" si="15"/>
        <v>1.102633609417758E-15</v>
      </c>
      <c r="E101">
        <f t="shared" ca="1" si="10"/>
        <v>-10.479901572404676</v>
      </c>
      <c r="F101">
        <f t="shared" ca="1" si="16"/>
        <v>59.183772528075671</v>
      </c>
      <c r="G101">
        <f t="shared" ca="1" si="17"/>
        <v>89.037646104225601</v>
      </c>
      <c r="H101">
        <f t="shared" ca="1" si="11"/>
        <v>106.91314865083866</v>
      </c>
      <c r="I101">
        <f t="shared" ca="1" si="18"/>
        <v>33.612186758092236</v>
      </c>
      <c r="K101">
        <f t="shared" ca="1" si="19"/>
        <v>21.316959616506928</v>
      </c>
    </row>
    <row r="102" spans="1:11" x14ac:dyDescent="0.25">
      <c r="A102">
        <f t="shared" si="12"/>
        <v>9.0999999999999998E-2</v>
      </c>
      <c r="B102">
        <f t="shared" si="20"/>
        <v>-212.14500000000001</v>
      </c>
      <c r="C102">
        <f t="shared" si="14"/>
        <v>-0.95105651629515342</v>
      </c>
      <c r="D102">
        <f t="shared" si="15"/>
        <v>-0.30901699437494806</v>
      </c>
      <c r="E102">
        <f t="shared" ca="1" si="10"/>
        <v>-8.5392002058836329</v>
      </c>
      <c r="F102">
        <f t="shared" ca="1" si="16"/>
        <v>67.305034527830216</v>
      </c>
      <c r="G102">
        <f t="shared" ca="1" si="17"/>
        <v>91.676404086213694</v>
      </c>
      <c r="H102">
        <f t="shared" ca="1" si="11"/>
        <v>113.73007842682232</v>
      </c>
      <c r="I102">
        <f t="shared" ca="1" si="18"/>
        <v>36.284579803162458</v>
      </c>
      <c r="K102">
        <f t="shared" ca="1" si="19"/>
        <v>29.438221616261472</v>
      </c>
    </row>
    <row r="103" spans="1:11" x14ac:dyDescent="0.25">
      <c r="A103">
        <f t="shared" si="12"/>
        <v>9.1999999999999998E-2</v>
      </c>
      <c r="B103">
        <f t="shared" si="20"/>
        <v>-201.76188464943544</v>
      </c>
      <c r="C103">
        <f t="shared" si="14"/>
        <v>-0.80901699437494812</v>
      </c>
      <c r="D103">
        <f t="shared" si="15"/>
        <v>-0.58778525229247225</v>
      </c>
      <c r="E103">
        <f t="shared" ca="1" si="10"/>
        <v>-5.7626224271043878</v>
      </c>
      <c r="F103">
        <f t="shared" ca="1" si="16"/>
        <v>71.967094003523883</v>
      </c>
      <c r="G103">
        <f t="shared" ca="1" si="17"/>
        <v>95.063588563395498</v>
      </c>
      <c r="H103">
        <f t="shared" ca="1" si="11"/>
        <v>119.23232988523952</v>
      </c>
      <c r="I103">
        <f t="shared" ca="1" si="18"/>
        <v>37.12723772583383</v>
      </c>
      <c r="K103">
        <f t="shared" ca="1" si="19"/>
        <v>34.100281091955146</v>
      </c>
    </row>
    <row r="104" spans="1:11" x14ac:dyDescent="0.25">
      <c r="A104">
        <f t="shared" si="12"/>
        <v>9.2999999999999999E-2</v>
      </c>
      <c r="B104">
        <f t="shared" si="20"/>
        <v>-171.62891027167316</v>
      </c>
      <c r="C104">
        <f t="shared" si="14"/>
        <v>-0.58778525229247258</v>
      </c>
      <c r="D104">
        <f t="shared" si="15"/>
        <v>-0.80901699437494778</v>
      </c>
      <c r="E104">
        <f t="shared" ca="1" si="10"/>
        <v>-2.421959014608821</v>
      </c>
      <c r="F104">
        <f t="shared" ca="1" si="16"/>
        <v>73.390685793967762</v>
      </c>
      <c r="G104">
        <f t="shared" ca="1" si="17"/>
        <v>97.02299456589364</v>
      </c>
      <c r="H104">
        <f t="shared" ca="1" si="11"/>
        <v>121.65382951573012</v>
      </c>
      <c r="I104">
        <f t="shared" ca="1" si="18"/>
        <v>37.104797433304959</v>
      </c>
      <c r="K104">
        <f t="shared" ca="1" si="19"/>
        <v>35.523872882399026</v>
      </c>
    </row>
    <row r="105" spans="1:11" x14ac:dyDescent="0.25">
      <c r="A105">
        <f t="shared" si="12"/>
        <v>9.4E-2</v>
      </c>
      <c r="B105">
        <f t="shared" si="20"/>
        <v>-124.69570234758693</v>
      </c>
      <c r="C105">
        <f t="shared" si="14"/>
        <v>-0.30901699437494851</v>
      </c>
      <c r="D105">
        <f t="shared" si="15"/>
        <v>-0.9510565162951532</v>
      </c>
      <c r="E105">
        <f t="shared" ca="1" si="10"/>
        <v>1.1557826210173665</v>
      </c>
      <c r="F105">
        <f t="shared" ca="1" si="16"/>
        <v>73.033529322270169</v>
      </c>
      <c r="G105">
        <f t="shared" ca="1" si="17"/>
        <v>95.923779972754389</v>
      </c>
      <c r="H105">
        <f t="shared" ca="1" si="11"/>
        <v>120.56229912177476</v>
      </c>
      <c r="I105">
        <f t="shared" ca="1" si="18"/>
        <v>37.284572738124275</v>
      </c>
      <c r="K105">
        <f t="shared" ca="1" si="19"/>
        <v>35.166716410701433</v>
      </c>
    </row>
    <row r="106" spans="1:11" x14ac:dyDescent="0.25">
      <c r="A106">
        <f t="shared" si="12"/>
        <v>9.5000000000000001E-2</v>
      </c>
      <c r="B106">
        <f t="shared" si="20"/>
        <v>-65.556410271673116</v>
      </c>
      <c r="C106">
        <f t="shared" si="14"/>
        <v>6.1246580723706145E-16</v>
      </c>
      <c r="D106">
        <f t="shared" si="15"/>
        <v>-1</v>
      </c>
      <c r="E106">
        <f t="shared" ca="1" si="10"/>
        <v>4.62038820088737</v>
      </c>
      <c r="F106">
        <f t="shared" ca="1" si="16"/>
        <v>73.033529322270169</v>
      </c>
      <c r="G106">
        <f t="shared" ca="1" si="17"/>
        <v>91.303391771867012</v>
      </c>
      <c r="H106">
        <f t="shared" ca="1" si="11"/>
        <v>116.919655123995</v>
      </c>
      <c r="I106">
        <f t="shared" ca="1" si="18"/>
        <v>38.656293867274563</v>
      </c>
      <c r="K106">
        <f t="shared" ca="1" si="19"/>
        <v>35.166716410701433</v>
      </c>
    </row>
    <row r="107" spans="1:11" x14ac:dyDescent="0.25">
      <c r="A107">
        <f t="shared" si="12"/>
        <v>9.6000000000000002E-2</v>
      </c>
      <c r="B107">
        <f t="shared" si="20"/>
        <v>4.9378132442254311E-13</v>
      </c>
      <c r="C107">
        <f t="shared" si="14"/>
        <v>0.30901699437494967</v>
      </c>
      <c r="D107">
        <f t="shared" si="15"/>
        <v>-0.95105651629515287</v>
      </c>
      <c r="E107">
        <f t="shared" ca="1" si="10"/>
        <v>7.6327179915169987</v>
      </c>
      <c r="F107">
        <f t="shared" ca="1" si="16"/>
        <v>75.39216889492036</v>
      </c>
      <c r="G107">
        <f t="shared" ca="1" si="17"/>
        <v>84.044245588991515</v>
      </c>
      <c r="H107">
        <f t="shared" ca="1" si="11"/>
        <v>112.90444786323928</v>
      </c>
      <c r="I107">
        <f t="shared" ca="1" si="18"/>
        <v>41.893797937912971</v>
      </c>
      <c r="K107">
        <f t="shared" ca="1" si="19"/>
        <v>37.525355983351623</v>
      </c>
    </row>
    <row r="108" spans="1:11" x14ac:dyDescent="0.25">
      <c r="A108">
        <f t="shared" si="12"/>
        <v>9.7000000000000003E-2</v>
      </c>
      <c r="B108">
        <f t="shared" si="20"/>
        <v>65.556410271673343</v>
      </c>
      <c r="C108">
        <f t="shared" si="14"/>
        <v>0.58778525229247358</v>
      </c>
      <c r="D108">
        <f t="shared" si="15"/>
        <v>-0.80901699437494712</v>
      </c>
      <c r="E108">
        <f t="shared" ca="1" si="10"/>
        <v>9.8979041648635544</v>
      </c>
      <c r="F108">
        <f t="shared" ca="1" si="16"/>
        <v>81.210010991631407</v>
      </c>
      <c r="G108">
        <f t="shared" ca="1" si="17"/>
        <v>76.036672910922334</v>
      </c>
      <c r="H108">
        <f t="shared" ca="1" si="11"/>
        <v>111.25035511234778</v>
      </c>
      <c r="I108">
        <f t="shared" ca="1" si="18"/>
        <v>46.884323137418988</v>
      </c>
      <c r="K108">
        <f t="shared" ca="1" si="19"/>
        <v>43.34319808006267</v>
      </c>
    </row>
    <row r="109" spans="1:11" x14ac:dyDescent="0.25">
      <c r="A109">
        <f t="shared" si="12"/>
        <v>9.8000000000000004E-2</v>
      </c>
      <c r="B109">
        <f t="shared" si="20"/>
        <v>124.69570234758712</v>
      </c>
      <c r="C109">
        <f t="shared" si="14"/>
        <v>0.80901699437494878</v>
      </c>
      <c r="D109">
        <f t="shared" si="15"/>
        <v>-0.58778525229247125</v>
      </c>
      <c r="E109">
        <f t="shared" ca="1" si="10"/>
        <v>11.194214515799924</v>
      </c>
      <c r="F109">
        <f t="shared" ca="1" si="16"/>
        <v>90.266320773592284</v>
      </c>
      <c r="G109">
        <f t="shared" ca="1" si="17"/>
        <v>69.456878707536831</v>
      </c>
      <c r="H109">
        <f t="shared" ca="1" si="11"/>
        <v>113.89585886148161</v>
      </c>
      <c r="I109">
        <f t="shared" ca="1" si="18"/>
        <v>52.422935959487539</v>
      </c>
      <c r="K109">
        <f t="shared" ca="1" si="19"/>
        <v>52.399507862023547</v>
      </c>
    </row>
    <row r="110" spans="1:11" x14ac:dyDescent="0.25">
      <c r="A110">
        <f t="shared" si="12"/>
        <v>9.9000000000000005E-2</v>
      </c>
      <c r="B110">
        <f t="shared" si="20"/>
        <v>171.62891027167285</v>
      </c>
      <c r="C110">
        <f t="shared" si="14"/>
        <v>0.95105651629515375</v>
      </c>
      <c r="D110">
        <f t="shared" si="15"/>
        <v>-0.3090169943749469</v>
      </c>
      <c r="E110">
        <f t="shared" ca="1" si="10"/>
        <v>11.394757155250973</v>
      </c>
      <c r="F110">
        <f t="shared" ca="1" si="16"/>
        <v>101.10337881769455</v>
      </c>
      <c r="G110">
        <f t="shared" ca="1" si="17"/>
        <v>65.935705099788748</v>
      </c>
      <c r="H110">
        <f t="shared" ca="1" si="11"/>
        <v>120.70381276231731</v>
      </c>
      <c r="I110">
        <f t="shared" ca="1" si="18"/>
        <v>56.889167396275134</v>
      </c>
      <c r="K110">
        <f t="shared" ca="1" si="19"/>
        <v>63.236565906125811</v>
      </c>
    </row>
    <row r="111" spans="1:11" x14ac:dyDescent="0.25">
      <c r="A111">
        <f t="shared" si="12"/>
        <v>0.1</v>
      </c>
      <c r="B111">
        <f t="shared" si="20"/>
        <v>201.76188464943527</v>
      </c>
      <c r="C111">
        <f t="shared" si="14"/>
        <v>1</v>
      </c>
      <c r="D111">
        <f t="shared" si="15"/>
        <v>2.3275652238918809E-15</v>
      </c>
      <c r="E111">
        <f t="shared" ca="1" si="10"/>
        <v>10.47990157240471</v>
      </c>
      <c r="F111">
        <f t="shared" ca="1" si="16"/>
        <v>111.58328039009926</v>
      </c>
      <c r="G111">
        <f t="shared" ca="1" si="17"/>
        <v>65.935705099788777</v>
      </c>
      <c r="H111">
        <f t="shared" ca="1" si="11"/>
        <v>129.60843209306185</v>
      </c>
      <c r="I111">
        <f t="shared" ca="1" si="18"/>
        <v>59.420723527785761</v>
      </c>
      <c r="K111">
        <f t="shared" ca="1" si="19"/>
        <v>73.716467478530518</v>
      </c>
    </row>
    <row r="112" spans="1:11" x14ac:dyDescent="0.25">
      <c r="A112">
        <f t="shared" si="12"/>
        <v>0.10100000000000001</v>
      </c>
      <c r="B112">
        <f t="shared" si="20"/>
        <v>212.14500000000001</v>
      </c>
      <c r="C112">
        <f t="shared" si="14"/>
        <v>0.95105651629515342</v>
      </c>
      <c r="D112">
        <f t="shared" si="15"/>
        <v>0.30901699437494795</v>
      </c>
      <c r="E112">
        <f t="shared" ca="1" si="10"/>
        <v>8.5392002058836329</v>
      </c>
      <c r="F112">
        <f t="shared" ca="1" si="16"/>
        <v>119.7045423898538</v>
      </c>
      <c r="G112">
        <f t="shared" ca="1" si="17"/>
        <v>68.574463081776869</v>
      </c>
      <c r="H112">
        <f t="shared" ca="1" si="11"/>
        <v>137.95519002820546</v>
      </c>
      <c r="I112">
        <f t="shared" ca="1" si="18"/>
        <v>60.19314326302932</v>
      </c>
      <c r="K112">
        <f t="shared" ca="1" si="19"/>
        <v>81.837729478285041</v>
      </c>
    </row>
    <row r="113" spans="1:11" x14ac:dyDescent="0.25">
      <c r="A113">
        <f t="shared" si="12"/>
        <v>0.10200000000000001</v>
      </c>
      <c r="B113">
        <f t="shared" si="20"/>
        <v>201.76188464943522</v>
      </c>
      <c r="C113">
        <f t="shared" si="14"/>
        <v>0.80901699437494612</v>
      </c>
      <c r="D113">
        <f t="shared" si="15"/>
        <v>0.58778525229247502</v>
      </c>
      <c r="E113">
        <f t="shared" ca="1" si="10"/>
        <v>5.7626224271043727</v>
      </c>
      <c r="F113">
        <f t="shared" ca="1" si="16"/>
        <v>124.36660186554744</v>
      </c>
      <c r="G113">
        <f t="shared" ca="1" si="17"/>
        <v>71.961647558958688</v>
      </c>
      <c r="H113">
        <f t="shared" ca="1" si="11"/>
        <v>143.68552598986221</v>
      </c>
      <c r="I113">
        <f t="shared" ca="1" si="18"/>
        <v>59.945244929642989</v>
      </c>
      <c r="K113">
        <f t="shared" ca="1" si="19"/>
        <v>86.49978895397868</v>
      </c>
    </row>
    <row r="114" spans="1:11" x14ac:dyDescent="0.25">
      <c r="A114">
        <f t="shared" si="12"/>
        <v>0.10300000000000001</v>
      </c>
      <c r="B114">
        <f t="shared" si="20"/>
        <v>171.62891027167271</v>
      </c>
      <c r="C114">
        <f t="shared" si="14"/>
        <v>0.58778525229246981</v>
      </c>
      <c r="D114">
        <f t="shared" si="15"/>
        <v>0.80901699437494978</v>
      </c>
      <c r="E114">
        <f t="shared" ca="1" si="10"/>
        <v>2.421959014608781</v>
      </c>
      <c r="F114">
        <f t="shared" ca="1" si="16"/>
        <v>125.79019365599129</v>
      </c>
      <c r="G114">
        <f t="shared" ca="1" si="17"/>
        <v>73.921053561456802</v>
      </c>
      <c r="H114">
        <f t="shared" ca="1" si="11"/>
        <v>145.90234740965465</v>
      </c>
      <c r="I114">
        <f t="shared" ca="1" si="18"/>
        <v>59.559224454409232</v>
      </c>
      <c r="K114">
        <f t="shared" ca="1" si="19"/>
        <v>87.923380744422531</v>
      </c>
    </row>
    <row r="115" spans="1:11" x14ac:dyDescent="0.25">
      <c r="A115">
        <f t="shared" si="12"/>
        <v>0.10400000000000001</v>
      </c>
      <c r="B115">
        <f t="shared" si="20"/>
        <v>124.69570234758574</v>
      </c>
      <c r="C115">
        <f t="shared" si="14"/>
        <v>0.3090169943749419</v>
      </c>
      <c r="D115">
        <f t="shared" si="15"/>
        <v>0.95105651629515542</v>
      </c>
      <c r="E115">
        <f t="shared" ca="1" si="10"/>
        <v>-1.1557826210174489</v>
      </c>
      <c r="F115">
        <f t="shared" ca="1" si="16"/>
        <v>125.43303718429368</v>
      </c>
      <c r="G115">
        <f t="shared" ca="1" si="17"/>
        <v>72.821838968317465</v>
      </c>
      <c r="H115">
        <f t="shared" ca="1" si="11"/>
        <v>145.03953615481524</v>
      </c>
      <c r="I115">
        <f t="shared" ca="1" si="18"/>
        <v>59.862115100207596</v>
      </c>
      <c r="K115">
        <f t="shared" ca="1" si="19"/>
        <v>87.566224272724924</v>
      </c>
    </row>
    <row r="116" spans="1:11" x14ac:dyDescent="0.25">
      <c r="A116">
        <f t="shared" si="12"/>
        <v>0.105</v>
      </c>
      <c r="B116">
        <f t="shared" si="20"/>
        <v>65.55641027167313</v>
      </c>
      <c r="C116">
        <f t="shared" si="14"/>
        <v>-4.8995096174619945E-16</v>
      </c>
      <c r="D116">
        <f t="shared" si="15"/>
        <v>1</v>
      </c>
      <c r="E116">
        <f t="shared" ca="1" si="10"/>
        <v>-4.6203882008873691</v>
      </c>
      <c r="F116">
        <f t="shared" ca="1" si="16"/>
        <v>125.43303718429368</v>
      </c>
      <c r="G116">
        <f t="shared" ca="1" si="17"/>
        <v>68.201450767430089</v>
      </c>
      <c r="H116">
        <f t="shared" ca="1" si="11"/>
        <v>142.77564464592197</v>
      </c>
      <c r="I116">
        <f t="shared" ca="1" si="18"/>
        <v>61.465837571544782</v>
      </c>
      <c r="K116">
        <f t="shared" ca="1" si="19"/>
        <v>87.566224272724924</v>
      </c>
    </row>
    <row r="117" spans="1:11" x14ac:dyDescent="0.25">
      <c r="A117">
        <f t="shared" si="12"/>
        <v>0.106</v>
      </c>
      <c r="B117">
        <f t="shared" si="20"/>
        <v>-4.6779041252588413E-13</v>
      </c>
      <c r="C117">
        <f t="shared" si="14"/>
        <v>-0.30901699437494956</v>
      </c>
      <c r="D117">
        <f t="shared" si="15"/>
        <v>0.95105651629515287</v>
      </c>
      <c r="E117">
        <f t="shared" ca="1" si="10"/>
        <v>-7.6327179915169738</v>
      </c>
      <c r="F117">
        <f t="shared" ca="1" si="16"/>
        <v>127.79167675694386</v>
      </c>
      <c r="G117">
        <f t="shared" ca="1" si="17"/>
        <v>60.94230458455462</v>
      </c>
      <c r="H117">
        <f t="shared" ca="1" si="11"/>
        <v>141.57922565273429</v>
      </c>
      <c r="I117">
        <f t="shared" ca="1" si="18"/>
        <v>64.504090455089823</v>
      </c>
      <c r="K117">
        <f t="shared" ca="1" si="19"/>
        <v>89.924863845375086</v>
      </c>
    </row>
    <row r="118" spans="1:11" x14ac:dyDescent="0.25">
      <c r="A118">
        <f t="shared" si="12"/>
        <v>0.107</v>
      </c>
      <c r="B118">
        <f t="shared" si="20"/>
        <v>-65.55641027167259</v>
      </c>
      <c r="C118">
        <f t="shared" si="14"/>
        <v>-0.58778525229247058</v>
      </c>
      <c r="D118">
        <f t="shared" si="15"/>
        <v>0.80901699437494923</v>
      </c>
      <c r="E118">
        <f t="shared" ca="1" si="10"/>
        <v>-9.8979041648634709</v>
      </c>
      <c r="F118">
        <f t="shared" ca="1" si="16"/>
        <v>133.60951885365483</v>
      </c>
      <c r="G118">
        <f t="shared" ca="1" si="17"/>
        <v>52.934731906485482</v>
      </c>
      <c r="H118">
        <f t="shared" ca="1" si="11"/>
        <v>143.71356710595086</v>
      </c>
      <c r="I118">
        <f t="shared" ca="1" si="18"/>
        <v>68.387033059663693</v>
      </c>
      <c r="K118">
        <f t="shared" ca="1" si="19"/>
        <v>95.742705942086104</v>
      </c>
    </row>
    <row r="119" spans="1:11" x14ac:dyDescent="0.25">
      <c r="A119">
        <f t="shared" si="12"/>
        <v>0.108</v>
      </c>
      <c r="B119">
        <f t="shared" si="20"/>
        <v>-124.69570234758649</v>
      </c>
      <c r="C119">
        <f t="shared" si="14"/>
        <v>-0.80901699437494667</v>
      </c>
      <c r="D119">
        <f t="shared" si="15"/>
        <v>0.58778525229247425</v>
      </c>
      <c r="E119">
        <f t="shared" ca="1" si="10"/>
        <v>-11.194214515799883</v>
      </c>
      <c r="F119">
        <f t="shared" ca="1" si="16"/>
        <v>142.66582863561564</v>
      </c>
      <c r="G119">
        <f t="shared" ca="1" si="17"/>
        <v>46.354937703099971</v>
      </c>
      <c r="H119">
        <f t="shared" ca="1" si="11"/>
        <v>150.00772949999984</v>
      </c>
      <c r="I119">
        <f t="shared" ca="1" si="18"/>
        <v>72.000000000000057</v>
      </c>
      <c r="K119">
        <f t="shared" ca="1" si="19"/>
        <v>93.961957679944646</v>
      </c>
    </row>
    <row r="120" spans="1:11" x14ac:dyDescent="0.25">
      <c r="A120">
        <f t="shared" si="12"/>
        <v>0.109</v>
      </c>
      <c r="B120">
        <f t="shared" si="20"/>
        <v>-171.62891027167328</v>
      </c>
      <c r="C120">
        <f t="shared" si="14"/>
        <v>-0.95105651629515375</v>
      </c>
      <c r="D120">
        <f t="shared" si="15"/>
        <v>0.30901699437494701</v>
      </c>
      <c r="E120">
        <f t="shared" ca="1" si="10"/>
        <v>-3.0145486107358007E-14</v>
      </c>
      <c r="F120">
        <f t="shared" ca="1" si="16"/>
        <v>142.66582863561567</v>
      </c>
      <c r="G120">
        <f t="shared" ca="1" si="17"/>
        <v>46.354937703099964</v>
      </c>
      <c r="H120">
        <f t="shared" ca="1" si="11"/>
        <v>150.0077294999999</v>
      </c>
      <c r="I120">
        <f t="shared" ca="1" si="18"/>
        <v>72.000000000000057</v>
      </c>
      <c r="K120">
        <f t="shared" ca="1" si="19"/>
        <v>83.482056107539989</v>
      </c>
    </row>
    <row r="121" spans="1:11" x14ac:dyDescent="0.25">
      <c r="A121">
        <f t="shared" si="12"/>
        <v>0.11</v>
      </c>
      <c r="B121">
        <f t="shared" si="20"/>
        <v>-201.7618846494355</v>
      </c>
      <c r="C121">
        <f t="shared" si="14"/>
        <v>-1</v>
      </c>
      <c r="D121">
        <f t="shared" si="15"/>
        <v>-2.2050503784010189E-15</v>
      </c>
      <c r="E121">
        <f t="shared" ca="1" si="10"/>
        <v>-1.6077592590590938E-14</v>
      </c>
      <c r="F121">
        <f t="shared" ca="1" si="16"/>
        <v>142.6658286356157</v>
      </c>
      <c r="G121">
        <f t="shared" ca="1" si="17"/>
        <v>46.354937703099964</v>
      </c>
      <c r="H121">
        <f t="shared" ca="1" si="11"/>
        <v>150.0077294999999</v>
      </c>
      <c r="I121">
        <f t="shared" ca="1" si="18"/>
        <v>72.000000000000057</v>
      </c>
      <c r="K121">
        <f t="shared" ca="1" si="19"/>
        <v>75.36079410778548</v>
      </c>
    </row>
    <row r="122" spans="1:11" x14ac:dyDescent="0.25">
      <c r="A122">
        <f t="shared" si="12"/>
        <v>0.111</v>
      </c>
      <c r="B122">
        <f t="shared" si="20"/>
        <v>-212.14500000000001</v>
      </c>
      <c r="C122">
        <f t="shared" si="14"/>
        <v>-0.95105651629515231</v>
      </c>
      <c r="D122">
        <f t="shared" si="15"/>
        <v>-0.30901699437495123</v>
      </c>
      <c r="E122">
        <f t="shared" ca="1" si="10"/>
        <v>0</v>
      </c>
      <c r="F122">
        <f t="shared" ca="1" si="16"/>
        <v>142.6658286356157</v>
      </c>
      <c r="G122">
        <f t="shared" ca="1" si="17"/>
        <v>46.354937703099964</v>
      </c>
      <c r="H122">
        <f t="shared" ca="1" si="11"/>
        <v>150.0077294999999</v>
      </c>
      <c r="I122">
        <f t="shared" ca="1" si="18"/>
        <v>72.000000000000057</v>
      </c>
      <c r="K122">
        <f t="shared" ca="1" si="19"/>
        <v>70.698734632091814</v>
      </c>
    </row>
    <row r="123" spans="1:11" x14ac:dyDescent="0.25">
      <c r="A123">
        <f t="shared" si="12"/>
        <v>0.112</v>
      </c>
      <c r="B123">
        <f t="shared" si="20"/>
        <v>-201.76188464943544</v>
      </c>
      <c r="C123">
        <f t="shared" si="14"/>
        <v>-0.80901699437494823</v>
      </c>
      <c r="D123">
        <f t="shared" si="15"/>
        <v>-0.58778525229247203</v>
      </c>
      <c r="E123">
        <f t="shared" ca="1" si="10"/>
        <v>0</v>
      </c>
      <c r="F123">
        <f t="shared" ca="1" si="16"/>
        <v>142.6658286356157</v>
      </c>
      <c r="G123">
        <f t="shared" ca="1" si="17"/>
        <v>46.354937703099964</v>
      </c>
      <c r="H123">
        <f t="shared" ca="1" si="11"/>
        <v>150.0077294999999</v>
      </c>
      <c r="I123">
        <f t="shared" ca="1" si="18"/>
        <v>72.000000000000057</v>
      </c>
      <c r="K123">
        <f t="shared" ca="1" si="19"/>
        <v>69.275142841647934</v>
      </c>
    </row>
    <row r="124" spans="1:11" x14ac:dyDescent="0.25">
      <c r="A124">
        <f t="shared" si="12"/>
        <v>0.113</v>
      </c>
      <c r="B124">
        <f t="shared" si="20"/>
        <v>-171.62891027167319</v>
      </c>
      <c r="C124">
        <f t="shared" si="14"/>
        <v>-0.5877852522924728</v>
      </c>
      <c r="D124">
        <f t="shared" si="15"/>
        <v>-0.80901699437494767</v>
      </c>
      <c r="E124">
        <f t="shared" ca="1" si="10"/>
        <v>-2.0096990738238672E-15</v>
      </c>
      <c r="F124">
        <f t="shared" ca="1" si="16"/>
        <v>142.6658286356157</v>
      </c>
      <c r="G124">
        <f t="shared" ca="1" si="17"/>
        <v>46.354937703099964</v>
      </c>
      <c r="H124">
        <f t="shared" ca="1" si="11"/>
        <v>150.0077294999999</v>
      </c>
      <c r="I124">
        <f t="shared" ca="1" si="18"/>
        <v>72.000000000000057</v>
      </c>
      <c r="K124">
        <f t="shared" ca="1" si="19"/>
        <v>69.632299313345527</v>
      </c>
    </row>
    <row r="125" spans="1:11" x14ac:dyDescent="0.25">
      <c r="A125">
        <f t="shared" si="12"/>
        <v>0.114</v>
      </c>
      <c r="B125">
        <f t="shared" si="20"/>
        <v>-124.69570234758636</v>
      </c>
      <c r="C125">
        <f t="shared" si="14"/>
        <v>-0.3090169943749454</v>
      </c>
      <c r="D125">
        <f t="shared" si="15"/>
        <v>-0.9510565162951542</v>
      </c>
      <c r="E125">
        <f t="shared" ca="1" si="10"/>
        <v>4.0193981476477345E-14</v>
      </c>
      <c r="F125">
        <f t="shared" ca="1" si="16"/>
        <v>142.6658286356157</v>
      </c>
      <c r="G125">
        <f t="shared" ca="1" si="17"/>
        <v>46.354937703099928</v>
      </c>
      <c r="H125">
        <f t="shared" ca="1" si="11"/>
        <v>150.0077294999999</v>
      </c>
      <c r="I125">
        <f t="shared" ca="1" si="18"/>
        <v>72.000000000000071</v>
      </c>
      <c r="K125">
        <f t="shared" ca="1" si="19"/>
        <v>69.632299313345527</v>
      </c>
    </row>
    <row r="126" spans="1:11" x14ac:dyDescent="0.25">
      <c r="A126">
        <f t="shared" si="12"/>
        <v>0.115</v>
      </c>
      <c r="B126">
        <f t="shared" si="20"/>
        <v>-65.556410271672448</v>
      </c>
      <c r="C126">
        <f t="shared" si="14"/>
        <v>3.9201497950558384E-15</v>
      </c>
      <c r="D126">
        <f t="shared" si="15"/>
        <v>-1</v>
      </c>
      <c r="E126">
        <f t="shared" ca="1" si="10"/>
        <v>4.7227928234860879E-14</v>
      </c>
      <c r="F126">
        <f t="shared" ca="1" si="16"/>
        <v>142.6658286356157</v>
      </c>
      <c r="G126">
        <f t="shared" ca="1" si="17"/>
        <v>46.354937703099878</v>
      </c>
      <c r="H126">
        <f t="shared" ca="1" si="11"/>
        <v>150.0077294999999</v>
      </c>
      <c r="I126">
        <f t="shared" ca="1" si="18"/>
        <v>72.000000000000085</v>
      </c>
      <c r="K126">
        <f t="shared" ca="1" si="19"/>
        <v>67.273659740695336</v>
      </c>
    </row>
    <row r="127" spans="1:11" x14ac:dyDescent="0.25">
      <c r="A127">
        <f t="shared" si="12"/>
        <v>0.11600000000000001</v>
      </c>
      <c r="B127">
        <f t="shared" si="20"/>
        <v>-3.1189094275990705E-13</v>
      </c>
      <c r="C127">
        <f t="shared" si="14"/>
        <v>0.30901699437494606</v>
      </c>
      <c r="D127">
        <f t="shared" si="15"/>
        <v>-0.95105651629515398</v>
      </c>
      <c r="E127">
        <f t="shared" ca="1" si="10"/>
        <v>-5.6969086012471042E-14</v>
      </c>
      <c r="F127">
        <f t="shared" ca="1" si="16"/>
        <v>142.66582863561567</v>
      </c>
      <c r="G127">
        <f t="shared" ca="1" si="17"/>
        <v>46.354937703099935</v>
      </c>
      <c r="H127">
        <f t="shared" ca="1" si="11"/>
        <v>150.00772949999987</v>
      </c>
      <c r="I127">
        <f t="shared" ca="1" si="18"/>
        <v>72.000000000000057</v>
      </c>
      <c r="K127">
        <f t="shared" ca="1" si="19"/>
        <v>61.455817643984261</v>
      </c>
    </row>
    <row r="128" spans="1:11" x14ac:dyDescent="0.25">
      <c r="A128">
        <f t="shared" si="12"/>
        <v>0.11700000000000001</v>
      </c>
      <c r="B128">
        <f t="shared" si="20"/>
        <v>65.556410271673286</v>
      </c>
      <c r="C128">
        <f t="shared" si="14"/>
        <v>0.58778525229247336</v>
      </c>
      <c r="D128">
        <f t="shared" si="15"/>
        <v>-0.80901699437494723</v>
      </c>
      <c r="E128">
        <f t="shared" ca="1" si="10"/>
        <v>-4.0193981476477345E-15</v>
      </c>
      <c r="F128">
        <f t="shared" ca="1" si="16"/>
        <v>142.66582863561567</v>
      </c>
      <c r="G128">
        <f t="shared" ca="1" si="17"/>
        <v>46.354937703099935</v>
      </c>
      <c r="H128">
        <f t="shared" ca="1" si="11"/>
        <v>150.00772949999987</v>
      </c>
      <c r="I128">
        <f t="shared" ca="1" si="18"/>
        <v>72.000000000000057</v>
      </c>
      <c r="K128">
        <f t="shared" ca="1" si="19"/>
        <v>52.399507862023384</v>
      </c>
    </row>
    <row r="129" spans="1:11" x14ac:dyDescent="0.25">
      <c r="A129">
        <f t="shared" si="12"/>
        <v>0.11800000000000001</v>
      </c>
      <c r="B129">
        <f t="shared" si="20"/>
        <v>124.69570234758707</v>
      </c>
      <c r="C129">
        <f t="shared" si="14"/>
        <v>0.80901699437494867</v>
      </c>
      <c r="D129">
        <f t="shared" si="15"/>
        <v>-0.58778525229247147</v>
      </c>
      <c r="E129">
        <f t="shared" ca="1" si="10"/>
        <v>-3.0145486107358008E-15</v>
      </c>
      <c r="F129">
        <f t="shared" ca="1" si="16"/>
        <v>142.66582863561567</v>
      </c>
      <c r="G129">
        <f t="shared" ca="1" si="17"/>
        <v>46.354937703099935</v>
      </c>
      <c r="H129">
        <f t="shared" ca="1" si="11"/>
        <v>150.00772949999987</v>
      </c>
      <c r="I129">
        <f t="shared" ca="1" si="18"/>
        <v>72.000000000000057</v>
      </c>
      <c r="K129">
        <f t="shared" ca="1" si="19"/>
        <v>41.56244981792112</v>
      </c>
    </row>
    <row r="130" spans="1:11" x14ac:dyDescent="0.25">
      <c r="A130">
        <f t="shared" si="12"/>
        <v>0.11900000000000001</v>
      </c>
      <c r="B130">
        <f t="shared" si="20"/>
        <v>171.6289102716737</v>
      </c>
      <c r="C130">
        <f t="shared" si="14"/>
        <v>0.95105651629515475</v>
      </c>
      <c r="D130">
        <f t="shared" si="15"/>
        <v>-0.30901699437494373</v>
      </c>
      <c r="E130">
        <f t="shared" ca="1" si="10"/>
        <v>6.0290972214716014E-14</v>
      </c>
      <c r="F130">
        <f t="shared" ca="1" si="16"/>
        <v>142.66582863561572</v>
      </c>
      <c r="G130">
        <f t="shared" ca="1" si="17"/>
        <v>46.354937703099914</v>
      </c>
      <c r="H130">
        <f t="shared" ca="1" si="11"/>
        <v>150.00772949999993</v>
      </c>
      <c r="I130">
        <f t="shared" ca="1" si="18"/>
        <v>72.000000000000071</v>
      </c>
      <c r="K130">
        <f t="shared" ca="1" si="19"/>
        <v>31.082548245516463</v>
      </c>
    </row>
    <row r="131" spans="1:11" x14ac:dyDescent="0.25">
      <c r="A131">
        <f t="shared" si="12"/>
        <v>0.12</v>
      </c>
      <c r="B131">
        <f t="shared" si="20"/>
        <v>201.76188464943527</v>
      </c>
      <c r="C131">
        <f t="shared" si="14"/>
        <v>1</v>
      </c>
      <c r="D131">
        <f t="shared" si="15"/>
        <v>-1.470178145890344E-15</v>
      </c>
      <c r="E131">
        <f t="shared" ca="1" si="10"/>
        <v>0</v>
      </c>
      <c r="F131">
        <f t="shared" ca="1" si="16"/>
        <v>142.66582863561572</v>
      </c>
      <c r="G131">
        <f t="shared" ca="1" si="17"/>
        <v>46.354937703099914</v>
      </c>
      <c r="H131">
        <f t="shared" ca="1" si="11"/>
        <v>150.00772949999993</v>
      </c>
      <c r="I131">
        <f t="shared" ca="1" si="18"/>
        <v>72.000000000000071</v>
      </c>
      <c r="K131">
        <f t="shared" ca="1" si="19"/>
        <v>22.961286245761926</v>
      </c>
    </row>
    <row r="132" spans="1:11" x14ac:dyDescent="0.25">
      <c r="A132">
        <f t="shared" si="12"/>
        <v>0.121</v>
      </c>
      <c r="B132">
        <f t="shared" si="20"/>
        <v>212.14500000000001</v>
      </c>
      <c r="C132">
        <f t="shared" si="14"/>
        <v>0.95105651629515353</v>
      </c>
      <c r="D132">
        <f t="shared" si="15"/>
        <v>0.30901699437494773</v>
      </c>
      <c r="E132">
        <f t="shared" ca="1" si="10"/>
        <v>0</v>
      </c>
      <c r="F132">
        <f t="shared" ca="1" si="16"/>
        <v>142.66582863561572</v>
      </c>
      <c r="G132">
        <f t="shared" ca="1" si="17"/>
        <v>46.354937703099914</v>
      </c>
      <c r="H132">
        <f t="shared" ca="1" si="11"/>
        <v>150.00772949999993</v>
      </c>
      <c r="I132">
        <f t="shared" ca="1" si="18"/>
        <v>72.000000000000071</v>
      </c>
      <c r="K132">
        <f t="shared" ca="1" si="19"/>
        <v>18.299226770068287</v>
      </c>
    </row>
    <row r="133" spans="1:11" x14ac:dyDescent="0.25">
      <c r="A133">
        <f t="shared" si="12"/>
        <v>0.122</v>
      </c>
      <c r="B133">
        <f t="shared" si="20"/>
        <v>201.76188464943525</v>
      </c>
      <c r="C133">
        <f t="shared" si="14"/>
        <v>0.80901699437494623</v>
      </c>
      <c r="D133">
        <f t="shared" si="15"/>
        <v>0.5877852522924748</v>
      </c>
      <c r="E133">
        <f t="shared" ca="1" si="10"/>
        <v>2.0096990738238672E-15</v>
      </c>
      <c r="F133">
        <f t="shared" ca="1" si="16"/>
        <v>142.66582863561572</v>
      </c>
      <c r="G133">
        <f t="shared" ca="1" si="17"/>
        <v>46.354937703099914</v>
      </c>
      <c r="H133">
        <f t="shared" ca="1" si="11"/>
        <v>150.00772949999993</v>
      </c>
      <c r="I133">
        <f t="shared" ca="1" si="18"/>
        <v>72.000000000000071</v>
      </c>
      <c r="K133">
        <f t="shared" ca="1" si="19"/>
        <v>16.875634979624436</v>
      </c>
    </row>
    <row r="134" spans="1:11" x14ac:dyDescent="0.25">
      <c r="A134">
        <f t="shared" si="12"/>
        <v>0.123</v>
      </c>
      <c r="B134">
        <f t="shared" si="20"/>
        <v>171.62891027167365</v>
      </c>
      <c r="C134">
        <f t="shared" si="14"/>
        <v>0.5877852522924758</v>
      </c>
      <c r="D134">
        <f t="shared" si="15"/>
        <v>0.80901699437494545</v>
      </c>
      <c r="E134">
        <f t="shared" ca="1" si="10"/>
        <v>6.632006943618762E-14</v>
      </c>
      <c r="F134">
        <f t="shared" ca="1" si="16"/>
        <v>142.66582863561575</v>
      </c>
      <c r="G134">
        <f t="shared" ca="1" si="17"/>
        <v>46.354937703099971</v>
      </c>
      <c r="H134">
        <f t="shared" ca="1" si="11"/>
        <v>150.00772949999995</v>
      </c>
      <c r="I134">
        <f t="shared" ca="1" si="18"/>
        <v>72.000000000000057</v>
      </c>
      <c r="K134">
        <f t="shared" ca="1" si="19"/>
        <v>17.232791451322072</v>
      </c>
    </row>
    <row r="135" spans="1:11" x14ac:dyDescent="0.25">
      <c r="A135">
        <f t="shared" si="12"/>
        <v>0.124</v>
      </c>
      <c r="B135">
        <f t="shared" si="20"/>
        <v>124.69570234758697</v>
      </c>
      <c r="C135">
        <f t="shared" si="14"/>
        <v>0.30901699437494889</v>
      </c>
      <c r="D135">
        <f t="shared" si="15"/>
        <v>0.95105651629515309</v>
      </c>
      <c r="E135">
        <f t="shared" ca="1" si="10"/>
        <v>8.742190971133823E-14</v>
      </c>
      <c r="F135">
        <f t="shared" ca="1" si="16"/>
        <v>142.66582863561578</v>
      </c>
      <c r="G135">
        <f t="shared" ca="1" si="17"/>
        <v>46.354937703100056</v>
      </c>
      <c r="H135">
        <f t="shared" ca="1" si="11"/>
        <v>150.00772950000001</v>
      </c>
      <c r="I135">
        <f t="shared" ca="1" si="18"/>
        <v>72.000000000000043</v>
      </c>
      <c r="K135">
        <f t="shared" ca="1" si="19"/>
        <v>17.2327914513221</v>
      </c>
    </row>
    <row r="136" spans="1:11" x14ac:dyDescent="0.25">
      <c r="A136">
        <f t="shared" si="12"/>
        <v>0.125</v>
      </c>
      <c r="B136">
        <f t="shared" si="20"/>
        <v>65.556410271673187</v>
      </c>
      <c r="C136">
        <f t="shared" si="14"/>
        <v>-2.4492127076447545E-16</v>
      </c>
      <c r="D136">
        <f t="shared" si="15"/>
        <v>1</v>
      </c>
      <c r="E136">
        <f t="shared" ca="1" si="10"/>
        <v>4.0193981476477345E-15</v>
      </c>
      <c r="F136">
        <f t="shared" ca="1" si="16"/>
        <v>142.66582863561578</v>
      </c>
      <c r="G136">
        <f t="shared" ca="1" si="17"/>
        <v>46.354937703100063</v>
      </c>
      <c r="H136">
        <f t="shared" ca="1" si="11"/>
        <v>150.00772950000001</v>
      </c>
      <c r="I136">
        <f t="shared" ca="1" si="18"/>
        <v>72.000000000000043</v>
      </c>
      <c r="K136">
        <f t="shared" ca="1" si="19"/>
        <v>14.874151878671924</v>
      </c>
    </row>
    <row r="137" spans="1:11" x14ac:dyDescent="0.25">
      <c r="A137">
        <f t="shared" si="12"/>
        <v>0.126</v>
      </c>
      <c r="B137">
        <f t="shared" si="20"/>
        <v>-4.1580858873256633E-13</v>
      </c>
      <c r="C137">
        <f t="shared" si="14"/>
        <v>-0.30901699437494934</v>
      </c>
      <c r="D137">
        <f t="shared" si="15"/>
        <v>0.95105651629515298</v>
      </c>
      <c r="E137">
        <f t="shared" ca="1" si="10"/>
        <v>3.6756347604255022E-15</v>
      </c>
      <c r="F137">
        <f t="shared" ca="1" si="16"/>
        <v>142.66582863561578</v>
      </c>
      <c r="G137">
        <f t="shared" ca="1" si="17"/>
        <v>46.354937703100063</v>
      </c>
      <c r="H137">
        <f t="shared" ca="1" si="11"/>
        <v>150.00772950000001</v>
      </c>
      <c r="I137">
        <f t="shared" ca="1" si="18"/>
        <v>72.000000000000043</v>
      </c>
      <c r="K137">
        <f t="shared" ca="1" si="19"/>
        <v>9.0563097819609482</v>
      </c>
    </row>
    <row r="138" spans="1:11" x14ac:dyDescent="0.25">
      <c r="A138">
        <f t="shared" si="12"/>
        <v>0.127</v>
      </c>
      <c r="B138">
        <f t="shared" si="20"/>
        <v>-65.556410271673968</v>
      </c>
      <c r="C138">
        <f t="shared" si="14"/>
        <v>-0.58778525229247613</v>
      </c>
      <c r="D138">
        <f t="shared" si="15"/>
        <v>0.80901699437494523</v>
      </c>
      <c r="E138">
        <f t="shared" ca="1" si="10"/>
        <v>-9.7470405080457561E-14</v>
      </c>
      <c r="F138">
        <f t="shared" ca="1" si="16"/>
        <v>142.66582863561584</v>
      </c>
      <c r="G138">
        <f t="shared" ca="1" si="17"/>
        <v>46.354937703099985</v>
      </c>
      <c r="H138">
        <f t="shared" ca="1" si="11"/>
        <v>150.00772950000004</v>
      </c>
      <c r="I138">
        <f t="shared" ca="1" si="18"/>
        <v>72.000000000000057</v>
      </c>
      <c r="K138">
        <f t="shared" ca="1" si="19"/>
        <v>0</v>
      </c>
    </row>
    <row r="139" spans="1:11" x14ac:dyDescent="0.25">
      <c r="A139">
        <f t="shared" si="12"/>
        <v>0.128</v>
      </c>
      <c r="B139">
        <f t="shared" si="20"/>
        <v>-124.69570234758643</v>
      </c>
      <c r="C139">
        <f t="shared" si="14"/>
        <v>-0.80901699437494645</v>
      </c>
      <c r="D139">
        <f t="shared" si="15"/>
        <v>0.58778525229247436</v>
      </c>
      <c r="E139">
        <f t="shared" ref="E139:E202" ca="1" si="21">(1.4142/$B$2)*(B139-IF((ROW($A139)-ROW($A$11))&lt;$B$2,0,OFFSET($B139,-$B$2,0)))</f>
        <v>4.0193981476477345E-15</v>
      </c>
      <c r="F139">
        <f t="shared" ca="1" si="16"/>
        <v>142.66582863561584</v>
      </c>
      <c r="G139">
        <f t="shared" ca="1" si="17"/>
        <v>46.354937703099985</v>
      </c>
      <c r="H139">
        <f t="shared" ref="H139:H202" ca="1" si="22">IF(F139="","",SQRT(F139^2+G139^2))</f>
        <v>150.00772950000004</v>
      </c>
      <c r="I139">
        <f t="shared" ca="1" si="18"/>
        <v>72.000000000000057</v>
      </c>
      <c r="K139">
        <f t="shared" ca="1" si="19"/>
        <v>0</v>
      </c>
    </row>
    <row r="140" spans="1:11" x14ac:dyDescent="0.25">
      <c r="A140">
        <f t="shared" ref="A140:A203" si="23">(ROW($A140)-ROW($A$11))*$B$4+$B$5</f>
        <v>0.129</v>
      </c>
      <c r="B140">
        <f t="shared" si="20"/>
        <v>-171.62891027167325</v>
      </c>
      <c r="C140">
        <f t="shared" ref="C140:C203" si="24">COS($A140*$C$1)</f>
        <v>-0.95105651629515364</v>
      </c>
      <c r="D140">
        <f t="shared" ref="D140:D203" si="25">SIN($A140*$C$1)</f>
        <v>0.30901699437494723</v>
      </c>
      <c r="E140">
        <f t="shared" ca="1" si="21"/>
        <v>2.0096990738238672E-15</v>
      </c>
      <c r="F140">
        <f t="shared" ref="F140:F203" ca="1" si="26">F139+$E140*COS($A140*$C$1)</f>
        <v>142.66582863561584</v>
      </c>
      <c r="G140">
        <f t="shared" ref="G140:G203" ca="1" si="27">G139+$E140*SIN($A140*$C$1)</f>
        <v>46.354937703099985</v>
      </c>
      <c r="H140">
        <f t="shared" ca="1" si="22"/>
        <v>150.00772950000004</v>
      </c>
      <c r="I140">
        <f t="shared" ref="I140:I203" ca="1" si="28">IF(F140="","",ATAN2(G140,F140)*180/PI())</f>
        <v>72.000000000000057</v>
      </c>
      <c r="K140">
        <f t="shared" ca="1" si="19"/>
        <v>0</v>
      </c>
    </row>
    <row r="141" spans="1:11" x14ac:dyDescent="0.25">
      <c r="A141">
        <f t="shared" si="23"/>
        <v>0.13</v>
      </c>
      <c r="B141">
        <f t="shared" si="20"/>
        <v>-201.7618846494355</v>
      </c>
      <c r="C141">
        <f t="shared" si="24"/>
        <v>-1</v>
      </c>
      <c r="D141">
        <f t="shared" si="25"/>
        <v>-1.9600206874192949E-15</v>
      </c>
      <c r="E141">
        <f t="shared" ca="1" si="21"/>
        <v>0</v>
      </c>
      <c r="F141">
        <f t="shared" ca="1" si="26"/>
        <v>142.66582863561584</v>
      </c>
      <c r="G141">
        <f t="shared" ca="1" si="27"/>
        <v>46.354937703099985</v>
      </c>
      <c r="H141">
        <f t="shared" ca="1" si="22"/>
        <v>150.00772950000004</v>
      </c>
      <c r="I141">
        <f t="shared" ca="1" si="28"/>
        <v>72.000000000000057</v>
      </c>
      <c r="K141">
        <f t="shared" ca="1" si="19"/>
        <v>0</v>
      </c>
    </row>
    <row r="142" spans="1:11" x14ac:dyDescent="0.25">
      <c r="A142">
        <f t="shared" si="23"/>
        <v>0.13100000000000001</v>
      </c>
      <c r="B142">
        <f t="shared" si="20"/>
        <v>-212.14500000000001</v>
      </c>
      <c r="C142">
        <f t="shared" si="24"/>
        <v>-0.95105651629515242</v>
      </c>
      <c r="D142">
        <f t="shared" si="25"/>
        <v>-0.30901699437495095</v>
      </c>
      <c r="E142">
        <f t="shared" ca="1" si="21"/>
        <v>0</v>
      </c>
      <c r="F142">
        <f t="shared" ca="1" si="26"/>
        <v>142.66582863561584</v>
      </c>
      <c r="G142">
        <f t="shared" ca="1" si="27"/>
        <v>46.354937703099985</v>
      </c>
      <c r="H142">
        <f t="shared" ca="1" si="22"/>
        <v>150.00772950000004</v>
      </c>
      <c r="I142">
        <f t="shared" ca="1" si="28"/>
        <v>72.000000000000057</v>
      </c>
      <c r="K142">
        <f t="shared" ca="1" si="19"/>
        <v>0</v>
      </c>
    </row>
    <row r="143" spans="1:11" x14ac:dyDescent="0.25">
      <c r="A143">
        <f t="shared" si="23"/>
        <v>0.13200000000000001</v>
      </c>
      <c r="B143">
        <f t="shared" si="20"/>
        <v>-201.76188464943499</v>
      </c>
      <c r="C143">
        <f t="shared" si="24"/>
        <v>-0.80901699437494423</v>
      </c>
      <c r="D143">
        <f t="shared" si="25"/>
        <v>-0.58778525229247758</v>
      </c>
      <c r="E143">
        <f t="shared" ca="1" si="21"/>
        <v>3.2155185181181876E-14</v>
      </c>
      <c r="F143">
        <f t="shared" ca="1" si="26"/>
        <v>142.66582863561581</v>
      </c>
      <c r="G143">
        <f t="shared" ca="1" si="27"/>
        <v>46.354937703099964</v>
      </c>
      <c r="H143">
        <f t="shared" ca="1" si="22"/>
        <v>150.00772950000001</v>
      </c>
      <c r="I143">
        <f t="shared" ca="1" si="28"/>
        <v>72.000000000000071</v>
      </c>
      <c r="K143">
        <f t="shared" ca="1" si="19"/>
        <v>0</v>
      </c>
    </row>
    <row r="144" spans="1:11" x14ac:dyDescent="0.25">
      <c r="A144">
        <f t="shared" si="23"/>
        <v>0.13300000000000001</v>
      </c>
      <c r="B144">
        <f t="shared" si="20"/>
        <v>-171.62891027167322</v>
      </c>
      <c r="C144">
        <f t="shared" si="24"/>
        <v>-0.58778525229247303</v>
      </c>
      <c r="D144">
        <f t="shared" si="25"/>
        <v>-0.80901699437494756</v>
      </c>
      <c r="E144">
        <f t="shared" ca="1" si="21"/>
        <v>-2.0096990738238672E-15</v>
      </c>
      <c r="F144">
        <f t="shared" ca="1" si="26"/>
        <v>142.66582863561581</v>
      </c>
      <c r="G144">
        <f t="shared" ca="1" si="27"/>
        <v>46.354937703099964</v>
      </c>
      <c r="H144">
        <f t="shared" ca="1" si="22"/>
        <v>150.00772950000001</v>
      </c>
      <c r="I144">
        <f t="shared" ca="1" si="28"/>
        <v>72.000000000000071</v>
      </c>
      <c r="K144">
        <f t="shared" ca="1" si="19"/>
        <v>0</v>
      </c>
    </row>
    <row r="145" spans="1:11" x14ac:dyDescent="0.25">
      <c r="A145">
        <f t="shared" si="23"/>
        <v>0.13400000000000001</v>
      </c>
      <c r="B145">
        <f t="shared" si="20"/>
        <v>-124.69570234758639</v>
      </c>
      <c r="C145">
        <f t="shared" si="24"/>
        <v>-0.30901699437494562</v>
      </c>
      <c r="D145">
        <f t="shared" si="25"/>
        <v>-0.9510565162951542</v>
      </c>
      <c r="E145">
        <f t="shared" ca="1" si="21"/>
        <v>-2.0096990738238672E-15</v>
      </c>
      <c r="F145">
        <f t="shared" ca="1" si="26"/>
        <v>142.66582863561581</v>
      </c>
      <c r="G145">
        <f t="shared" ca="1" si="27"/>
        <v>46.354937703099964</v>
      </c>
      <c r="H145">
        <f t="shared" ca="1" si="22"/>
        <v>150.00772950000001</v>
      </c>
      <c r="I145">
        <f t="shared" ca="1" si="28"/>
        <v>72.000000000000071</v>
      </c>
      <c r="K145">
        <f t="shared" ca="1" si="19"/>
        <v>0</v>
      </c>
    </row>
    <row r="146" spans="1:11" x14ac:dyDescent="0.25">
      <c r="A146">
        <f t="shared" si="23"/>
        <v>0.13500000000000001</v>
      </c>
      <c r="B146">
        <f t="shared" si="20"/>
        <v>-65.55641027167249</v>
      </c>
      <c r="C146">
        <f t="shared" si="24"/>
        <v>3.6751201040741144E-15</v>
      </c>
      <c r="D146">
        <f t="shared" si="25"/>
        <v>-1</v>
      </c>
      <c r="E146">
        <f t="shared" ca="1" si="21"/>
        <v>-3.0145486107358008E-15</v>
      </c>
      <c r="F146">
        <f t="shared" ca="1" si="26"/>
        <v>142.66582863561581</v>
      </c>
      <c r="G146">
        <f t="shared" ca="1" si="27"/>
        <v>46.354937703099964</v>
      </c>
      <c r="H146">
        <f t="shared" ca="1" si="22"/>
        <v>150.00772950000001</v>
      </c>
      <c r="I146">
        <f t="shared" ca="1" si="28"/>
        <v>72.000000000000071</v>
      </c>
      <c r="K146">
        <f t="shared" ca="1" si="19"/>
        <v>0</v>
      </c>
    </row>
    <row r="147" spans="1:11" x14ac:dyDescent="0.25">
      <c r="A147">
        <f t="shared" si="23"/>
        <v>0.13600000000000001</v>
      </c>
      <c r="B147">
        <f t="shared" si="20"/>
        <v>1.1435081202250397E-12</v>
      </c>
      <c r="C147">
        <f t="shared" si="24"/>
        <v>0.30901699437495261</v>
      </c>
      <c r="D147">
        <f t="shared" si="25"/>
        <v>-0.95105651629515187</v>
      </c>
      <c r="E147">
        <f t="shared" ca="1" si="21"/>
        <v>1.0291126774366557E-13</v>
      </c>
      <c r="F147">
        <f t="shared" ca="1" si="26"/>
        <v>142.66582863561584</v>
      </c>
      <c r="G147">
        <f t="shared" ca="1" si="27"/>
        <v>46.354937703099864</v>
      </c>
      <c r="H147">
        <f t="shared" ca="1" si="22"/>
        <v>150.00772950000001</v>
      </c>
      <c r="I147">
        <f t="shared" ca="1" si="28"/>
        <v>72.000000000000114</v>
      </c>
      <c r="K147">
        <f t="shared" ca="1" si="19"/>
        <v>0</v>
      </c>
    </row>
    <row r="148" spans="1:11" x14ac:dyDescent="0.25">
      <c r="A148">
        <f t="shared" si="23"/>
        <v>0.13700000000000001</v>
      </c>
      <c r="B148">
        <f t="shared" si="20"/>
        <v>65.556410271673229</v>
      </c>
      <c r="C148">
        <f t="shared" si="24"/>
        <v>0.58778525229247325</v>
      </c>
      <c r="D148">
        <f t="shared" si="25"/>
        <v>-0.80901699437494734</v>
      </c>
      <c r="E148">
        <f t="shared" ca="1" si="21"/>
        <v>-4.0193981476477345E-15</v>
      </c>
      <c r="F148">
        <f t="shared" ca="1" si="26"/>
        <v>142.66582863561584</v>
      </c>
      <c r="G148">
        <f t="shared" ca="1" si="27"/>
        <v>46.354937703099864</v>
      </c>
      <c r="H148">
        <f t="shared" ca="1" si="22"/>
        <v>150.00772950000001</v>
      </c>
      <c r="I148">
        <f t="shared" ca="1" si="28"/>
        <v>72.000000000000114</v>
      </c>
      <c r="K148">
        <f t="shared" ca="1" si="19"/>
        <v>0</v>
      </c>
    </row>
    <row r="149" spans="1:11" x14ac:dyDescent="0.25">
      <c r="A149">
        <f t="shared" si="23"/>
        <v>0.13800000000000001</v>
      </c>
      <c r="B149">
        <f t="shared" si="20"/>
        <v>124.69570234758703</v>
      </c>
      <c r="C149">
        <f t="shared" si="24"/>
        <v>0.80901699437494856</v>
      </c>
      <c r="D149">
        <f t="shared" si="25"/>
        <v>-0.58778525229247158</v>
      </c>
      <c r="E149">
        <f t="shared" ca="1" si="21"/>
        <v>-3.0145486107358008E-15</v>
      </c>
      <c r="F149">
        <f t="shared" ca="1" si="26"/>
        <v>142.66582863561584</v>
      </c>
      <c r="G149">
        <f t="shared" ca="1" si="27"/>
        <v>46.354937703099864</v>
      </c>
      <c r="H149">
        <f t="shared" ca="1" si="22"/>
        <v>150.00772950000001</v>
      </c>
      <c r="I149">
        <f t="shared" ca="1" si="28"/>
        <v>72.000000000000114</v>
      </c>
      <c r="K149">
        <f t="shared" ca="1" si="19"/>
        <v>0</v>
      </c>
    </row>
    <row r="150" spans="1:11" x14ac:dyDescent="0.25">
      <c r="A150">
        <f t="shared" si="23"/>
        <v>0.13900000000000001</v>
      </c>
      <c r="B150">
        <f t="shared" si="20"/>
        <v>171.62891027167367</v>
      </c>
      <c r="C150">
        <f t="shared" si="24"/>
        <v>0.95105651629515464</v>
      </c>
      <c r="D150">
        <f t="shared" si="25"/>
        <v>-0.30901699437494395</v>
      </c>
      <c r="E150">
        <f t="shared" ca="1" si="21"/>
        <v>-2.0096990738238672E-15</v>
      </c>
      <c r="F150">
        <f t="shared" ca="1" si="26"/>
        <v>142.66582863561584</v>
      </c>
      <c r="G150">
        <f t="shared" ca="1" si="27"/>
        <v>46.354937703099864</v>
      </c>
      <c r="H150">
        <f t="shared" ca="1" si="22"/>
        <v>150.00772950000001</v>
      </c>
      <c r="I150">
        <f t="shared" ca="1" si="28"/>
        <v>72.000000000000114</v>
      </c>
      <c r="K150">
        <f t="shared" ca="1" si="19"/>
        <v>0</v>
      </c>
    </row>
    <row r="151" spans="1:11" x14ac:dyDescent="0.25">
      <c r="A151">
        <f t="shared" si="23"/>
        <v>0.14000000000000001</v>
      </c>
      <c r="B151">
        <f t="shared" si="20"/>
        <v>201.7618846494357</v>
      </c>
      <c r="C151">
        <f t="shared" si="24"/>
        <v>1</v>
      </c>
      <c r="D151">
        <f t="shared" si="25"/>
        <v>5.3902195207289338E-15</v>
      </c>
      <c r="E151">
        <f t="shared" ca="1" si="21"/>
        <v>3.0145486107358007E-14</v>
      </c>
      <c r="F151">
        <f t="shared" ca="1" si="26"/>
        <v>142.66582863561587</v>
      </c>
      <c r="G151">
        <f t="shared" ca="1" si="27"/>
        <v>46.354937703099864</v>
      </c>
      <c r="H151">
        <f t="shared" ca="1" si="22"/>
        <v>150.00772950000004</v>
      </c>
      <c r="I151">
        <f t="shared" ca="1" si="28"/>
        <v>72.000000000000114</v>
      </c>
      <c r="K151">
        <f t="shared" ca="1" si="19"/>
        <v>0</v>
      </c>
    </row>
    <row r="152" spans="1:11" x14ac:dyDescent="0.25">
      <c r="A152">
        <f t="shared" si="23"/>
        <v>0.14100000000000001</v>
      </c>
      <c r="B152">
        <f t="shared" si="20"/>
        <v>212.14500000000001</v>
      </c>
      <c r="C152">
        <f t="shared" si="24"/>
        <v>0.95105651629515131</v>
      </c>
      <c r="D152">
        <f t="shared" si="25"/>
        <v>0.30901699437495422</v>
      </c>
      <c r="E152">
        <f t="shared" ca="1" si="21"/>
        <v>0</v>
      </c>
      <c r="F152">
        <f t="shared" ca="1" si="26"/>
        <v>142.66582863561587</v>
      </c>
      <c r="G152">
        <f t="shared" ca="1" si="27"/>
        <v>46.354937703099864</v>
      </c>
      <c r="H152">
        <f t="shared" ca="1" si="22"/>
        <v>150.00772950000004</v>
      </c>
      <c r="I152">
        <f t="shared" ca="1" si="28"/>
        <v>72.000000000000114</v>
      </c>
      <c r="K152">
        <f t="shared" ca="1" si="19"/>
        <v>0</v>
      </c>
    </row>
    <row r="153" spans="1:11" x14ac:dyDescent="0.25">
      <c r="A153">
        <f t="shared" si="23"/>
        <v>0.14200000000000002</v>
      </c>
      <c r="B153">
        <f t="shared" si="20"/>
        <v>201.76188464943525</v>
      </c>
      <c r="C153">
        <f t="shared" si="24"/>
        <v>0.80901699437494634</v>
      </c>
      <c r="D153">
        <f t="shared" si="25"/>
        <v>0.58778525229247458</v>
      </c>
      <c r="E153">
        <f t="shared" ca="1" si="21"/>
        <v>0</v>
      </c>
      <c r="F153">
        <f t="shared" ca="1" si="26"/>
        <v>142.66582863561587</v>
      </c>
      <c r="G153">
        <f t="shared" ca="1" si="27"/>
        <v>46.354937703099864</v>
      </c>
      <c r="H153">
        <f t="shared" ca="1" si="22"/>
        <v>150.00772950000004</v>
      </c>
      <c r="I153">
        <f t="shared" ca="1" si="28"/>
        <v>72.000000000000114</v>
      </c>
      <c r="K153">
        <f t="shared" ca="1" si="19"/>
        <v>0</v>
      </c>
    </row>
    <row r="154" spans="1:11" x14ac:dyDescent="0.25">
      <c r="A154">
        <f t="shared" si="23"/>
        <v>0.14300000000000002</v>
      </c>
      <c r="B154">
        <f t="shared" si="20"/>
        <v>171.62891027167279</v>
      </c>
      <c r="C154">
        <f t="shared" si="24"/>
        <v>0.58778525229247025</v>
      </c>
      <c r="D154">
        <f t="shared" si="25"/>
        <v>0.80901699437494956</v>
      </c>
      <c r="E154">
        <f t="shared" ca="1" si="21"/>
        <v>-6.0290972214716014E-14</v>
      </c>
      <c r="F154">
        <f t="shared" ca="1" si="26"/>
        <v>142.66582863561584</v>
      </c>
      <c r="G154">
        <f t="shared" ca="1" si="27"/>
        <v>46.354937703099814</v>
      </c>
      <c r="H154">
        <f t="shared" ca="1" si="22"/>
        <v>150.00772949999998</v>
      </c>
      <c r="I154">
        <f t="shared" ca="1" si="28"/>
        <v>72.000000000000128</v>
      </c>
      <c r="K154">
        <f t="shared" ca="1" si="19"/>
        <v>0</v>
      </c>
    </row>
    <row r="155" spans="1:11" x14ac:dyDescent="0.25">
      <c r="A155">
        <f t="shared" si="23"/>
        <v>0.14400000000000002</v>
      </c>
      <c r="B155">
        <f t="shared" si="20"/>
        <v>124.69570234758581</v>
      </c>
      <c r="C155">
        <f t="shared" si="24"/>
        <v>0.30901699437494234</v>
      </c>
      <c r="D155">
        <f t="shared" si="25"/>
        <v>0.9510565162951552</v>
      </c>
      <c r="E155">
        <f t="shared" ca="1" si="21"/>
        <v>-8.2397662026778558E-14</v>
      </c>
      <c r="F155">
        <f t="shared" ca="1" si="26"/>
        <v>142.66582863561581</v>
      </c>
      <c r="G155">
        <f t="shared" ca="1" si="27"/>
        <v>46.354937703099736</v>
      </c>
      <c r="H155">
        <f t="shared" ca="1" si="22"/>
        <v>150.00772949999995</v>
      </c>
      <c r="I155">
        <f t="shared" ca="1" si="28"/>
        <v>72.000000000000156</v>
      </c>
      <c r="K155">
        <f t="shared" ca="1" si="19"/>
        <v>0</v>
      </c>
    </row>
    <row r="156" spans="1:11" x14ac:dyDescent="0.25">
      <c r="A156">
        <f t="shared" si="23"/>
        <v>0.14499999999999999</v>
      </c>
      <c r="B156">
        <f t="shared" si="20"/>
        <v>65.556410271673229</v>
      </c>
      <c r="C156">
        <f t="shared" si="24"/>
        <v>1.0842021724855044E-19</v>
      </c>
      <c r="D156">
        <f t="shared" si="25"/>
        <v>1</v>
      </c>
      <c r="E156">
        <f t="shared" ca="1" si="21"/>
        <v>3.0145486107358008E-15</v>
      </c>
      <c r="F156">
        <f t="shared" ca="1" si="26"/>
        <v>142.66582863561581</v>
      </c>
      <c r="G156">
        <f t="shared" ca="1" si="27"/>
        <v>46.354937703099736</v>
      </c>
      <c r="H156">
        <f t="shared" ca="1" si="22"/>
        <v>150.00772949999995</v>
      </c>
      <c r="I156">
        <f t="shared" ca="1" si="28"/>
        <v>72.000000000000156</v>
      </c>
      <c r="K156">
        <f t="shared" ca="1" si="19"/>
        <v>0</v>
      </c>
    </row>
    <row r="157" spans="1:11" x14ac:dyDescent="0.25">
      <c r="A157">
        <f t="shared" si="23"/>
        <v>0.14599999999999999</v>
      </c>
      <c r="B157">
        <f t="shared" si="20"/>
        <v>1.1435541218390162E-12</v>
      </c>
      <c r="C157">
        <f t="shared" si="24"/>
        <v>-0.30901699437494234</v>
      </c>
      <c r="D157">
        <f t="shared" si="25"/>
        <v>0.9510565162951552</v>
      </c>
      <c r="E157">
        <f t="shared" ca="1" si="21"/>
        <v>1.1026253726451659E-13</v>
      </c>
      <c r="F157">
        <f t="shared" ca="1" si="26"/>
        <v>142.66582863561578</v>
      </c>
      <c r="G157">
        <f t="shared" ca="1" si="27"/>
        <v>46.354937703099843</v>
      </c>
      <c r="H157">
        <f t="shared" ca="1" si="22"/>
        <v>150.00772949999995</v>
      </c>
      <c r="I157">
        <f t="shared" ca="1" si="28"/>
        <v>72.000000000000114</v>
      </c>
      <c r="K157">
        <f t="shared" ca="1" si="19"/>
        <v>0</v>
      </c>
    </row>
    <row r="158" spans="1:11" x14ac:dyDescent="0.25">
      <c r="A158">
        <f t="shared" si="23"/>
        <v>0.14699999999999999</v>
      </c>
      <c r="B158">
        <f t="shared" si="20"/>
        <v>-65.55641027167249</v>
      </c>
      <c r="C158">
        <f t="shared" si="24"/>
        <v>-0.58778525229247025</v>
      </c>
      <c r="D158">
        <f t="shared" si="25"/>
        <v>0.80901699437494956</v>
      </c>
      <c r="E158">
        <f t="shared" ca="1" si="21"/>
        <v>1.045043518388411E-13</v>
      </c>
      <c r="F158">
        <f t="shared" ca="1" si="26"/>
        <v>142.66582863561572</v>
      </c>
      <c r="G158">
        <f t="shared" ca="1" si="27"/>
        <v>46.354937703099928</v>
      </c>
      <c r="H158">
        <f t="shared" ca="1" si="22"/>
        <v>150.00772949999993</v>
      </c>
      <c r="I158">
        <f t="shared" ca="1" si="28"/>
        <v>72.000000000000071</v>
      </c>
      <c r="K158">
        <f t="shared" ca="1" si="19"/>
        <v>0</v>
      </c>
    </row>
    <row r="159" spans="1:11" x14ac:dyDescent="0.25">
      <c r="A159">
        <f t="shared" si="23"/>
        <v>0.14799999999999999</v>
      </c>
      <c r="B159">
        <f t="shared" si="20"/>
        <v>-124.69570234758639</v>
      </c>
      <c r="C159">
        <f t="shared" si="24"/>
        <v>-0.80901699437494634</v>
      </c>
      <c r="D159">
        <f t="shared" si="25"/>
        <v>0.58778525229247458</v>
      </c>
      <c r="E159">
        <f t="shared" ca="1" si="21"/>
        <v>3.0145486107358008E-15</v>
      </c>
      <c r="F159">
        <f t="shared" ca="1" si="26"/>
        <v>142.66582863561572</v>
      </c>
      <c r="G159">
        <f t="shared" ca="1" si="27"/>
        <v>46.354937703099928</v>
      </c>
      <c r="H159">
        <f t="shared" ca="1" si="22"/>
        <v>150.00772949999993</v>
      </c>
      <c r="I159">
        <f t="shared" ca="1" si="28"/>
        <v>72.000000000000071</v>
      </c>
      <c r="K159">
        <f t="shared" ref="K159:K222" ca="1" si="29">F159-F140</f>
        <v>0</v>
      </c>
    </row>
    <row r="160" spans="1:11" x14ac:dyDescent="0.25">
      <c r="A160">
        <f t="shared" si="23"/>
        <v>0.14899999999999999</v>
      </c>
      <c r="B160">
        <f t="shared" si="20"/>
        <v>-171.62891027167322</v>
      </c>
      <c r="C160">
        <f t="shared" si="24"/>
        <v>-0.95105651629515353</v>
      </c>
      <c r="D160">
        <f t="shared" si="25"/>
        <v>0.30901699437494745</v>
      </c>
      <c r="E160">
        <f t="shared" ca="1" si="21"/>
        <v>2.0096990738238672E-15</v>
      </c>
      <c r="F160">
        <f t="shared" ca="1" si="26"/>
        <v>142.66582863561572</v>
      </c>
      <c r="G160">
        <f t="shared" ca="1" si="27"/>
        <v>46.354937703099928</v>
      </c>
      <c r="H160">
        <f t="shared" ca="1" si="22"/>
        <v>150.00772949999993</v>
      </c>
      <c r="I160">
        <f t="shared" ca="1" si="28"/>
        <v>72.000000000000071</v>
      </c>
      <c r="K160">
        <f t="shared" ca="1" si="29"/>
        <v>0</v>
      </c>
    </row>
    <row r="161" spans="1:11" x14ac:dyDescent="0.25">
      <c r="A161">
        <f t="shared" si="23"/>
        <v>0.15</v>
      </c>
      <c r="B161">
        <f t="shared" si="20"/>
        <v>-201.76188464943547</v>
      </c>
      <c r="C161">
        <f t="shared" si="24"/>
        <v>-1</v>
      </c>
      <c r="D161">
        <f t="shared" si="25"/>
        <v>-1.7149909964375709E-15</v>
      </c>
      <c r="E161">
        <f t="shared" ca="1" si="21"/>
        <v>2.0096990738238672E-15</v>
      </c>
      <c r="F161">
        <f t="shared" ca="1" si="26"/>
        <v>142.66582863561572</v>
      </c>
      <c r="G161">
        <f t="shared" ca="1" si="27"/>
        <v>46.354937703099928</v>
      </c>
      <c r="H161">
        <f t="shared" ca="1" si="22"/>
        <v>150.00772949999993</v>
      </c>
      <c r="I161">
        <f t="shared" ca="1" si="28"/>
        <v>72.000000000000071</v>
      </c>
      <c r="K161">
        <f t="shared" ca="1" si="29"/>
        <v>0</v>
      </c>
    </row>
    <row r="162" spans="1:11" x14ac:dyDescent="0.25">
      <c r="A162">
        <f t="shared" si="23"/>
        <v>0.151</v>
      </c>
      <c r="B162">
        <f t="shared" si="20"/>
        <v>-212.14500000000001</v>
      </c>
      <c r="C162">
        <f t="shared" si="24"/>
        <v>-0.95105651629515464</v>
      </c>
      <c r="D162">
        <f t="shared" si="25"/>
        <v>-0.30901699437494395</v>
      </c>
      <c r="E162">
        <f t="shared" ca="1" si="21"/>
        <v>0</v>
      </c>
      <c r="F162">
        <f t="shared" ca="1" si="26"/>
        <v>142.66582863561572</v>
      </c>
      <c r="G162">
        <f t="shared" ca="1" si="27"/>
        <v>46.354937703099928</v>
      </c>
      <c r="H162">
        <f t="shared" ca="1" si="22"/>
        <v>150.00772949999993</v>
      </c>
      <c r="I162">
        <f t="shared" ca="1" si="28"/>
        <v>72.000000000000071</v>
      </c>
      <c r="K162">
        <f t="shared" ca="1" si="29"/>
        <v>0</v>
      </c>
    </row>
    <row r="163" spans="1:11" x14ac:dyDescent="0.25">
      <c r="A163">
        <f t="shared" si="23"/>
        <v>0.152</v>
      </c>
      <c r="B163">
        <f t="shared" si="20"/>
        <v>-201.7618846494355</v>
      </c>
      <c r="C163">
        <f t="shared" si="24"/>
        <v>-0.80901699437494856</v>
      </c>
      <c r="D163">
        <f t="shared" si="25"/>
        <v>-0.58778525229247158</v>
      </c>
      <c r="E163">
        <f t="shared" ca="1" si="21"/>
        <v>-3.6174583328829613E-14</v>
      </c>
      <c r="F163">
        <f t="shared" ca="1" si="26"/>
        <v>142.66582863561575</v>
      </c>
      <c r="G163">
        <f t="shared" ca="1" si="27"/>
        <v>46.354937703099949</v>
      </c>
      <c r="H163">
        <f t="shared" ca="1" si="22"/>
        <v>150.00772949999995</v>
      </c>
      <c r="I163">
        <f t="shared" ca="1" si="28"/>
        <v>72.000000000000071</v>
      </c>
      <c r="K163">
        <f t="shared" ca="1" si="29"/>
        <v>0</v>
      </c>
    </row>
    <row r="164" spans="1:11" x14ac:dyDescent="0.25">
      <c r="A164">
        <f t="shared" si="23"/>
        <v>0.153</v>
      </c>
      <c r="B164">
        <f t="shared" si="20"/>
        <v>-171.62891027167325</v>
      </c>
      <c r="C164">
        <f t="shared" si="24"/>
        <v>-0.58778525229247325</v>
      </c>
      <c r="D164">
        <f t="shared" si="25"/>
        <v>-0.80901699437494734</v>
      </c>
      <c r="E164">
        <f t="shared" ca="1" si="21"/>
        <v>-2.0096990738238672E-15</v>
      </c>
      <c r="F164">
        <f t="shared" ca="1" si="26"/>
        <v>142.66582863561575</v>
      </c>
      <c r="G164">
        <f t="shared" ca="1" si="27"/>
        <v>46.354937703099949</v>
      </c>
      <c r="H164">
        <f t="shared" ca="1" si="22"/>
        <v>150.00772949999995</v>
      </c>
      <c r="I164">
        <f t="shared" ca="1" si="28"/>
        <v>72.000000000000071</v>
      </c>
      <c r="K164">
        <f t="shared" ca="1" si="29"/>
        <v>0</v>
      </c>
    </row>
    <row r="165" spans="1:11" x14ac:dyDescent="0.25">
      <c r="A165">
        <f t="shared" si="23"/>
        <v>0.154</v>
      </c>
      <c r="B165">
        <f t="shared" ref="B165:B228" si="30">1.5*$B$6*SIN((A165*$C$1)+PI()/2.5)</f>
        <v>-124.69570234758643</v>
      </c>
      <c r="C165">
        <f t="shared" si="24"/>
        <v>-0.30901699437494584</v>
      </c>
      <c r="D165">
        <f t="shared" si="25"/>
        <v>-0.95105651629515409</v>
      </c>
      <c r="E165">
        <f t="shared" ca="1" si="21"/>
        <v>-3.0145486107358008E-15</v>
      </c>
      <c r="F165">
        <f t="shared" ca="1" si="26"/>
        <v>142.66582863561575</v>
      </c>
      <c r="G165">
        <f t="shared" ca="1" si="27"/>
        <v>46.354937703099949</v>
      </c>
      <c r="H165">
        <f t="shared" ca="1" si="22"/>
        <v>150.00772949999995</v>
      </c>
      <c r="I165">
        <f t="shared" ca="1" si="28"/>
        <v>72.000000000000071</v>
      </c>
      <c r="K165">
        <f t="shared" ca="1" si="29"/>
        <v>0</v>
      </c>
    </row>
    <row r="166" spans="1:11" x14ac:dyDescent="0.25">
      <c r="A166">
        <f t="shared" si="23"/>
        <v>0.155</v>
      </c>
      <c r="B166">
        <f t="shared" si="30"/>
        <v>-65.556410271672547</v>
      </c>
      <c r="C166">
        <f t="shared" si="24"/>
        <v>3.4300904130923904E-15</v>
      </c>
      <c r="D166">
        <f t="shared" si="25"/>
        <v>-1</v>
      </c>
      <c r="E166">
        <f t="shared" ca="1" si="21"/>
        <v>-4.0193981476477345E-15</v>
      </c>
      <c r="F166">
        <f t="shared" ca="1" si="26"/>
        <v>142.66582863561575</v>
      </c>
      <c r="G166">
        <f t="shared" ca="1" si="27"/>
        <v>46.354937703099957</v>
      </c>
      <c r="H166">
        <f t="shared" ca="1" si="22"/>
        <v>150.00772949999995</v>
      </c>
      <c r="I166">
        <f t="shared" ca="1" si="28"/>
        <v>72.000000000000057</v>
      </c>
      <c r="K166">
        <f t="shared" ca="1" si="29"/>
        <v>0</v>
      </c>
    </row>
    <row r="167" spans="1:11" x14ac:dyDescent="0.25">
      <c r="A167">
        <f t="shared" si="23"/>
        <v>0.156</v>
      </c>
      <c r="B167">
        <f t="shared" si="30"/>
        <v>-4.1585459034654272E-13</v>
      </c>
      <c r="C167">
        <f t="shared" si="24"/>
        <v>0.30901699437494562</v>
      </c>
      <c r="D167">
        <f t="shared" si="25"/>
        <v>-0.9510565162951542</v>
      </c>
      <c r="E167">
        <f t="shared" ca="1" si="21"/>
        <v>-1.1026253726451658E-13</v>
      </c>
      <c r="F167">
        <f t="shared" ca="1" si="26"/>
        <v>142.66582863561572</v>
      </c>
      <c r="G167">
        <f t="shared" ca="1" si="27"/>
        <v>46.354937703100063</v>
      </c>
      <c r="H167">
        <f t="shared" ca="1" si="22"/>
        <v>150.00772949999995</v>
      </c>
      <c r="I167">
        <f t="shared" ca="1" si="28"/>
        <v>72.000000000000028</v>
      </c>
      <c r="K167">
        <f t="shared" ca="1" si="29"/>
        <v>0</v>
      </c>
    </row>
    <row r="168" spans="1:11" x14ac:dyDescent="0.25">
      <c r="A168">
        <f t="shared" si="23"/>
        <v>0.157</v>
      </c>
      <c r="B168">
        <f t="shared" si="30"/>
        <v>65.556410271673187</v>
      </c>
      <c r="C168">
        <f t="shared" si="24"/>
        <v>0.58778525229247303</v>
      </c>
      <c r="D168">
        <f t="shared" si="25"/>
        <v>-0.80901699437494756</v>
      </c>
      <c r="E168">
        <f t="shared" ca="1" si="21"/>
        <v>-3.0145486107358008E-15</v>
      </c>
      <c r="F168">
        <f t="shared" ca="1" si="26"/>
        <v>142.66582863561572</v>
      </c>
      <c r="G168">
        <f t="shared" ca="1" si="27"/>
        <v>46.354937703100063</v>
      </c>
      <c r="H168">
        <f t="shared" ca="1" si="22"/>
        <v>150.00772949999995</v>
      </c>
      <c r="I168">
        <f t="shared" ca="1" si="28"/>
        <v>72.000000000000028</v>
      </c>
      <c r="K168">
        <f t="shared" ca="1" si="29"/>
        <v>0</v>
      </c>
    </row>
    <row r="169" spans="1:11" x14ac:dyDescent="0.25">
      <c r="A169">
        <f t="shared" si="23"/>
        <v>0.158</v>
      </c>
      <c r="B169">
        <f t="shared" si="30"/>
        <v>124.69570234758697</v>
      </c>
      <c r="C169">
        <f t="shared" si="24"/>
        <v>0.80901699437494834</v>
      </c>
      <c r="D169">
        <f t="shared" si="25"/>
        <v>-0.5877852522924718</v>
      </c>
      <c r="E169">
        <f t="shared" ca="1" si="21"/>
        <v>-4.0193981476477345E-15</v>
      </c>
      <c r="F169">
        <f t="shared" ca="1" si="26"/>
        <v>142.66582863561572</v>
      </c>
      <c r="G169">
        <f t="shared" ca="1" si="27"/>
        <v>46.354937703100063</v>
      </c>
      <c r="H169">
        <f t="shared" ca="1" si="22"/>
        <v>150.00772949999995</v>
      </c>
      <c r="I169">
        <f t="shared" ca="1" si="28"/>
        <v>72.000000000000028</v>
      </c>
      <c r="K169">
        <f t="shared" ca="1" si="29"/>
        <v>0</v>
      </c>
    </row>
    <row r="170" spans="1:11" x14ac:dyDescent="0.25">
      <c r="A170">
        <f t="shared" si="23"/>
        <v>0.159</v>
      </c>
      <c r="B170">
        <f t="shared" si="30"/>
        <v>171.62891027167365</v>
      </c>
      <c r="C170">
        <f t="shared" si="24"/>
        <v>0.95105651629515464</v>
      </c>
      <c r="D170">
        <f t="shared" si="25"/>
        <v>-0.30901699437494423</v>
      </c>
      <c r="E170">
        <f t="shared" ca="1" si="21"/>
        <v>-2.0096990738238672E-15</v>
      </c>
      <c r="F170">
        <f t="shared" ca="1" si="26"/>
        <v>142.66582863561572</v>
      </c>
      <c r="G170">
        <f t="shared" ca="1" si="27"/>
        <v>46.354937703100063</v>
      </c>
      <c r="H170">
        <f t="shared" ca="1" si="22"/>
        <v>150.00772949999995</v>
      </c>
      <c r="I170">
        <f t="shared" ca="1" si="28"/>
        <v>72.000000000000028</v>
      </c>
      <c r="K170">
        <f t="shared" ca="1" si="29"/>
        <v>0</v>
      </c>
    </row>
    <row r="171" spans="1:11" x14ac:dyDescent="0.25">
      <c r="A171">
        <f t="shared" si="23"/>
        <v>0.16</v>
      </c>
      <c r="B171">
        <f t="shared" si="30"/>
        <v>201.76188464943525</v>
      </c>
      <c r="C171">
        <f t="shared" si="24"/>
        <v>1</v>
      </c>
      <c r="D171">
        <f t="shared" si="25"/>
        <v>-1.960237527853792E-15</v>
      </c>
      <c r="E171">
        <f t="shared" ca="1" si="21"/>
        <v>-3.2155185181181876E-14</v>
      </c>
      <c r="F171">
        <f t="shared" ca="1" si="26"/>
        <v>142.6658286356157</v>
      </c>
      <c r="G171">
        <f t="shared" ca="1" si="27"/>
        <v>46.354937703100063</v>
      </c>
      <c r="H171">
        <f t="shared" ca="1" si="22"/>
        <v>150.00772949999993</v>
      </c>
      <c r="I171">
        <f t="shared" ca="1" si="28"/>
        <v>72.000000000000028</v>
      </c>
      <c r="K171">
        <f t="shared" ca="1" si="29"/>
        <v>0</v>
      </c>
    </row>
    <row r="172" spans="1:11" x14ac:dyDescent="0.25">
      <c r="A172">
        <f t="shared" si="23"/>
        <v>0.161</v>
      </c>
      <c r="B172">
        <f t="shared" si="30"/>
        <v>212.14500000000001</v>
      </c>
      <c r="C172">
        <f t="shared" si="24"/>
        <v>0.95105651629515364</v>
      </c>
      <c r="D172">
        <f t="shared" si="25"/>
        <v>0.30901699437494723</v>
      </c>
      <c r="E172">
        <f t="shared" ca="1" si="21"/>
        <v>0</v>
      </c>
      <c r="F172">
        <f t="shared" ca="1" si="26"/>
        <v>142.6658286356157</v>
      </c>
      <c r="G172">
        <f t="shared" ca="1" si="27"/>
        <v>46.354937703100063</v>
      </c>
      <c r="H172">
        <f t="shared" ca="1" si="22"/>
        <v>150.00772949999993</v>
      </c>
      <c r="I172">
        <f t="shared" ca="1" si="28"/>
        <v>72.000000000000028</v>
      </c>
      <c r="K172">
        <f t="shared" ca="1" si="29"/>
        <v>0</v>
      </c>
    </row>
    <row r="173" spans="1:11" x14ac:dyDescent="0.25">
      <c r="A173">
        <f t="shared" si="23"/>
        <v>0.16200000000000001</v>
      </c>
      <c r="B173">
        <f t="shared" si="30"/>
        <v>201.76188464943527</v>
      </c>
      <c r="C173">
        <f t="shared" si="24"/>
        <v>0.80901699437494645</v>
      </c>
      <c r="D173">
        <f t="shared" si="25"/>
        <v>0.58778525229247436</v>
      </c>
      <c r="E173">
        <f t="shared" ca="1" si="21"/>
        <v>2.0096990738238672E-15</v>
      </c>
      <c r="F173">
        <f t="shared" ca="1" si="26"/>
        <v>142.6658286356157</v>
      </c>
      <c r="G173">
        <f t="shared" ca="1" si="27"/>
        <v>46.354937703100063</v>
      </c>
      <c r="H173">
        <f t="shared" ca="1" si="22"/>
        <v>150.00772949999993</v>
      </c>
      <c r="I173">
        <f t="shared" ca="1" si="28"/>
        <v>72.000000000000028</v>
      </c>
      <c r="K173">
        <f t="shared" ca="1" si="29"/>
        <v>0</v>
      </c>
    </row>
    <row r="174" spans="1:11" x14ac:dyDescent="0.25">
      <c r="A174">
        <f t="shared" si="23"/>
        <v>0.16300000000000001</v>
      </c>
      <c r="B174">
        <f t="shared" si="30"/>
        <v>171.62891027167282</v>
      </c>
      <c r="C174">
        <f t="shared" si="24"/>
        <v>0.58778525229247047</v>
      </c>
      <c r="D174">
        <f t="shared" si="25"/>
        <v>0.80901699437494934</v>
      </c>
      <c r="E174">
        <f t="shared" ca="1" si="21"/>
        <v>2.0096990738238672E-15</v>
      </c>
      <c r="F174">
        <f t="shared" ca="1" si="26"/>
        <v>142.6658286356157</v>
      </c>
      <c r="G174">
        <f t="shared" ca="1" si="27"/>
        <v>46.354937703100063</v>
      </c>
      <c r="H174">
        <f t="shared" ca="1" si="22"/>
        <v>150.00772949999993</v>
      </c>
      <c r="I174">
        <f t="shared" ca="1" si="28"/>
        <v>72.000000000000028</v>
      </c>
      <c r="K174">
        <f t="shared" ca="1" si="29"/>
        <v>0</v>
      </c>
    </row>
    <row r="175" spans="1:11" x14ac:dyDescent="0.25">
      <c r="A175">
        <f t="shared" si="23"/>
        <v>0.16400000000000001</v>
      </c>
      <c r="B175">
        <f t="shared" si="30"/>
        <v>124.69570234758585</v>
      </c>
      <c r="C175">
        <f t="shared" si="24"/>
        <v>0.30901699437494257</v>
      </c>
      <c r="D175">
        <f t="shared" si="25"/>
        <v>0.9510565162951552</v>
      </c>
      <c r="E175">
        <f t="shared" ca="1" si="21"/>
        <v>3.0145486107358008E-15</v>
      </c>
      <c r="F175">
        <f t="shared" ca="1" si="26"/>
        <v>142.6658286356157</v>
      </c>
      <c r="G175">
        <f t="shared" ca="1" si="27"/>
        <v>46.354937703100063</v>
      </c>
      <c r="H175">
        <f t="shared" ca="1" si="22"/>
        <v>150.00772949999993</v>
      </c>
      <c r="I175">
        <f t="shared" ca="1" si="28"/>
        <v>72.000000000000028</v>
      </c>
      <c r="K175">
        <f t="shared" ca="1" si="29"/>
        <v>0</v>
      </c>
    </row>
    <row r="176" spans="1:11" x14ac:dyDescent="0.25">
      <c r="A176">
        <f t="shared" si="23"/>
        <v>0.16500000000000001</v>
      </c>
      <c r="B176">
        <f t="shared" si="30"/>
        <v>65.556410271673286</v>
      </c>
      <c r="C176">
        <f t="shared" si="24"/>
        <v>2.4513811119897255E-16</v>
      </c>
      <c r="D176">
        <f t="shared" si="25"/>
        <v>1</v>
      </c>
      <c r="E176">
        <f t="shared" ca="1" si="21"/>
        <v>4.0193981476477345E-15</v>
      </c>
      <c r="F176">
        <f t="shared" ca="1" si="26"/>
        <v>142.6658286356157</v>
      </c>
      <c r="G176">
        <f t="shared" ca="1" si="27"/>
        <v>46.35493770310007</v>
      </c>
      <c r="H176">
        <f t="shared" ca="1" si="22"/>
        <v>150.00772949999995</v>
      </c>
      <c r="I176">
        <f t="shared" ca="1" si="28"/>
        <v>72.000000000000028</v>
      </c>
      <c r="K176">
        <f t="shared" ca="1" si="29"/>
        <v>0</v>
      </c>
    </row>
    <row r="177" spans="1:11" x14ac:dyDescent="0.25">
      <c r="A177">
        <f t="shared" si="23"/>
        <v>0.16600000000000001</v>
      </c>
      <c r="B177">
        <f t="shared" si="30"/>
        <v>-3.1184494114593066E-13</v>
      </c>
      <c r="C177">
        <f t="shared" si="24"/>
        <v>-0.30901699437494889</v>
      </c>
      <c r="D177">
        <f t="shared" si="25"/>
        <v>0.95105651629515309</v>
      </c>
      <c r="E177">
        <f t="shared" ca="1" si="21"/>
        <v>-1.0291126774366558E-13</v>
      </c>
      <c r="F177">
        <f t="shared" ca="1" si="26"/>
        <v>142.66582863561572</v>
      </c>
      <c r="G177">
        <f t="shared" ca="1" si="27"/>
        <v>46.354937703099971</v>
      </c>
      <c r="H177">
        <f t="shared" ca="1" si="22"/>
        <v>150.00772949999993</v>
      </c>
      <c r="I177">
        <f t="shared" ca="1" si="28"/>
        <v>72.000000000000057</v>
      </c>
      <c r="K177">
        <f t="shared" ca="1" si="29"/>
        <v>0</v>
      </c>
    </row>
    <row r="178" spans="1:11" x14ac:dyDescent="0.25">
      <c r="A178">
        <f t="shared" si="23"/>
        <v>0.16700000000000001</v>
      </c>
      <c r="B178">
        <f t="shared" si="30"/>
        <v>-65.556410271673883</v>
      </c>
      <c r="C178">
        <f t="shared" si="24"/>
        <v>-0.5877852522924758</v>
      </c>
      <c r="D178">
        <f t="shared" si="25"/>
        <v>0.80901699437494545</v>
      </c>
      <c r="E178">
        <f t="shared" ca="1" si="21"/>
        <v>-9.8475254617369496E-14</v>
      </c>
      <c r="F178">
        <f t="shared" ca="1" si="26"/>
        <v>142.66582863561578</v>
      </c>
      <c r="G178">
        <f t="shared" ca="1" si="27"/>
        <v>46.354937703099893</v>
      </c>
      <c r="H178">
        <f t="shared" ca="1" si="22"/>
        <v>150.00772949999998</v>
      </c>
      <c r="I178">
        <f t="shared" ca="1" si="28"/>
        <v>72.000000000000099</v>
      </c>
      <c r="K178">
        <f t="shared" ca="1" si="29"/>
        <v>0</v>
      </c>
    </row>
    <row r="179" spans="1:11" x14ac:dyDescent="0.25">
      <c r="A179">
        <f t="shared" si="23"/>
        <v>0.16800000000000001</v>
      </c>
      <c r="B179">
        <f t="shared" si="30"/>
        <v>-124.69570234758757</v>
      </c>
      <c r="C179">
        <f t="shared" si="24"/>
        <v>-0.80901699437495034</v>
      </c>
      <c r="D179">
        <f t="shared" si="25"/>
        <v>0.58778525229246903</v>
      </c>
      <c r="E179">
        <f t="shared" ca="1" si="21"/>
        <v>-8.3402511563690492E-14</v>
      </c>
      <c r="F179">
        <f t="shared" ca="1" si="26"/>
        <v>142.66582863561584</v>
      </c>
      <c r="G179">
        <f t="shared" ca="1" si="27"/>
        <v>46.354937703099843</v>
      </c>
      <c r="H179">
        <f t="shared" ca="1" si="22"/>
        <v>150.00772950000001</v>
      </c>
      <c r="I179">
        <f t="shared" ca="1" si="28"/>
        <v>72.000000000000114</v>
      </c>
      <c r="K179">
        <f t="shared" ca="1" si="29"/>
        <v>0</v>
      </c>
    </row>
    <row r="180" spans="1:11" x14ac:dyDescent="0.25">
      <c r="A180">
        <f t="shared" si="23"/>
        <v>0.16900000000000001</v>
      </c>
      <c r="B180">
        <f t="shared" si="30"/>
        <v>-171.62891027167407</v>
      </c>
      <c r="C180">
        <f t="shared" si="24"/>
        <v>-0.95105651629515564</v>
      </c>
      <c r="D180">
        <f t="shared" si="25"/>
        <v>0.30901699437494096</v>
      </c>
      <c r="E180">
        <f t="shared" ca="1" si="21"/>
        <v>-6.0290972214716014E-14</v>
      </c>
      <c r="F180">
        <f t="shared" ca="1" si="26"/>
        <v>142.6658286356159</v>
      </c>
      <c r="G180">
        <f t="shared" ca="1" si="27"/>
        <v>46.354937703099822</v>
      </c>
      <c r="H180">
        <f t="shared" ca="1" si="22"/>
        <v>150.00772950000007</v>
      </c>
      <c r="I180">
        <f t="shared" ca="1" si="28"/>
        <v>72.000000000000142</v>
      </c>
      <c r="K180">
        <f t="shared" ca="1" si="29"/>
        <v>0</v>
      </c>
    </row>
    <row r="181" spans="1:11" x14ac:dyDescent="0.25">
      <c r="A181">
        <f t="shared" si="23"/>
        <v>0.17</v>
      </c>
      <c r="B181">
        <f t="shared" si="30"/>
        <v>-201.76188464943544</v>
      </c>
      <c r="C181">
        <f t="shared" si="24"/>
        <v>-1</v>
      </c>
      <c r="D181">
        <f t="shared" si="25"/>
        <v>-1.4699613054558469E-15</v>
      </c>
      <c r="E181">
        <f t="shared" ca="1" si="21"/>
        <v>2.0096990738238672E-15</v>
      </c>
      <c r="F181">
        <f t="shared" ca="1" si="26"/>
        <v>142.6658286356159</v>
      </c>
      <c r="G181">
        <f t="shared" ca="1" si="27"/>
        <v>46.354937703099822</v>
      </c>
      <c r="H181">
        <f t="shared" ca="1" si="22"/>
        <v>150.00772950000007</v>
      </c>
      <c r="I181">
        <f t="shared" ca="1" si="28"/>
        <v>72.000000000000142</v>
      </c>
      <c r="K181">
        <f t="shared" ca="1" si="29"/>
        <v>0</v>
      </c>
    </row>
    <row r="182" spans="1:11" x14ac:dyDescent="0.25">
      <c r="A182">
        <f t="shared" si="23"/>
        <v>0.17100000000000001</v>
      </c>
      <c r="B182">
        <f t="shared" si="30"/>
        <v>-212.14500000000001</v>
      </c>
      <c r="C182">
        <f t="shared" si="24"/>
        <v>-0.95105651629515253</v>
      </c>
      <c r="D182">
        <f t="shared" si="25"/>
        <v>-0.3090169943749505</v>
      </c>
      <c r="E182">
        <f t="shared" ca="1" si="21"/>
        <v>0</v>
      </c>
      <c r="F182">
        <f t="shared" ca="1" si="26"/>
        <v>142.6658286356159</v>
      </c>
      <c r="G182">
        <f t="shared" ca="1" si="27"/>
        <v>46.354937703099822</v>
      </c>
      <c r="H182">
        <f t="shared" ca="1" si="22"/>
        <v>150.00772950000007</v>
      </c>
      <c r="I182">
        <f t="shared" ca="1" si="28"/>
        <v>72.000000000000142</v>
      </c>
      <c r="K182">
        <f t="shared" ca="1" si="29"/>
        <v>0</v>
      </c>
    </row>
    <row r="183" spans="1:11" x14ac:dyDescent="0.25">
      <c r="A183">
        <f t="shared" si="23"/>
        <v>0.17200000000000001</v>
      </c>
      <c r="B183">
        <f t="shared" si="30"/>
        <v>-201.76188464943505</v>
      </c>
      <c r="C183">
        <f t="shared" si="24"/>
        <v>-0.80901699437494445</v>
      </c>
      <c r="D183">
        <f t="shared" si="25"/>
        <v>-0.58778525229247713</v>
      </c>
      <c r="E183">
        <f t="shared" ca="1" si="21"/>
        <v>3.2155185181181876E-14</v>
      </c>
      <c r="F183">
        <f t="shared" ca="1" si="26"/>
        <v>142.66582863561587</v>
      </c>
      <c r="G183">
        <f t="shared" ca="1" si="27"/>
        <v>46.3549377030998</v>
      </c>
      <c r="H183">
        <f t="shared" ca="1" si="22"/>
        <v>150.00772950000001</v>
      </c>
      <c r="I183">
        <f t="shared" ca="1" si="28"/>
        <v>72.000000000000142</v>
      </c>
      <c r="K183">
        <f t="shared" ca="1" si="29"/>
        <v>0</v>
      </c>
    </row>
    <row r="184" spans="1:11" x14ac:dyDescent="0.25">
      <c r="A184">
        <f t="shared" si="23"/>
        <v>0.17300000000000001</v>
      </c>
      <c r="B184">
        <f t="shared" si="30"/>
        <v>-171.6289102716724</v>
      </c>
      <c r="C184">
        <f t="shared" si="24"/>
        <v>-0.5877852522924677</v>
      </c>
      <c r="D184">
        <f t="shared" si="25"/>
        <v>-0.80901699437495145</v>
      </c>
      <c r="E184">
        <f t="shared" ca="1" si="21"/>
        <v>6.0290972214716014E-14</v>
      </c>
      <c r="F184">
        <f t="shared" ca="1" si="26"/>
        <v>142.66582863561584</v>
      </c>
      <c r="G184">
        <f t="shared" ca="1" si="27"/>
        <v>46.35493770309975</v>
      </c>
      <c r="H184">
        <f t="shared" ca="1" si="22"/>
        <v>150.00772949999998</v>
      </c>
      <c r="I184">
        <f t="shared" ca="1" si="28"/>
        <v>72.000000000000156</v>
      </c>
      <c r="K184">
        <f t="shared" ca="1" si="29"/>
        <v>0</v>
      </c>
    </row>
    <row r="185" spans="1:11" x14ac:dyDescent="0.25">
      <c r="A185">
        <f t="shared" si="23"/>
        <v>0.17400000000000002</v>
      </c>
      <c r="B185">
        <f t="shared" si="30"/>
        <v>-124.69570234758525</v>
      </c>
      <c r="C185">
        <f t="shared" si="24"/>
        <v>-0.30901699437493929</v>
      </c>
      <c r="D185">
        <f t="shared" si="25"/>
        <v>-0.9510565162951562</v>
      </c>
      <c r="E185">
        <f t="shared" ca="1" si="21"/>
        <v>8.3402511563690492E-14</v>
      </c>
      <c r="F185">
        <f t="shared" ca="1" si="26"/>
        <v>142.66582863561581</v>
      </c>
      <c r="G185">
        <f t="shared" ca="1" si="27"/>
        <v>46.354937703099672</v>
      </c>
      <c r="H185">
        <f t="shared" ca="1" si="22"/>
        <v>150.00772949999993</v>
      </c>
      <c r="I185">
        <f t="shared" ca="1" si="28"/>
        <v>72.000000000000185</v>
      </c>
      <c r="K185">
        <f t="shared" ca="1" si="29"/>
        <v>0</v>
      </c>
    </row>
    <row r="186" spans="1:11" x14ac:dyDescent="0.25">
      <c r="A186">
        <f t="shared" si="23"/>
        <v>0.17500000000000002</v>
      </c>
      <c r="B186">
        <f t="shared" si="30"/>
        <v>-65.55641027167259</v>
      </c>
      <c r="C186">
        <f t="shared" si="24"/>
        <v>3.1850607221106664E-15</v>
      </c>
      <c r="D186">
        <f t="shared" si="25"/>
        <v>-1</v>
      </c>
      <c r="E186">
        <f t="shared" ca="1" si="21"/>
        <v>-3.0145486107358008E-15</v>
      </c>
      <c r="F186">
        <f t="shared" ca="1" si="26"/>
        <v>142.66582863561581</v>
      </c>
      <c r="G186">
        <f t="shared" ca="1" si="27"/>
        <v>46.354937703099672</v>
      </c>
      <c r="H186">
        <f t="shared" ca="1" si="22"/>
        <v>150.00772949999993</v>
      </c>
      <c r="I186">
        <f t="shared" ca="1" si="28"/>
        <v>72.000000000000185</v>
      </c>
      <c r="K186">
        <f t="shared" ca="1" si="29"/>
        <v>0</v>
      </c>
    </row>
    <row r="187" spans="1:11" x14ac:dyDescent="0.25">
      <c r="A187">
        <f t="shared" si="23"/>
        <v>0.17599999999999999</v>
      </c>
      <c r="B187">
        <f t="shared" si="30"/>
        <v>-4.6783641413986053E-13</v>
      </c>
      <c r="C187">
        <f t="shared" si="24"/>
        <v>0.3090169943749454</v>
      </c>
      <c r="D187">
        <f t="shared" si="25"/>
        <v>-0.9510565162951542</v>
      </c>
      <c r="E187">
        <f t="shared" ca="1" si="21"/>
        <v>-3.6756347604255022E-15</v>
      </c>
      <c r="F187">
        <f t="shared" ca="1" si="26"/>
        <v>142.66582863561581</v>
      </c>
      <c r="G187">
        <f t="shared" ca="1" si="27"/>
        <v>46.354937703099672</v>
      </c>
      <c r="H187">
        <f t="shared" ca="1" si="22"/>
        <v>150.00772949999993</v>
      </c>
      <c r="I187">
        <f t="shared" ca="1" si="28"/>
        <v>72.000000000000185</v>
      </c>
      <c r="K187">
        <f t="shared" ca="1" si="29"/>
        <v>0</v>
      </c>
    </row>
    <row r="188" spans="1:11" x14ac:dyDescent="0.25">
      <c r="A188">
        <f t="shared" si="23"/>
        <v>0.17699999999999999</v>
      </c>
      <c r="B188">
        <f t="shared" si="30"/>
        <v>65.55641027167313</v>
      </c>
      <c r="C188">
        <f t="shared" si="24"/>
        <v>0.5877852522924728</v>
      </c>
      <c r="D188">
        <f t="shared" si="25"/>
        <v>-0.80901699437494767</v>
      </c>
      <c r="E188">
        <f t="shared" ca="1" si="21"/>
        <v>-4.0193981476477345E-15</v>
      </c>
      <c r="F188">
        <f t="shared" ca="1" si="26"/>
        <v>142.66582863561581</v>
      </c>
      <c r="G188">
        <f t="shared" ca="1" si="27"/>
        <v>46.354937703099672</v>
      </c>
      <c r="H188">
        <f t="shared" ca="1" si="22"/>
        <v>150.00772949999993</v>
      </c>
      <c r="I188">
        <f t="shared" ca="1" si="28"/>
        <v>72.000000000000185</v>
      </c>
      <c r="K188">
        <f t="shared" ca="1" si="29"/>
        <v>0</v>
      </c>
    </row>
    <row r="189" spans="1:11" x14ac:dyDescent="0.25">
      <c r="A189">
        <f t="shared" si="23"/>
        <v>0.17799999999999999</v>
      </c>
      <c r="B189">
        <f t="shared" si="30"/>
        <v>124.69570234758574</v>
      </c>
      <c r="C189">
        <f t="shared" si="24"/>
        <v>0.80901699437494401</v>
      </c>
      <c r="D189">
        <f t="shared" si="25"/>
        <v>-0.5877852522924778</v>
      </c>
      <c r="E189">
        <f t="shared" ca="1" si="21"/>
        <v>-8.742190971133823E-14</v>
      </c>
      <c r="F189">
        <f t="shared" ca="1" si="26"/>
        <v>142.66582863561575</v>
      </c>
      <c r="G189">
        <f t="shared" ca="1" si="27"/>
        <v>46.354937703099722</v>
      </c>
      <c r="H189">
        <f t="shared" ca="1" si="22"/>
        <v>150.0077294999999</v>
      </c>
      <c r="I189">
        <f t="shared" ca="1" si="28"/>
        <v>72.000000000000156</v>
      </c>
      <c r="K189">
        <f t="shared" ca="1" si="29"/>
        <v>0</v>
      </c>
    </row>
    <row r="190" spans="1:11" x14ac:dyDescent="0.25">
      <c r="A190">
        <f t="shared" si="23"/>
        <v>0.17899999999999999</v>
      </c>
      <c r="B190">
        <f t="shared" si="30"/>
        <v>171.62891027167271</v>
      </c>
      <c r="C190">
        <f t="shared" si="24"/>
        <v>0.95105651629515231</v>
      </c>
      <c r="D190">
        <f t="shared" si="25"/>
        <v>-0.30901699437495123</v>
      </c>
      <c r="E190">
        <f t="shared" ca="1" si="21"/>
        <v>-6.632006943618762E-14</v>
      </c>
      <c r="F190">
        <f t="shared" ca="1" si="26"/>
        <v>142.6658286356157</v>
      </c>
      <c r="G190">
        <f t="shared" ca="1" si="27"/>
        <v>46.354937703099743</v>
      </c>
      <c r="H190">
        <f t="shared" ca="1" si="22"/>
        <v>150.00772949999984</v>
      </c>
      <c r="I190">
        <f t="shared" ca="1" si="28"/>
        <v>72.000000000000142</v>
      </c>
      <c r="K190">
        <f t="shared" ca="1" si="29"/>
        <v>0</v>
      </c>
    </row>
    <row r="191" spans="1:11" x14ac:dyDescent="0.25">
      <c r="A191">
        <f t="shared" si="23"/>
        <v>0.18</v>
      </c>
      <c r="B191">
        <f t="shared" si="30"/>
        <v>201.76188464943522</v>
      </c>
      <c r="C191">
        <f t="shared" si="24"/>
        <v>1</v>
      </c>
      <c r="D191">
        <f t="shared" si="25"/>
        <v>-2.205267218835516E-15</v>
      </c>
      <c r="E191">
        <f t="shared" ca="1" si="21"/>
        <v>-2.0096990738238672E-15</v>
      </c>
      <c r="F191">
        <f t="shared" ca="1" si="26"/>
        <v>142.6658286356157</v>
      </c>
      <c r="G191">
        <f t="shared" ca="1" si="27"/>
        <v>46.354937703099743</v>
      </c>
      <c r="H191">
        <f t="shared" ca="1" si="22"/>
        <v>150.00772949999984</v>
      </c>
      <c r="I191">
        <f t="shared" ca="1" si="28"/>
        <v>72.000000000000142</v>
      </c>
      <c r="K191">
        <f t="shared" ca="1" si="29"/>
        <v>0</v>
      </c>
    </row>
    <row r="192" spans="1:11" x14ac:dyDescent="0.25">
      <c r="A192">
        <f t="shared" si="23"/>
        <v>0.18099999999999999</v>
      </c>
      <c r="B192">
        <f t="shared" si="30"/>
        <v>212.14500000000001</v>
      </c>
      <c r="C192">
        <f t="shared" si="24"/>
        <v>0.95105651629515375</v>
      </c>
      <c r="D192">
        <f t="shared" si="25"/>
        <v>0.30901699437494701</v>
      </c>
      <c r="E192">
        <f t="shared" ca="1" si="21"/>
        <v>0</v>
      </c>
      <c r="F192">
        <f t="shared" ca="1" si="26"/>
        <v>142.6658286356157</v>
      </c>
      <c r="G192">
        <f t="shared" ca="1" si="27"/>
        <v>46.354937703099743</v>
      </c>
      <c r="H192">
        <f t="shared" ca="1" si="22"/>
        <v>150.00772949999984</v>
      </c>
      <c r="I192">
        <f t="shared" ca="1" si="28"/>
        <v>72.000000000000142</v>
      </c>
      <c r="K192">
        <f t="shared" ca="1" si="29"/>
        <v>0</v>
      </c>
    </row>
    <row r="193" spans="1:11" x14ac:dyDescent="0.25">
      <c r="A193">
        <f t="shared" si="23"/>
        <v>0.182</v>
      </c>
      <c r="B193">
        <f t="shared" si="30"/>
        <v>201.76188464943527</v>
      </c>
      <c r="C193">
        <f t="shared" si="24"/>
        <v>0.80901699437494667</v>
      </c>
      <c r="D193">
        <f t="shared" si="25"/>
        <v>0.58778525229247425</v>
      </c>
      <c r="E193">
        <f t="shared" ca="1" si="21"/>
        <v>0</v>
      </c>
      <c r="F193">
        <f t="shared" ca="1" si="26"/>
        <v>142.6658286356157</v>
      </c>
      <c r="G193">
        <f t="shared" ca="1" si="27"/>
        <v>46.354937703099743</v>
      </c>
      <c r="H193">
        <f t="shared" ca="1" si="22"/>
        <v>150.00772949999984</v>
      </c>
      <c r="I193">
        <f t="shared" ca="1" si="28"/>
        <v>72.000000000000142</v>
      </c>
      <c r="K193">
        <f t="shared" ca="1" si="29"/>
        <v>0</v>
      </c>
    </row>
    <row r="194" spans="1:11" x14ac:dyDescent="0.25">
      <c r="A194">
        <f t="shared" si="23"/>
        <v>0.183</v>
      </c>
      <c r="B194">
        <f t="shared" si="30"/>
        <v>171.62891027167373</v>
      </c>
      <c r="C194">
        <f t="shared" si="24"/>
        <v>0.58778525229247636</v>
      </c>
      <c r="D194">
        <f t="shared" si="25"/>
        <v>0.80901699437494501</v>
      </c>
      <c r="E194">
        <f t="shared" ca="1" si="21"/>
        <v>6.4310370362363751E-14</v>
      </c>
      <c r="F194">
        <f t="shared" ca="1" si="26"/>
        <v>142.66582863561572</v>
      </c>
      <c r="G194">
        <f t="shared" ca="1" si="27"/>
        <v>46.354937703099793</v>
      </c>
      <c r="H194">
        <f t="shared" ca="1" si="22"/>
        <v>150.00772949999987</v>
      </c>
      <c r="I194">
        <f t="shared" ca="1" si="28"/>
        <v>72.000000000000128</v>
      </c>
      <c r="K194">
        <f t="shared" ca="1" si="29"/>
        <v>0</v>
      </c>
    </row>
    <row r="195" spans="1:11" x14ac:dyDescent="0.25">
      <c r="A195">
        <f t="shared" si="23"/>
        <v>0.184</v>
      </c>
      <c r="B195">
        <f t="shared" si="30"/>
        <v>124.69570234758712</v>
      </c>
      <c r="C195">
        <f t="shared" si="24"/>
        <v>0.30901699437494956</v>
      </c>
      <c r="D195">
        <f t="shared" si="25"/>
        <v>0.95105651629515287</v>
      </c>
      <c r="E195">
        <f t="shared" ca="1" si="21"/>
        <v>8.9431608785162086E-14</v>
      </c>
      <c r="F195">
        <f t="shared" ca="1" si="26"/>
        <v>142.66582863561575</v>
      </c>
      <c r="G195">
        <f t="shared" ca="1" si="27"/>
        <v>46.354937703099878</v>
      </c>
      <c r="H195">
        <f t="shared" ca="1" si="22"/>
        <v>150.00772949999993</v>
      </c>
      <c r="I195">
        <f t="shared" ca="1" si="28"/>
        <v>72.000000000000099</v>
      </c>
      <c r="K195">
        <f t="shared" ca="1" si="29"/>
        <v>0</v>
      </c>
    </row>
    <row r="196" spans="1:11" x14ac:dyDescent="0.25">
      <c r="A196">
        <f t="shared" si="23"/>
        <v>0.185</v>
      </c>
      <c r="B196">
        <f t="shared" si="30"/>
        <v>65.556410271673343</v>
      </c>
      <c r="C196">
        <f t="shared" si="24"/>
        <v>4.9016780218069655E-16</v>
      </c>
      <c r="D196">
        <f t="shared" si="25"/>
        <v>1</v>
      </c>
      <c r="E196">
        <f t="shared" ca="1" si="21"/>
        <v>4.0193981476477345E-15</v>
      </c>
      <c r="F196">
        <f t="shared" ca="1" si="26"/>
        <v>142.66582863561575</v>
      </c>
      <c r="G196">
        <f t="shared" ca="1" si="27"/>
        <v>46.354937703099885</v>
      </c>
      <c r="H196">
        <f t="shared" ca="1" si="22"/>
        <v>150.00772949999993</v>
      </c>
      <c r="I196">
        <f t="shared" ca="1" si="28"/>
        <v>72.000000000000099</v>
      </c>
      <c r="K196">
        <f t="shared" ca="1" si="29"/>
        <v>0</v>
      </c>
    </row>
    <row r="197" spans="1:11" x14ac:dyDescent="0.25">
      <c r="A197">
        <f t="shared" si="23"/>
        <v>0.186</v>
      </c>
      <c r="B197">
        <f t="shared" si="30"/>
        <v>-2.598631173526128E-13</v>
      </c>
      <c r="C197">
        <f t="shared" si="24"/>
        <v>-0.30901699437494862</v>
      </c>
      <c r="D197">
        <f t="shared" si="25"/>
        <v>0.9510565162951532</v>
      </c>
      <c r="E197">
        <f t="shared" ca="1" si="21"/>
        <v>3.6756347604255053E-15</v>
      </c>
      <c r="F197">
        <f t="shared" ca="1" si="26"/>
        <v>142.66582863561575</v>
      </c>
      <c r="G197">
        <f t="shared" ca="1" si="27"/>
        <v>46.354937703099885</v>
      </c>
      <c r="H197">
        <f t="shared" ca="1" si="22"/>
        <v>150.00772949999993</v>
      </c>
      <c r="I197">
        <f t="shared" ca="1" si="28"/>
        <v>72.000000000000099</v>
      </c>
      <c r="K197">
        <f t="shared" ca="1" si="29"/>
        <v>0</v>
      </c>
    </row>
    <row r="198" spans="1:11" x14ac:dyDescent="0.25">
      <c r="A198">
        <f t="shared" si="23"/>
        <v>0.187</v>
      </c>
      <c r="B198">
        <f t="shared" si="30"/>
        <v>-65.556410271673826</v>
      </c>
      <c r="C198">
        <f t="shared" si="24"/>
        <v>-0.58778525229247558</v>
      </c>
      <c r="D198">
        <f t="shared" si="25"/>
        <v>0.80901699437494567</v>
      </c>
      <c r="E198">
        <f t="shared" ca="1" si="21"/>
        <v>4.0193981476477345E-15</v>
      </c>
      <c r="F198">
        <f t="shared" ca="1" si="26"/>
        <v>142.66582863561575</v>
      </c>
      <c r="G198">
        <f t="shared" ca="1" si="27"/>
        <v>46.354937703099885</v>
      </c>
      <c r="H198">
        <f t="shared" ca="1" si="22"/>
        <v>150.00772949999993</v>
      </c>
      <c r="I198">
        <f t="shared" ca="1" si="28"/>
        <v>72.000000000000099</v>
      </c>
      <c r="K198">
        <f t="shared" ca="1" si="29"/>
        <v>0</v>
      </c>
    </row>
    <row r="199" spans="1:11" x14ac:dyDescent="0.25">
      <c r="A199">
        <f t="shared" si="23"/>
        <v>0.188</v>
      </c>
      <c r="B199">
        <f t="shared" si="30"/>
        <v>-124.69570234758632</v>
      </c>
      <c r="C199">
        <f t="shared" si="24"/>
        <v>-0.80901699437494612</v>
      </c>
      <c r="D199">
        <f t="shared" si="25"/>
        <v>0.58778525229247502</v>
      </c>
      <c r="E199">
        <f t="shared" ca="1" si="21"/>
        <v>8.8426759248250152E-14</v>
      </c>
      <c r="F199">
        <f t="shared" ca="1" si="26"/>
        <v>142.66582863561567</v>
      </c>
      <c r="G199">
        <f t="shared" ca="1" si="27"/>
        <v>46.354937703099935</v>
      </c>
      <c r="H199">
        <f t="shared" ca="1" si="22"/>
        <v>150.00772949999987</v>
      </c>
      <c r="I199">
        <f t="shared" ca="1" si="28"/>
        <v>72.000000000000057</v>
      </c>
      <c r="K199">
        <f t="shared" ca="1" si="29"/>
        <v>-2.2737367544323206E-13</v>
      </c>
    </row>
    <row r="200" spans="1:11" x14ac:dyDescent="0.25">
      <c r="A200">
        <f t="shared" si="23"/>
        <v>0.189</v>
      </c>
      <c r="B200">
        <f t="shared" si="30"/>
        <v>-171.62891027167316</v>
      </c>
      <c r="C200">
        <f t="shared" si="24"/>
        <v>-0.95105651629515342</v>
      </c>
      <c r="D200">
        <f t="shared" si="25"/>
        <v>0.30901699437494795</v>
      </c>
      <c r="E200">
        <f t="shared" ca="1" si="21"/>
        <v>6.4310370362363751E-14</v>
      </c>
      <c r="F200">
        <f t="shared" ca="1" si="26"/>
        <v>142.66582863561561</v>
      </c>
      <c r="G200">
        <f t="shared" ca="1" si="27"/>
        <v>46.354937703099957</v>
      </c>
      <c r="H200">
        <f t="shared" ca="1" si="22"/>
        <v>150.00772949999981</v>
      </c>
      <c r="I200">
        <f t="shared" ca="1" si="28"/>
        <v>72.000000000000057</v>
      </c>
      <c r="K200">
        <f t="shared" ca="1" si="29"/>
        <v>-2.8421709430404007E-13</v>
      </c>
    </row>
    <row r="201" spans="1:11" x14ac:dyDescent="0.25">
      <c r="A201">
        <f t="shared" si="23"/>
        <v>0.19</v>
      </c>
      <c r="B201">
        <f t="shared" si="30"/>
        <v>-201.76188464943544</v>
      </c>
      <c r="C201">
        <f t="shared" si="24"/>
        <v>-1</v>
      </c>
      <c r="D201">
        <f t="shared" si="25"/>
        <v>-1.2249316144741229E-15</v>
      </c>
      <c r="E201">
        <f t="shared" ca="1" si="21"/>
        <v>0</v>
      </c>
      <c r="F201">
        <f t="shared" ca="1" si="26"/>
        <v>142.66582863561561</v>
      </c>
      <c r="G201">
        <f t="shared" ca="1" si="27"/>
        <v>46.354937703099957</v>
      </c>
      <c r="H201">
        <f t="shared" ca="1" si="22"/>
        <v>150.00772949999981</v>
      </c>
      <c r="I201">
        <f t="shared" ca="1" si="28"/>
        <v>72.000000000000057</v>
      </c>
      <c r="K201">
        <f t="shared" ca="1" si="29"/>
        <v>-2.8421709430404007E-13</v>
      </c>
    </row>
    <row r="202" spans="1:11" x14ac:dyDescent="0.25">
      <c r="A202">
        <f t="shared" si="23"/>
        <v>0.191</v>
      </c>
      <c r="B202">
        <f t="shared" si="30"/>
        <v>-212.14500000000001</v>
      </c>
      <c r="C202">
        <f t="shared" si="24"/>
        <v>-0.95105651629515264</v>
      </c>
      <c r="D202">
        <f t="shared" si="25"/>
        <v>-0.30901699437495028</v>
      </c>
      <c r="E202">
        <f t="shared" ca="1" si="21"/>
        <v>0</v>
      </c>
      <c r="F202">
        <f t="shared" ca="1" si="26"/>
        <v>142.66582863561561</v>
      </c>
      <c r="G202">
        <f t="shared" ca="1" si="27"/>
        <v>46.354937703099957</v>
      </c>
      <c r="H202">
        <f t="shared" ca="1" si="22"/>
        <v>150.00772949999981</v>
      </c>
      <c r="I202">
        <f t="shared" ca="1" si="28"/>
        <v>72.000000000000057</v>
      </c>
      <c r="K202">
        <f t="shared" ca="1" si="29"/>
        <v>-2.5579538487363607E-13</v>
      </c>
    </row>
    <row r="203" spans="1:11" x14ac:dyDescent="0.25">
      <c r="A203">
        <f t="shared" si="23"/>
        <v>0.192</v>
      </c>
      <c r="B203">
        <f t="shared" si="30"/>
        <v>-201.76188464943505</v>
      </c>
      <c r="C203">
        <f t="shared" si="24"/>
        <v>-0.80901699437494468</v>
      </c>
      <c r="D203">
        <f t="shared" si="25"/>
        <v>-0.58778525229247702</v>
      </c>
      <c r="E203">
        <f t="shared" ref="E203:E266" ca="1" si="31">(1.4142/$B$2)*(B203-IF((ROW($A203)-ROW($A$11))&lt;$B$2,0,OFFSET($B203,-$B$2,0)))</f>
        <v>0</v>
      </c>
      <c r="F203">
        <f t="shared" ca="1" si="26"/>
        <v>142.66582863561561</v>
      </c>
      <c r="G203">
        <f t="shared" ca="1" si="27"/>
        <v>46.354937703099957</v>
      </c>
      <c r="H203">
        <f t="shared" ref="H203:H266" ca="1" si="32">IF(F203="","",SQRT(F203^2+G203^2))</f>
        <v>150.00772949999981</v>
      </c>
      <c r="I203">
        <f t="shared" ca="1" si="28"/>
        <v>72.000000000000057</v>
      </c>
      <c r="K203">
        <f t="shared" ca="1" si="29"/>
        <v>-2.2737367544323206E-13</v>
      </c>
    </row>
    <row r="204" spans="1:11" x14ac:dyDescent="0.25">
      <c r="A204">
        <f t="shared" ref="A204:A267" si="33">(ROW($A204)-ROW($A$11))*$B$4+$B$5</f>
        <v>0.193</v>
      </c>
      <c r="B204">
        <f t="shared" si="30"/>
        <v>-171.62891027167331</v>
      </c>
      <c r="C204">
        <f t="shared" ref="C204:C267" si="34">COS($A204*$C$1)</f>
        <v>-0.58778525229247358</v>
      </c>
      <c r="D204">
        <f t="shared" ref="D204:D267" si="35">SIN($A204*$C$1)</f>
        <v>-0.80901699437494712</v>
      </c>
      <c r="E204">
        <f t="shared" ca="1" si="31"/>
        <v>-6.4310370362363751E-14</v>
      </c>
      <c r="F204">
        <f t="shared" ref="F204:F267" ca="1" si="36">F203+$E204*COS($A204*$C$1)</f>
        <v>142.66582863561564</v>
      </c>
      <c r="G204">
        <f t="shared" ref="G204:G267" ca="1" si="37">G203+$E204*SIN($A204*$C$1)</f>
        <v>46.354937703100006</v>
      </c>
      <c r="H204">
        <f t="shared" ca="1" si="32"/>
        <v>150.00772949999987</v>
      </c>
      <c r="I204">
        <f t="shared" ref="I204:I267" ca="1" si="38">IF(F204="","",ATAN2(G204,F204)*180/PI())</f>
        <v>72.000000000000043</v>
      </c>
      <c r="K204">
        <f t="shared" ca="1" si="29"/>
        <v>0</v>
      </c>
    </row>
    <row r="205" spans="1:11" x14ac:dyDescent="0.25">
      <c r="A205">
        <f t="shared" si="33"/>
        <v>0.19400000000000001</v>
      </c>
      <c r="B205">
        <f t="shared" si="30"/>
        <v>-124.69570234758653</v>
      </c>
      <c r="C205">
        <f t="shared" si="34"/>
        <v>-0.30901699437494629</v>
      </c>
      <c r="D205">
        <f t="shared" si="35"/>
        <v>-0.95105651629515398</v>
      </c>
      <c r="E205">
        <f t="shared" ca="1" si="31"/>
        <v>-9.043645832207402E-14</v>
      </c>
      <c r="F205">
        <f t="shared" ca="1" si="36"/>
        <v>142.66582863561567</v>
      </c>
      <c r="G205">
        <f t="shared" ca="1" si="37"/>
        <v>46.354937703100092</v>
      </c>
      <c r="H205">
        <f t="shared" ca="1" si="32"/>
        <v>150.00772949999993</v>
      </c>
      <c r="I205">
        <f t="shared" ca="1" si="38"/>
        <v>72.000000000000014</v>
      </c>
      <c r="K205">
        <f t="shared" ca="1" si="29"/>
        <v>0</v>
      </c>
    </row>
    <row r="206" spans="1:11" x14ac:dyDescent="0.25">
      <c r="A206">
        <f t="shared" si="33"/>
        <v>0.19500000000000001</v>
      </c>
      <c r="B206">
        <f t="shared" si="30"/>
        <v>-65.556410271672647</v>
      </c>
      <c r="C206">
        <f t="shared" si="34"/>
        <v>2.9400310311289424E-15</v>
      </c>
      <c r="D206">
        <f t="shared" si="35"/>
        <v>-1</v>
      </c>
      <c r="E206">
        <f t="shared" ca="1" si="31"/>
        <v>-4.0193981476477345E-15</v>
      </c>
      <c r="F206">
        <f t="shared" ca="1" si="36"/>
        <v>142.66582863561567</v>
      </c>
      <c r="G206">
        <f t="shared" ca="1" si="37"/>
        <v>46.354937703100099</v>
      </c>
      <c r="H206">
        <f t="shared" ca="1" si="32"/>
        <v>150.00772949999993</v>
      </c>
      <c r="I206">
        <f t="shared" ca="1" si="38"/>
        <v>72.000000000000014</v>
      </c>
      <c r="K206">
        <f t="shared" ca="1" si="29"/>
        <v>0</v>
      </c>
    </row>
    <row r="207" spans="1:11" x14ac:dyDescent="0.25">
      <c r="A207">
        <f t="shared" si="33"/>
        <v>0.19600000000000001</v>
      </c>
      <c r="B207">
        <f t="shared" si="30"/>
        <v>9.8756264884508623E-13</v>
      </c>
      <c r="C207">
        <f t="shared" si="34"/>
        <v>0.30901699437495189</v>
      </c>
      <c r="D207">
        <f t="shared" si="35"/>
        <v>-0.95105651629515209</v>
      </c>
      <c r="E207">
        <f t="shared" ca="1" si="31"/>
        <v>1.0291126774366557E-13</v>
      </c>
      <c r="F207">
        <f t="shared" ca="1" si="36"/>
        <v>142.6658286356157</v>
      </c>
      <c r="G207">
        <f t="shared" ca="1" si="37"/>
        <v>46.354937703099999</v>
      </c>
      <c r="H207">
        <f t="shared" ca="1" si="32"/>
        <v>150.00772949999993</v>
      </c>
      <c r="I207">
        <f t="shared" ca="1" si="38"/>
        <v>72.000000000000057</v>
      </c>
      <c r="K207">
        <f t="shared" ca="1" si="29"/>
        <v>0</v>
      </c>
    </row>
    <row r="208" spans="1:11" x14ac:dyDescent="0.25">
      <c r="A208">
        <f t="shared" si="33"/>
        <v>0.19700000000000001</v>
      </c>
      <c r="B208">
        <f t="shared" si="30"/>
        <v>65.556410271674508</v>
      </c>
      <c r="C208">
        <f t="shared" si="34"/>
        <v>0.58778525229247836</v>
      </c>
      <c r="D208">
        <f t="shared" si="35"/>
        <v>-0.80901699437494368</v>
      </c>
      <c r="E208">
        <f t="shared" ca="1" si="31"/>
        <v>9.7470405080457561E-14</v>
      </c>
      <c r="F208">
        <f t="shared" ca="1" si="36"/>
        <v>142.66582863561575</v>
      </c>
      <c r="G208">
        <f t="shared" ca="1" si="37"/>
        <v>46.354937703099921</v>
      </c>
      <c r="H208">
        <f t="shared" ca="1" si="32"/>
        <v>150.00772949999995</v>
      </c>
      <c r="I208">
        <f t="shared" ca="1" si="38"/>
        <v>72.000000000000071</v>
      </c>
      <c r="K208">
        <f t="shared" ca="1" si="29"/>
        <v>0</v>
      </c>
    </row>
    <row r="209" spans="1:11" x14ac:dyDescent="0.25">
      <c r="A209">
        <f t="shared" si="33"/>
        <v>0.19800000000000001</v>
      </c>
      <c r="B209">
        <f t="shared" si="30"/>
        <v>124.6957023475869</v>
      </c>
      <c r="C209">
        <f t="shared" si="34"/>
        <v>0.80901699437494812</v>
      </c>
      <c r="D209">
        <f t="shared" si="35"/>
        <v>-0.58778525229247225</v>
      </c>
      <c r="E209">
        <f t="shared" ca="1" si="31"/>
        <v>8.2397662026778558E-14</v>
      </c>
      <c r="F209">
        <f t="shared" ca="1" si="36"/>
        <v>142.66582863561581</v>
      </c>
      <c r="G209">
        <f t="shared" ca="1" si="37"/>
        <v>46.354937703099871</v>
      </c>
      <c r="H209">
        <f t="shared" ca="1" si="32"/>
        <v>150.00772949999998</v>
      </c>
      <c r="I209">
        <f t="shared" ca="1" si="38"/>
        <v>72.000000000000099</v>
      </c>
      <c r="K209">
        <f t="shared" ca="1" si="29"/>
        <v>0</v>
      </c>
    </row>
    <row r="210" spans="1:11" x14ac:dyDescent="0.25">
      <c r="A210">
        <f t="shared" si="33"/>
        <v>0.19900000000000001</v>
      </c>
      <c r="B210">
        <f t="shared" si="30"/>
        <v>171.62891027167359</v>
      </c>
      <c r="C210">
        <f t="shared" si="34"/>
        <v>0.95105651629515442</v>
      </c>
      <c r="D210">
        <f t="shared" si="35"/>
        <v>-0.30901699437494468</v>
      </c>
      <c r="E210">
        <f t="shared" ca="1" si="31"/>
        <v>6.2300671288539882E-14</v>
      </c>
      <c r="F210">
        <f t="shared" ca="1" si="36"/>
        <v>142.66582863561587</v>
      </c>
      <c r="G210">
        <f t="shared" ca="1" si="37"/>
        <v>46.35493770309985</v>
      </c>
      <c r="H210">
        <f t="shared" ca="1" si="32"/>
        <v>150.00772950000004</v>
      </c>
      <c r="I210">
        <f t="shared" ca="1" si="38"/>
        <v>72.000000000000114</v>
      </c>
      <c r="K210">
        <f t="shared" ca="1" si="29"/>
        <v>0</v>
      </c>
    </row>
    <row r="211" spans="1:11" x14ac:dyDescent="0.25">
      <c r="A211">
        <f t="shared" si="33"/>
        <v>0.2</v>
      </c>
      <c r="B211">
        <f t="shared" si="30"/>
        <v>201.76188464943567</v>
      </c>
      <c r="C211">
        <f t="shared" si="34"/>
        <v>1</v>
      </c>
      <c r="D211">
        <f t="shared" si="35"/>
        <v>4.6551304477837618E-15</v>
      </c>
      <c r="E211">
        <f t="shared" ca="1" si="31"/>
        <v>3.2155185181181876E-14</v>
      </c>
      <c r="F211">
        <f t="shared" ca="1" si="36"/>
        <v>142.6658286356159</v>
      </c>
      <c r="G211">
        <f t="shared" ca="1" si="37"/>
        <v>46.35493770309985</v>
      </c>
      <c r="H211">
        <f t="shared" ca="1" si="32"/>
        <v>150.00772950000007</v>
      </c>
      <c r="I211">
        <f t="shared" ca="1" si="38"/>
        <v>72.000000000000128</v>
      </c>
      <c r="K211">
        <f t="shared" ca="1" si="29"/>
        <v>0</v>
      </c>
    </row>
    <row r="212" spans="1:11" x14ac:dyDescent="0.25">
      <c r="A212">
        <f t="shared" si="33"/>
        <v>0.20100000000000001</v>
      </c>
      <c r="B212">
        <f t="shared" si="30"/>
        <v>212.14500000000001</v>
      </c>
      <c r="C212">
        <f t="shared" si="34"/>
        <v>0.95105651629515164</v>
      </c>
      <c r="D212">
        <f t="shared" si="35"/>
        <v>0.3090169943749535</v>
      </c>
      <c r="E212">
        <f t="shared" ca="1" si="31"/>
        <v>0</v>
      </c>
      <c r="F212">
        <f t="shared" ca="1" si="36"/>
        <v>142.6658286356159</v>
      </c>
      <c r="G212">
        <f t="shared" ca="1" si="37"/>
        <v>46.35493770309985</v>
      </c>
      <c r="H212">
        <f t="shared" ca="1" si="32"/>
        <v>150.00772950000007</v>
      </c>
      <c r="I212">
        <f t="shared" ca="1" si="38"/>
        <v>72.000000000000128</v>
      </c>
      <c r="K212">
        <f t="shared" ca="1" si="29"/>
        <v>0</v>
      </c>
    </row>
    <row r="213" spans="1:11" x14ac:dyDescent="0.25">
      <c r="A213">
        <f t="shared" si="33"/>
        <v>0.20200000000000001</v>
      </c>
      <c r="B213">
        <f t="shared" si="30"/>
        <v>201.76188464943576</v>
      </c>
      <c r="C213">
        <f t="shared" si="34"/>
        <v>0.80901699437494679</v>
      </c>
      <c r="D213">
        <f t="shared" si="35"/>
        <v>0.58778525229247403</v>
      </c>
      <c r="E213">
        <f t="shared" ca="1" si="31"/>
        <v>3.4164884255005744E-14</v>
      </c>
      <c r="F213">
        <f t="shared" ca="1" si="36"/>
        <v>142.66582863561592</v>
      </c>
      <c r="G213">
        <f t="shared" ca="1" si="37"/>
        <v>46.354937703099871</v>
      </c>
      <c r="H213">
        <f t="shared" ca="1" si="32"/>
        <v>150.0077295000001</v>
      </c>
      <c r="I213">
        <f t="shared" ca="1" si="38"/>
        <v>72.000000000000114</v>
      </c>
      <c r="K213">
        <f t="shared" ca="1" si="29"/>
        <v>0</v>
      </c>
    </row>
    <row r="214" spans="1:11" x14ac:dyDescent="0.25">
      <c r="A214">
        <f t="shared" si="33"/>
        <v>0.20300000000000001</v>
      </c>
      <c r="B214">
        <f t="shared" si="30"/>
        <v>171.628910271672</v>
      </c>
      <c r="C214">
        <f t="shared" si="34"/>
        <v>0.58778525229247081</v>
      </c>
      <c r="D214">
        <f t="shared" si="35"/>
        <v>0.80901699437494912</v>
      </c>
      <c r="E214">
        <f t="shared" ca="1" si="31"/>
        <v>-1.225916435032559E-13</v>
      </c>
      <c r="F214">
        <f t="shared" ca="1" si="36"/>
        <v>142.66582863561584</v>
      </c>
      <c r="G214">
        <f t="shared" ca="1" si="37"/>
        <v>46.354937703099772</v>
      </c>
      <c r="H214">
        <f t="shared" ca="1" si="32"/>
        <v>150.00772949999998</v>
      </c>
      <c r="I214">
        <f t="shared" ca="1" si="38"/>
        <v>72.000000000000156</v>
      </c>
      <c r="K214">
        <f t="shared" ca="1" si="29"/>
        <v>0</v>
      </c>
    </row>
    <row r="215" spans="1:11" x14ac:dyDescent="0.25">
      <c r="A215">
        <f t="shared" si="33"/>
        <v>0.20400000000000001</v>
      </c>
      <c r="B215">
        <f t="shared" si="30"/>
        <v>124.69570234758714</v>
      </c>
      <c r="C215">
        <f t="shared" si="34"/>
        <v>0.30901699437494307</v>
      </c>
      <c r="D215">
        <f t="shared" si="35"/>
        <v>0.95105651629515497</v>
      </c>
      <c r="E215">
        <f t="shared" ca="1" si="31"/>
        <v>2.0096990738238672E-15</v>
      </c>
      <c r="F215">
        <f t="shared" ca="1" si="36"/>
        <v>142.66582863561584</v>
      </c>
      <c r="G215">
        <f t="shared" ca="1" si="37"/>
        <v>46.354937703099772</v>
      </c>
      <c r="H215">
        <f t="shared" ca="1" si="32"/>
        <v>150.00772949999998</v>
      </c>
      <c r="I215">
        <f t="shared" ca="1" si="38"/>
        <v>72.000000000000156</v>
      </c>
      <c r="K215">
        <f t="shared" ca="1" si="29"/>
        <v>0</v>
      </c>
    </row>
    <row r="216" spans="1:11" x14ac:dyDescent="0.25">
      <c r="A216">
        <f t="shared" si="33"/>
        <v>0.20500000000000002</v>
      </c>
      <c r="B216">
        <f t="shared" si="30"/>
        <v>65.556410271670515</v>
      </c>
      <c r="C216">
        <f t="shared" si="34"/>
        <v>-6.3702298644385813E-15</v>
      </c>
      <c r="D216">
        <f t="shared" si="35"/>
        <v>1</v>
      </c>
      <c r="E216">
        <f t="shared" ca="1" si="31"/>
        <v>-1.9996505784547479E-13</v>
      </c>
      <c r="F216">
        <f t="shared" ca="1" si="36"/>
        <v>142.66582863561584</v>
      </c>
      <c r="G216">
        <f t="shared" ca="1" si="37"/>
        <v>46.354937703099573</v>
      </c>
      <c r="H216">
        <f t="shared" ca="1" si="32"/>
        <v>150.00772949999993</v>
      </c>
      <c r="I216">
        <f t="shared" ca="1" si="38"/>
        <v>72.000000000000213</v>
      </c>
      <c r="K216">
        <f t="shared" ca="1" si="29"/>
        <v>0</v>
      </c>
    </row>
    <row r="217" spans="1:11" x14ac:dyDescent="0.25">
      <c r="A217">
        <f t="shared" si="33"/>
        <v>0.20600000000000002</v>
      </c>
      <c r="B217">
        <f t="shared" si="30"/>
        <v>-2.0788129355929497E-13</v>
      </c>
      <c r="C217">
        <f t="shared" si="34"/>
        <v>-0.30901699437495517</v>
      </c>
      <c r="D217">
        <f t="shared" si="35"/>
        <v>0.95105651629515109</v>
      </c>
      <c r="E217">
        <f t="shared" ca="1" si="31"/>
        <v>3.6756347604255037E-15</v>
      </c>
      <c r="F217">
        <f t="shared" ca="1" si="36"/>
        <v>142.66582863561584</v>
      </c>
      <c r="G217">
        <f t="shared" ca="1" si="37"/>
        <v>46.354937703099573</v>
      </c>
      <c r="H217">
        <f t="shared" ca="1" si="32"/>
        <v>150.00772949999993</v>
      </c>
      <c r="I217">
        <f t="shared" ca="1" si="38"/>
        <v>72.000000000000213</v>
      </c>
      <c r="K217">
        <f t="shared" ca="1" si="29"/>
        <v>0</v>
      </c>
    </row>
    <row r="218" spans="1:11" x14ac:dyDescent="0.25">
      <c r="A218">
        <f t="shared" si="33"/>
        <v>0.20700000000000002</v>
      </c>
      <c r="B218">
        <f t="shared" si="30"/>
        <v>-65.55641027167664</v>
      </c>
      <c r="C218">
        <f t="shared" si="34"/>
        <v>-0.58778525229248113</v>
      </c>
      <c r="D218">
        <f t="shared" si="35"/>
        <v>0.80901699437494157</v>
      </c>
      <c r="E218">
        <f t="shared" ca="1" si="31"/>
        <v>-1.9896020830856286E-13</v>
      </c>
      <c r="F218">
        <f t="shared" ca="1" si="36"/>
        <v>142.66582863561595</v>
      </c>
      <c r="G218">
        <f t="shared" ca="1" si="37"/>
        <v>46.354937703099409</v>
      </c>
      <c r="H218">
        <f t="shared" ca="1" si="32"/>
        <v>150.00772949999998</v>
      </c>
      <c r="I218">
        <f t="shared" ca="1" si="38"/>
        <v>72.000000000000284</v>
      </c>
      <c r="K218">
        <f t="shared" ca="1" si="29"/>
        <v>2.8421709430404007E-13</v>
      </c>
    </row>
    <row r="219" spans="1:11" x14ac:dyDescent="0.25">
      <c r="A219">
        <f t="shared" si="33"/>
        <v>0.20800000000000002</v>
      </c>
      <c r="B219">
        <f t="shared" si="30"/>
        <v>-124.6957023475875</v>
      </c>
      <c r="C219">
        <f t="shared" si="34"/>
        <v>-0.80901699437495433</v>
      </c>
      <c r="D219">
        <f t="shared" si="35"/>
        <v>0.5877852522924637</v>
      </c>
      <c r="E219">
        <f t="shared" ca="1" si="31"/>
        <v>-8.3402511563690492E-14</v>
      </c>
      <c r="F219">
        <f t="shared" ca="1" si="36"/>
        <v>142.66582863561601</v>
      </c>
      <c r="G219">
        <f t="shared" ca="1" si="37"/>
        <v>46.35493770309936</v>
      </c>
      <c r="H219">
        <f t="shared" ca="1" si="32"/>
        <v>150.00772950000001</v>
      </c>
      <c r="I219">
        <f t="shared" ca="1" si="38"/>
        <v>72.000000000000313</v>
      </c>
      <c r="K219">
        <f t="shared" ca="1" si="29"/>
        <v>3.979039320256561E-13</v>
      </c>
    </row>
    <row r="220" spans="1:11" x14ac:dyDescent="0.25">
      <c r="A220">
        <f t="shared" si="33"/>
        <v>0.20899999999999999</v>
      </c>
      <c r="B220">
        <f t="shared" si="30"/>
        <v>-171.62891027167225</v>
      </c>
      <c r="C220">
        <f t="shared" si="34"/>
        <v>-0.95105651629515331</v>
      </c>
      <c r="D220">
        <f t="shared" si="35"/>
        <v>0.30901699437494817</v>
      </c>
      <c r="E220">
        <f t="shared" ca="1" si="31"/>
        <v>6.4310370362363751E-14</v>
      </c>
      <c r="F220">
        <f t="shared" ca="1" si="36"/>
        <v>142.66582863561595</v>
      </c>
      <c r="G220">
        <f t="shared" ca="1" si="37"/>
        <v>46.354937703099381</v>
      </c>
      <c r="H220">
        <f t="shared" ca="1" si="32"/>
        <v>150.00772949999998</v>
      </c>
      <c r="I220">
        <f t="shared" ca="1" si="38"/>
        <v>72.000000000000313</v>
      </c>
      <c r="K220">
        <f t="shared" ca="1" si="29"/>
        <v>3.4106051316484809E-13</v>
      </c>
    </row>
    <row r="221" spans="1:11" x14ac:dyDescent="0.25">
      <c r="A221">
        <f t="shared" si="33"/>
        <v>0.21</v>
      </c>
      <c r="B221">
        <f t="shared" si="30"/>
        <v>-201.7618846494359</v>
      </c>
      <c r="C221">
        <f t="shared" si="34"/>
        <v>-1</v>
      </c>
      <c r="D221">
        <f t="shared" si="35"/>
        <v>-9.7990192349239891E-16</v>
      </c>
      <c r="E221">
        <f t="shared" ca="1" si="31"/>
        <v>-3.2155185181181876E-14</v>
      </c>
      <c r="F221">
        <f t="shared" ca="1" si="36"/>
        <v>142.66582863561598</v>
      </c>
      <c r="G221">
        <f t="shared" ca="1" si="37"/>
        <v>46.354937703099381</v>
      </c>
      <c r="H221">
        <f t="shared" ca="1" si="32"/>
        <v>150.00772949999998</v>
      </c>
      <c r="I221">
        <f t="shared" ca="1" si="38"/>
        <v>72.000000000000313</v>
      </c>
      <c r="K221">
        <f t="shared" ca="1" si="29"/>
        <v>3.694822225952521E-13</v>
      </c>
    </row>
    <row r="222" spans="1:11" x14ac:dyDescent="0.25">
      <c r="A222">
        <f t="shared" si="33"/>
        <v>0.21099999999999999</v>
      </c>
      <c r="B222">
        <f t="shared" si="30"/>
        <v>-212.14500000000001</v>
      </c>
      <c r="C222">
        <f t="shared" si="34"/>
        <v>-0.95105651629515275</v>
      </c>
      <c r="D222">
        <f t="shared" si="35"/>
        <v>-0.30901699437495006</v>
      </c>
      <c r="E222">
        <f t="shared" ca="1" si="31"/>
        <v>0</v>
      </c>
      <c r="F222">
        <f t="shared" ca="1" si="36"/>
        <v>142.66582863561598</v>
      </c>
      <c r="G222">
        <f t="shared" ca="1" si="37"/>
        <v>46.354937703099381</v>
      </c>
      <c r="H222">
        <f t="shared" ca="1" si="32"/>
        <v>150.00772949999998</v>
      </c>
      <c r="I222">
        <f t="shared" ca="1" si="38"/>
        <v>72.000000000000313</v>
      </c>
      <c r="K222">
        <f t="shared" ca="1" si="29"/>
        <v>3.694822225952521E-13</v>
      </c>
    </row>
    <row r="223" spans="1:11" x14ac:dyDescent="0.25">
      <c r="A223">
        <f t="shared" si="33"/>
        <v>0.21199999999999999</v>
      </c>
      <c r="B223">
        <f t="shared" si="30"/>
        <v>-201.76188464943459</v>
      </c>
      <c r="C223">
        <f t="shared" si="34"/>
        <v>-0.80901699437494479</v>
      </c>
      <c r="D223">
        <f t="shared" si="35"/>
        <v>-0.5877852522924768</v>
      </c>
      <c r="E223">
        <f t="shared" ca="1" si="31"/>
        <v>3.2155185181181876E-14</v>
      </c>
      <c r="F223">
        <f t="shared" ca="1" si="36"/>
        <v>142.66582863561595</v>
      </c>
      <c r="G223">
        <f t="shared" ca="1" si="37"/>
        <v>46.35493770309936</v>
      </c>
      <c r="H223">
        <f t="shared" ca="1" si="32"/>
        <v>150.00772949999995</v>
      </c>
      <c r="I223">
        <f t="shared" ca="1" si="38"/>
        <v>72.000000000000313</v>
      </c>
      <c r="K223">
        <f t="shared" ref="K223:K286" ca="1" si="39">F223-F204</f>
        <v>3.1263880373444408E-13</v>
      </c>
    </row>
    <row r="224" spans="1:11" x14ac:dyDescent="0.25">
      <c r="A224">
        <f t="shared" si="33"/>
        <v>0.21299999999999999</v>
      </c>
      <c r="B224">
        <f t="shared" si="30"/>
        <v>-171.62891027167333</v>
      </c>
      <c r="C224">
        <f t="shared" si="34"/>
        <v>-0.58778525229247958</v>
      </c>
      <c r="D224">
        <f t="shared" si="35"/>
        <v>-0.80901699437494279</v>
      </c>
      <c r="E224">
        <f t="shared" ca="1" si="31"/>
        <v>-2.0096990738238672E-15</v>
      </c>
      <c r="F224">
        <f t="shared" ca="1" si="36"/>
        <v>142.66582863561595</v>
      </c>
      <c r="G224">
        <f t="shared" ca="1" si="37"/>
        <v>46.35493770309936</v>
      </c>
      <c r="H224">
        <f t="shared" ca="1" si="32"/>
        <v>150.00772949999995</v>
      </c>
      <c r="I224">
        <f t="shared" ca="1" si="38"/>
        <v>72.000000000000313</v>
      </c>
      <c r="K224">
        <f t="shared" ca="1" si="39"/>
        <v>2.8421709430404007E-13</v>
      </c>
    </row>
    <row r="225" spans="1:11" x14ac:dyDescent="0.25">
      <c r="A225">
        <f t="shared" si="33"/>
        <v>0.214</v>
      </c>
      <c r="B225">
        <f t="shared" si="30"/>
        <v>-124.69570234758901</v>
      </c>
      <c r="C225">
        <f t="shared" si="34"/>
        <v>-0.30901699437495328</v>
      </c>
      <c r="D225">
        <f t="shared" si="35"/>
        <v>-0.95105651629515164</v>
      </c>
      <c r="E225">
        <f t="shared" ca="1" si="31"/>
        <v>-1.7484381942267646E-13</v>
      </c>
      <c r="F225">
        <f t="shared" ca="1" si="36"/>
        <v>142.66582863561601</v>
      </c>
      <c r="G225">
        <f t="shared" ca="1" si="37"/>
        <v>46.354937703099523</v>
      </c>
      <c r="H225">
        <f t="shared" ca="1" si="32"/>
        <v>150.00772950000007</v>
      </c>
      <c r="I225">
        <f t="shared" ca="1" si="38"/>
        <v>72.000000000000256</v>
      </c>
      <c r="K225">
        <f t="shared" ca="1" si="39"/>
        <v>3.4106051316484809E-13</v>
      </c>
    </row>
    <row r="226" spans="1:11" x14ac:dyDescent="0.25">
      <c r="A226">
        <f t="shared" si="33"/>
        <v>0.215</v>
      </c>
      <c r="B226">
        <f t="shared" si="30"/>
        <v>-65.556410271672689</v>
      </c>
      <c r="C226">
        <f t="shared" si="34"/>
        <v>-4.4104260174537835E-15</v>
      </c>
      <c r="D226">
        <f t="shared" si="35"/>
        <v>-1</v>
      </c>
      <c r="E226">
        <f t="shared" ca="1" si="31"/>
        <v>-3.0145486107358008E-15</v>
      </c>
      <c r="F226">
        <f t="shared" ca="1" si="36"/>
        <v>142.66582863561601</v>
      </c>
      <c r="G226">
        <f t="shared" ca="1" si="37"/>
        <v>46.354937703099523</v>
      </c>
      <c r="H226">
        <f t="shared" ca="1" si="32"/>
        <v>150.00772950000007</v>
      </c>
      <c r="I226">
        <f t="shared" ca="1" si="38"/>
        <v>72.000000000000256</v>
      </c>
      <c r="K226">
        <f t="shared" ca="1" si="39"/>
        <v>3.1263880373444408E-13</v>
      </c>
    </row>
    <row r="227" spans="1:11" x14ac:dyDescent="0.25">
      <c r="A227">
        <f t="shared" si="33"/>
        <v>0.216</v>
      </c>
      <c r="B227">
        <f t="shared" si="30"/>
        <v>-2.079180948504761E-12</v>
      </c>
      <c r="C227">
        <f t="shared" si="34"/>
        <v>0.3090169943749449</v>
      </c>
      <c r="D227">
        <f t="shared" si="35"/>
        <v>-0.95105651629515442</v>
      </c>
      <c r="E227">
        <f t="shared" ca="1" si="31"/>
        <v>-2.1684943976860766E-13</v>
      </c>
      <c r="F227">
        <f t="shared" ca="1" si="36"/>
        <v>142.66582863561595</v>
      </c>
      <c r="G227">
        <f t="shared" ca="1" si="37"/>
        <v>46.354937703099729</v>
      </c>
      <c r="H227">
        <f t="shared" ca="1" si="32"/>
        <v>150.00772950000007</v>
      </c>
      <c r="I227">
        <f t="shared" ca="1" si="38"/>
        <v>72.000000000000185</v>
      </c>
      <c r="K227">
        <f t="shared" ca="1" si="39"/>
        <v>0</v>
      </c>
    </row>
    <row r="228" spans="1:11" x14ac:dyDescent="0.25">
      <c r="A228">
        <f t="shared" si="33"/>
        <v>0.217</v>
      </c>
      <c r="B228">
        <f t="shared" si="30"/>
        <v>65.556410271674466</v>
      </c>
      <c r="C228">
        <f t="shared" si="34"/>
        <v>0.58778525229247247</v>
      </c>
      <c r="D228">
        <f t="shared" si="35"/>
        <v>-0.8090169943749479</v>
      </c>
      <c r="E228">
        <f t="shared" ca="1" si="31"/>
        <v>-3.0145486107358008E-15</v>
      </c>
      <c r="F228">
        <f t="shared" ca="1" si="36"/>
        <v>142.66582863561595</v>
      </c>
      <c r="G228">
        <f t="shared" ca="1" si="37"/>
        <v>46.354937703099729</v>
      </c>
      <c r="H228">
        <f t="shared" ca="1" si="32"/>
        <v>150.00772950000007</v>
      </c>
      <c r="I228">
        <f t="shared" ca="1" si="38"/>
        <v>72.000000000000185</v>
      </c>
      <c r="K228">
        <f t="shared" ca="1" si="39"/>
        <v>0</v>
      </c>
    </row>
    <row r="229" spans="1:11" x14ac:dyDescent="0.25">
      <c r="A229">
        <f t="shared" si="33"/>
        <v>0.218</v>
      </c>
      <c r="B229">
        <f t="shared" ref="B229:B292" si="40">1.5*$B$6*SIN((A229*$C$1)+PI()/2.5)</f>
        <v>124.69570234758564</v>
      </c>
      <c r="C229">
        <f t="shared" si="34"/>
        <v>0.8090169943749479</v>
      </c>
      <c r="D229">
        <f t="shared" si="35"/>
        <v>-0.58778525229247247</v>
      </c>
      <c r="E229">
        <f t="shared" ca="1" si="31"/>
        <v>-8.9431608785162086E-14</v>
      </c>
      <c r="F229">
        <f t="shared" ca="1" si="36"/>
        <v>142.66582863561587</v>
      </c>
      <c r="G229">
        <f t="shared" ca="1" si="37"/>
        <v>46.354937703099779</v>
      </c>
      <c r="H229">
        <f t="shared" ca="1" si="32"/>
        <v>150.00772950000001</v>
      </c>
      <c r="I229">
        <f t="shared" ca="1" si="38"/>
        <v>72.000000000000156</v>
      </c>
      <c r="K229">
        <f t="shared" ca="1" si="39"/>
        <v>0</v>
      </c>
    </row>
    <row r="230" spans="1:11" x14ac:dyDescent="0.25">
      <c r="A230">
        <f t="shared" si="33"/>
        <v>0.219</v>
      </c>
      <c r="B230">
        <f t="shared" si="40"/>
        <v>171.62891027167444</v>
      </c>
      <c r="C230">
        <f t="shared" si="34"/>
        <v>0.95105651629515442</v>
      </c>
      <c r="D230">
        <f t="shared" si="35"/>
        <v>-0.3090169943749449</v>
      </c>
      <c r="E230">
        <f t="shared" ca="1" si="31"/>
        <v>6.0290972214716014E-14</v>
      </c>
      <c r="F230">
        <f t="shared" ca="1" si="36"/>
        <v>142.66582863561592</v>
      </c>
      <c r="G230">
        <f t="shared" ca="1" si="37"/>
        <v>46.354937703099758</v>
      </c>
      <c r="H230">
        <f t="shared" ca="1" si="32"/>
        <v>150.00772950000007</v>
      </c>
      <c r="I230">
        <f t="shared" ca="1" si="38"/>
        <v>72.000000000000156</v>
      </c>
      <c r="K230">
        <f t="shared" ca="1" si="39"/>
        <v>0</v>
      </c>
    </row>
    <row r="231" spans="1:11" x14ac:dyDescent="0.25">
      <c r="A231">
        <f t="shared" si="33"/>
        <v>0.22</v>
      </c>
      <c r="B231">
        <f t="shared" si="40"/>
        <v>201.76188464943519</v>
      </c>
      <c r="C231">
        <f t="shared" si="34"/>
        <v>1</v>
      </c>
      <c r="D231">
        <f t="shared" si="35"/>
        <v>4.4101007568020378E-15</v>
      </c>
      <c r="E231">
        <f t="shared" ca="1" si="31"/>
        <v>-3.4164884255005744E-14</v>
      </c>
      <c r="F231">
        <f t="shared" ca="1" si="36"/>
        <v>142.6658286356159</v>
      </c>
      <c r="G231">
        <f t="shared" ca="1" si="37"/>
        <v>46.354937703099758</v>
      </c>
      <c r="H231">
        <f t="shared" ca="1" si="32"/>
        <v>150.00772950000004</v>
      </c>
      <c r="I231">
        <f t="shared" ca="1" si="38"/>
        <v>72.000000000000156</v>
      </c>
      <c r="K231">
        <f t="shared" ca="1" si="39"/>
        <v>0</v>
      </c>
    </row>
    <row r="232" spans="1:11" x14ac:dyDescent="0.25">
      <c r="A232">
        <f t="shared" si="33"/>
        <v>0.221</v>
      </c>
      <c r="B232">
        <f t="shared" si="40"/>
        <v>212.14500000000001</v>
      </c>
      <c r="C232">
        <f t="shared" si="34"/>
        <v>0.95105651629515164</v>
      </c>
      <c r="D232">
        <f t="shared" si="35"/>
        <v>0.30901699437495328</v>
      </c>
      <c r="E232">
        <f t="shared" ca="1" si="31"/>
        <v>0</v>
      </c>
      <c r="F232">
        <f t="shared" ca="1" si="36"/>
        <v>142.6658286356159</v>
      </c>
      <c r="G232">
        <f t="shared" ca="1" si="37"/>
        <v>46.354937703099758</v>
      </c>
      <c r="H232">
        <f t="shared" ca="1" si="32"/>
        <v>150.00772950000004</v>
      </c>
      <c r="I232">
        <f t="shared" ca="1" si="38"/>
        <v>72.000000000000156</v>
      </c>
      <c r="K232">
        <f t="shared" ca="1" si="39"/>
        <v>0</v>
      </c>
    </row>
    <row r="233" spans="1:11" x14ac:dyDescent="0.25">
      <c r="A233">
        <f t="shared" si="33"/>
        <v>0.222</v>
      </c>
      <c r="B233">
        <f t="shared" si="40"/>
        <v>201.7618846494353</v>
      </c>
      <c r="C233">
        <f t="shared" si="34"/>
        <v>0.80901699437494279</v>
      </c>
      <c r="D233">
        <f t="shared" si="35"/>
        <v>0.58778525229247958</v>
      </c>
      <c r="E233">
        <f t="shared" ca="1" si="31"/>
        <v>-3.2155185181181876E-14</v>
      </c>
      <c r="F233">
        <f t="shared" ca="1" si="36"/>
        <v>142.66582863561587</v>
      </c>
      <c r="G233">
        <f t="shared" ca="1" si="37"/>
        <v>46.354937703099736</v>
      </c>
      <c r="H233">
        <f t="shared" ca="1" si="32"/>
        <v>150.00772949999998</v>
      </c>
      <c r="I233">
        <f t="shared" ca="1" si="38"/>
        <v>72.000000000000156</v>
      </c>
      <c r="K233">
        <f t="shared" ca="1" si="39"/>
        <v>0</v>
      </c>
    </row>
    <row r="234" spans="1:11" x14ac:dyDescent="0.25">
      <c r="A234">
        <f t="shared" si="33"/>
        <v>0.223</v>
      </c>
      <c r="B234">
        <f t="shared" si="40"/>
        <v>171.6289102716747</v>
      </c>
      <c r="C234">
        <f t="shared" si="34"/>
        <v>0.5877852522924768</v>
      </c>
      <c r="D234">
        <f t="shared" si="35"/>
        <v>0.80901699437494479</v>
      </c>
      <c r="E234">
        <f t="shared" ca="1" si="31"/>
        <v>1.9092141201326738E-13</v>
      </c>
      <c r="F234">
        <f t="shared" ca="1" si="36"/>
        <v>142.66582863561598</v>
      </c>
      <c r="G234">
        <f t="shared" ca="1" si="37"/>
        <v>46.354937703099893</v>
      </c>
      <c r="H234">
        <f t="shared" ca="1" si="32"/>
        <v>150.00772950000015</v>
      </c>
      <c r="I234">
        <f t="shared" ca="1" si="38"/>
        <v>72.000000000000114</v>
      </c>
      <c r="K234">
        <f t="shared" ca="1" si="39"/>
        <v>0</v>
      </c>
    </row>
    <row r="235" spans="1:11" x14ac:dyDescent="0.25">
      <c r="A235">
        <f t="shared" si="33"/>
        <v>0.224</v>
      </c>
      <c r="B235">
        <f t="shared" si="40"/>
        <v>124.69570234758599</v>
      </c>
      <c r="C235">
        <f t="shared" si="34"/>
        <v>0.30901699437495006</v>
      </c>
      <c r="D235">
        <f t="shared" si="35"/>
        <v>0.95105651629515275</v>
      </c>
      <c r="E235">
        <f t="shared" ca="1" si="31"/>
        <v>-8.1392812489866623E-14</v>
      </c>
      <c r="F235">
        <f t="shared" ca="1" si="36"/>
        <v>142.66582863561595</v>
      </c>
      <c r="G235">
        <f t="shared" ca="1" si="37"/>
        <v>46.354937703099814</v>
      </c>
      <c r="H235">
        <f t="shared" ca="1" si="32"/>
        <v>150.0077295000001</v>
      </c>
      <c r="I235">
        <f t="shared" ca="1" si="38"/>
        <v>72.000000000000142</v>
      </c>
      <c r="K235">
        <f t="shared" ca="1" si="39"/>
        <v>0</v>
      </c>
    </row>
    <row r="236" spans="1:11" x14ac:dyDescent="0.25">
      <c r="A236">
        <f t="shared" si="33"/>
        <v>0.22500000000000001</v>
      </c>
      <c r="B236">
        <f t="shared" si="40"/>
        <v>65.556410271674864</v>
      </c>
      <c r="C236">
        <f t="shared" si="34"/>
        <v>9.8022718414414456E-16</v>
      </c>
      <c r="D236">
        <f t="shared" si="35"/>
        <v>1</v>
      </c>
      <c r="E236">
        <f t="shared" ca="1" si="31"/>
        <v>3.0748395829505167E-13</v>
      </c>
      <c r="F236">
        <f t="shared" ca="1" si="36"/>
        <v>142.66582863561595</v>
      </c>
      <c r="G236">
        <f t="shared" ca="1" si="37"/>
        <v>46.35493770310012</v>
      </c>
      <c r="H236">
        <f t="shared" ca="1" si="32"/>
        <v>150.00772950000021</v>
      </c>
      <c r="I236">
        <f t="shared" ca="1" si="38"/>
        <v>72.000000000000043</v>
      </c>
      <c r="K236">
        <f t="shared" ca="1" si="39"/>
        <v>0</v>
      </c>
    </row>
    <row r="237" spans="1:11" x14ac:dyDescent="0.25">
      <c r="A237">
        <f t="shared" si="33"/>
        <v>0.22600000000000001</v>
      </c>
      <c r="B237">
        <f t="shared" si="40"/>
        <v>-1.6632803565442418E-12</v>
      </c>
      <c r="C237">
        <f t="shared" si="34"/>
        <v>-0.30901699437494817</v>
      </c>
      <c r="D237">
        <f t="shared" si="35"/>
        <v>0.95105651629515331</v>
      </c>
      <c r="E237">
        <f t="shared" ca="1" si="31"/>
        <v>-1.0291126774366558E-13</v>
      </c>
      <c r="F237">
        <f t="shared" ca="1" si="36"/>
        <v>142.66582863561598</v>
      </c>
      <c r="G237">
        <f t="shared" ca="1" si="37"/>
        <v>46.35493770310002</v>
      </c>
      <c r="H237">
        <f t="shared" ca="1" si="32"/>
        <v>150.00772950000018</v>
      </c>
      <c r="I237">
        <f t="shared" ca="1" si="38"/>
        <v>72.000000000000071</v>
      </c>
      <c r="K237">
        <f t="shared" ca="1" si="39"/>
        <v>0</v>
      </c>
    </row>
    <row r="238" spans="1:11" x14ac:dyDescent="0.25">
      <c r="A238">
        <f t="shared" si="33"/>
        <v>0.22700000000000001</v>
      </c>
      <c r="B238">
        <f t="shared" si="40"/>
        <v>-65.556410271672306</v>
      </c>
      <c r="C238">
        <f t="shared" si="34"/>
        <v>-0.58778525229247514</v>
      </c>
      <c r="D238">
        <f t="shared" si="35"/>
        <v>0.8090169943749459</v>
      </c>
      <c r="E238">
        <f t="shared" ca="1" si="31"/>
        <v>3.0647910875813977E-13</v>
      </c>
      <c r="F238">
        <f t="shared" ca="1" si="36"/>
        <v>142.66582863561581</v>
      </c>
      <c r="G238">
        <f t="shared" ca="1" si="37"/>
        <v>46.354937703100269</v>
      </c>
      <c r="H238">
        <f t="shared" ca="1" si="32"/>
        <v>150.00772950000012</v>
      </c>
      <c r="I238">
        <f t="shared" ca="1" si="38"/>
        <v>71.999999999999957</v>
      </c>
      <c r="K238">
        <f t="shared" ca="1" si="39"/>
        <v>0</v>
      </c>
    </row>
    <row r="239" spans="1:11" x14ac:dyDescent="0.25">
      <c r="A239">
        <f t="shared" si="33"/>
        <v>0.22800000000000001</v>
      </c>
      <c r="B239">
        <f t="shared" si="40"/>
        <v>-124.69570234758868</v>
      </c>
      <c r="C239">
        <f t="shared" si="34"/>
        <v>-0.80901699437495</v>
      </c>
      <c r="D239">
        <f t="shared" si="35"/>
        <v>0.5877852522924697</v>
      </c>
      <c r="E239">
        <f t="shared" ca="1" si="31"/>
        <v>-8.3402511563690492E-14</v>
      </c>
      <c r="F239">
        <f t="shared" ca="1" si="36"/>
        <v>142.66582863561587</v>
      </c>
      <c r="G239">
        <f t="shared" ca="1" si="37"/>
        <v>46.354937703100219</v>
      </c>
      <c r="H239">
        <f t="shared" ca="1" si="32"/>
        <v>150.00772950000015</v>
      </c>
      <c r="I239">
        <f t="shared" ca="1" si="38"/>
        <v>71.999999999999986</v>
      </c>
      <c r="K239">
        <f t="shared" ca="1" si="39"/>
        <v>0</v>
      </c>
    </row>
    <row r="240" spans="1:11" x14ac:dyDescent="0.25">
      <c r="A240">
        <f t="shared" si="33"/>
        <v>0.22900000000000001</v>
      </c>
      <c r="B240">
        <f t="shared" si="40"/>
        <v>-171.62891027167311</v>
      </c>
      <c r="C240">
        <f t="shared" si="34"/>
        <v>-0.95105651629515542</v>
      </c>
      <c r="D240">
        <f t="shared" si="35"/>
        <v>0.30901699437494162</v>
      </c>
      <c r="E240">
        <f t="shared" ca="1" si="31"/>
        <v>-6.0290972214716014E-14</v>
      </c>
      <c r="F240">
        <f t="shared" ca="1" si="36"/>
        <v>142.66582863561592</v>
      </c>
      <c r="G240">
        <f t="shared" ca="1" si="37"/>
        <v>46.354937703100198</v>
      </c>
      <c r="H240">
        <f t="shared" ca="1" si="32"/>
        <v>150.00772950000021</v>
      </c>
      <c r="I240">
        <f t="shared" ca="1" si="38"/>
        <v>72</v>
      </c>
      <c r="K240">
        <f t="shared" ca="1" si="39"/>
        <v>0</v>
      </c>
    </row>
    <row r="241" spans="1:11" x14ac:dyDescent="0.25">
      <c r="A241">
        <f t="shared" si="33"/>
        <v>0.23</v>
      </c>
      <c r="B241">
        <f t="shared" si="40"/>
        <v>-201.76188464943635</v>
      </c>
      <c r="C241">
        <f t="shared" si="34"/>
        <v>-1</v>
      </c>
      <c r="D241">
        <f t="shared" si="35"/>
        <v>-7.8402995901116768E-15</v>
      </c>
      <c r="E241">
        <f t="shared" ca="1" si="31"/>
        <v>-3.2155185181181876E-14</v>
      </c>
      <c r="F241">
        <f t="shared" ca="1" si="36"/>
        <v>142.66582863561595</v>
      </c>
      <c r="G241">
        <f t="shared" ca="1" si="37"/>
        <v>46.354937703100198</v>
      </c>
      <c r="H241">
        <f t="shared" ca="1" si="32"/>
        <v>150.00772950000024</v>
      </c>
      <c r="I241">
        <f t="shared" ca="1" si="38"/>
        <v>72</v>
      </c>
      <c r="K241">
        <f t="shared" ca="1" si="39"/>
        <v>0</v>
      </c>
    </row>
    <row r="242" spans="1:11" x14ac:dyDescent="0.25">
      <c r="A242">
        <f t="shared" si="33"/>
        <v>0.23100000000000001</v>
      </c>
      <c r="B242">
        <f t="shared" si="40"/>
        <v>-212.14500000000001</v>
      </c>
      <c r="C242">
        <f t="shared" si="34"/>
        <v>-0.95105651629515064</v>
      </c>
      <c r="D242">
        <f t="shared" si="35"/>
        <v>-0.30901699437495656</v>
      </c>
      <c r="E242">
        <f t="shared" ca="1" si="31"/>
        <v>0</v>
      </c>
      <c r="F242">
        <f t="shared" ca="1" si="36"/>
        <v>142.66582863561595</v>
      </c>
      <c r="G242">
        <f t="shared" ca="1" si="37"/>
        <v>46.354937703100198</v>
      </c>
      <c r="H242">
        <f t="shared" ca="1" si="32"/>
        <v>150.00772950000024</v>
      </c>
      <c r="I242">
        <f t="shared" ca="1" si="38"/>
        <v>72</v>
      </c>
      <c r="K242">
        <f t="shared" ca="1" si="39"/>
        <v>0</v>
      </c>
    </row>
    <row r="243" spans="1:11" x14ac:dyDescent="0.25">
      <c r="A243">
        <f t="shared" si="33"/>
        <v>0.23200000000000001</v>
      </c>
      <c r="B243">
        <f t="shared" si="40"/>
        <v>-201.76188464943601</v>
      </c>
      <c r="C243">
        <f t="shared" si="34"/>
        <v>-0.80901699437494912</v>
      </c>
      <c r="D243">
        <f t="shared" si="35"/>
        <v>-0.58778525229247081</v>
      </c>
      <c r="E243">
        <f t="shared" ca="1" si="31"/>
        <v>-1.0048495369119336E-13</v>
      </c>
      <c r="F243">
        <f t="shared" ca="1" si="36"/>
        <v>142.66582863561604</v>
      </c>
      <c r="G243">
        <f t="shared" ca="1" si="37"/>
        <v>46.354937703100255</v>
      </c>
      <c r="H243">
        <f t="shared" ca="1" si="32"/>
        <v>150.00772950000032</v>
      </c>
      <c r="I243">
        <f t="shared" ca="1" si="38"/>
        <v>72</v>
      </c>
      <c r="K243">
        <f t="shared" ca="1" si="39"/>
        <v>0</v>
      </c>
    </row>
    <row r="244" spans="1:11" x14ac:dyDescent="0.25">
      <c r="A244">
        <f t="shared" si="33"/>
        <v>0.23300000000000001</v>
      </c>
      <c r="B244">
        <f t="shared" si="40"/>
        <v>-171.62891027167248</v>
      </c>
      <c r="C244">
        <f t="shared" si="34"/>
        <v>-0.58778525229247403</v>
      </c>
      <c r="D244">
        <f t="shared" si="35"/>
        <v>-0.80901699437494679</v>
      </c>
      <c r="E244">
        <f t="shared" ca="1" si="31"/>
        <v>6.0290972214716014E-14</v>
      </c>
      <c r="F244">
        <f t="shared" ca="1" si="36"/>
        <v>142.66582863561601</v>
      </c>
      <c r="G244">
        <f t="shared" ca="1" si="37"/>
        <v>46.354937703100205</v>
      </c>
      <c r="H244">
        <f t="shared" ca="1" si="32"/>
        <v>150.00772950000027</v>
      </c>
      <c r="I244">
        <f t="shared" ca="1" si="38"/>
        <v>72.000000000000014</v>
      </c>
      <c r="K244">
        <f t="shared" ca="1" si="39"/>
        <v>0</v>
      </c>
    </row>
    <row r="245" spans="1:11" x14ac:dyDescent="0.25">
      <c r="A245">
        <f t="shared" si="33"/>
        <v>0.23400000000000001</v>
      </c>
      <c r="B245">
        <f t="shared" si="40"/>
        <v>-124.69570234758783</v>
      </c>
      <c r="C245">
        <f t="shared" si="34"/>
        <v>-0.30901699437494679</v>
      </c>
      <c r="D245">
        <f t="shared" si="35"/>
        <v>-0.95105651629515375</v>
      </c>
      <c r="E245">
        <f t="shared" ca="1" si="31"/>
        <v>8.3402511563690492E-14</v>
      </c>
      <c r="F245">
        <f t="shared" ca="1" si="36"/>
        <v>142.66582863561598</v>
      </c>
      <c r="G245">
        <f t="shared" ca="1" si="37"/>
        <v>46.354937703100127</v>
      </c>
      <c r="H245">
        <f t="shared" ca="1" si="32"/>
        <v>150.00772950000024</v>
      </c>
      <c r="I245">
        <f t="shared" ca="1" si="38"/>
        <v>72.000000000000043</v>
      </c>
      <c r="K245">
        <f t="shared" ca="1" si="39"/>
        <v>0</v>
      </c>
    </row>
    <row r="246" spans="1:11" x14ac:dyDescent="0.25">
      <c r="A246">
        <f t="shared" si="33"/>
        <v>0.23500000000000001</v>
      </c>
      <c r="B246">
        <f t="shared" si="40"/>
        <v>-65.556410271671311</v>
      </c>
      <c r="C246">
        <f t="shared" si="34"/>
        <v>2.4499716491654944E-15</v>
      </c>
      <c r="D246">
        <f t="shared" si="35"/>
        <v>-1</v>
      </c>
      <c r="E246">
        <f t="shared" ca="1" si="31"/>
        <v>9.7470405080457561E-14</v>
      </c>
      <c r="F246">
        <f t="shared" ca="1" si="36"/>
        <v>142.66582863561598</v>
      </c>
      <c r="G246">
        <f t="shared" ca="1" si="37"/>
        <v>46.354937703100028</v>
      </c>
      <c r="H246">
        <f t="shared" ca="1" si="32"/>
        <v>150.00772950000018</v>
      </c>
      <c r="I246">
        <f t="shared" ca="1" si="38"/>
        <v>72.000000000000057</v>
      </c>
      <c r="K246">
        <f t="shared" ca="1" si="39"/>
        <v>0</v>
      </c>
    </row>
    <row r="247" spans="1:11" x14ac:dyDescent="0.25">
      <c r="A247">
        <f t="shared" si="33"/>
        <v>0.23600000000000002</v>
      </c>
      <c r="B247">
        <f t="shared" si="40"/>
        <v>-6.237818855198141E-13</v>
      </c>
      <c r="C247">
        <f t="shared" si="34"/>
        <v>0.30901699437495145</v>
      </c>
      <c r="D247">
        <f t="shared" si="35"/>
        <v>-0.95105651629515231</v>
      </c>
      <c r="E247">
        <f t="shared" ca="1" si="31"/>
        <v>1.0291126774366558E-13</v>
      </c>
      <c r="F247">
        <f t="shared" ca="1" si="36"/>
        <v>142.66582863561601</v>
      </c>
      <c r="G247">
        <f t="shared" ca="1" si="37"/>
        <v>46.354937703099928</v>
      </c>
      <c r="H247">
        <f t="shared" ca="1" si="32"/>
        <v>150.00772950000018</v>
      </c>
      <c r="I247">
        <f t="shared" ca="1" si="38"/>
        <v>72.000000000000114</v>
      </c>
      <c r="K247">
        <f t="shared" ca="1" si="39"/>
        <v>0</v>
      </c>
    </row>
    <row r="248" spans="1:11" x14ac:dyDescent="0.25">
      <c r="A248">
        <f t="shared" si="33"/>
        <v>0.23700000000000002</v>
      </c>
      <c r="B248">
        <f t="shared" si="40"/>
        <v>65.556410271675858</v>
      </c>
      <c r="C248">
        <f t="shared" si="34"/>
        <v>0.58778525229247791</v>
      </c>
      <c r="D248">
        <f t="shared" si="35"/>
        <v>-0.8090169943749439</v>
      </c>
      <c r="E248">
        <f t="shared" ca="1" si="31"/>
        <v>9.8475254617369496E-14</v>
      </c>
      <c r="F248">
        <f t="shared" ca="1" si="36"/>
        <v>142.66582863561607</v>
      </c>
      <c r="G248">
        <f t="shared" ca="1" si="37"/>
        <v>46.35493770309985</v>
      </c>
      <c r="H248">
        <f t="shared" ca="1" si="32"/>
        <v>150.00772950000024</v>
      </c>
      <c r="I248">
        <f t="shared" ca="1" si="38"/>
        <v>72.000000000000142</v>
      </c>
      <c r="K248">
        <f t="shared" ca="1" si="39"/>
        <v>0</v>
      </c>
    </row>
    <row r="249" spans="1:11" x14ac:dyDescent="0.25">
      <c r="A249">
        <f t="shared" si="33"/>
        <v>0.23800000000000002</v>
      </c>
      <c r="B249">
        <f t="shared" si="40"/>
        <v>124.69570234758682</v>
      </c>
      <c r="C249">
        <f t="shared" si="34"/>
        <v>0.809016994374952</v>
      </c>
      <c r="D249">
        <f t="shared" si="35"/>
        <v>-0.58778525229246692</v>
      </c>
      <c r="E249">
        <f t="shared" ca="1" si="31"/>
        <v>8.3402511563690492E-14</v>
      </c>
      <c r="F249">
        <f t="shared" ca="1" si="36"/>
        <v>142.66582863561612</v>
      </c>
      <c r="G249">
        <f t="shared" ca="1" si="37"/>
        <v>46.3549377030998</v>
      </c>
      <c r="H249">
        <f t="shared" ca="1" si="32"/>
        <v>150.00772950000027</v>
      </c>
      <c r="I249">
        <f t="shared" ca="1" si="38"/>
        <v>72.000000000000156</v>
      </c>
      <c r="K249">
        <f t="shared" ca="1" si="39"/>
        <v>0</v>
      </c>
    </row>
    <row r="250" spans="1:11" x14ac:dyDescent="0.25">
      <c r="A250">
        <f t="shared" si="33"/>
        <v>0.23900000000000002</v>
      </c>
      <c r="B250">
        <f t="shared" si="40"/>
        <v>171.6289102716753</v>
      </c>
      <c r="C250">
        <f t="shared" si="34"/>
        <v>0.95105651629515653</v>
      </c>
      <c r="D250">
        <f t="shared" si="35"/>
        <v>-0.3090169943749384</v>
      </c>
      <c r="E250">
        <f t="shared" ca="1" si="31"/>
        <v>6.0290972214716014E-14</v>
      </c>
      <c r="F250">
        <f t="shared" ca="1" si="36"/>
        <v>142.66582863561618</v>
      </c>
      <c r="G250">
        <f t="shared" ca="1" si="37"/>
        <v>46.354937703099779</v>
      </c>
      <c r="H250">
        <f t="shared" ca="1" si="32"/>
        <v>150.00772950000032</v>
      </c>
      <c r="I250">
        <f t="shared" ca="1" si="38"/>
        <v>72.000000000000185</v>
      </c>
      <c r="K250">
        <f t="shared" ca="1" si="39"/>
        <v>2.8421709430404007E-13</v>
      </c>
    </row>
    <row r="251" spans="1:11" x14ac:dyDescent="0.25">
      <c r="A251">
        <f t="shared" si="33"/>
        <v>0.24</v>
      </c>
      <c r="B251">
        <f t="shared" si="40"/>
        <v>201.76188464943564</v>
      </c>
      <c r="C251">
        <f t="shared" si="34"/>
        <v>1</v>
      </c>
      <c r="D251">
        <f t="shared" si="35"/>
        <v>-2.940356291780688E-15</v>
      </c>
      <c r="E251">
        <f t="shared" ca="1" si="31"/>
        <v>3.2155185181181876E-14</v>
      </c>
      <c r="F251">
        <f t="shared" ca="1" si="36"/>
        <v>142.66582863561621</v>
      </c>
      <c r="G251">
        <f t="shared" ca="1" si="37"/>
        <v>46.354937703099779</v>
      </c>
      <c r="H251">
        <f t="shared" ca="1" si="32"/>
        <v>150.00772950000032</v>
      </c>
      <c r="I251">
        <f t="shared" ca="1" si="38"/>
        <v>72.000000000000185</v>
      </c>
      <c r="K251">
        <f t="shared" ca="1" si="39"/>
        <v>3.1263880373444408E-13</v>
      </c>
    </row>
    <row r="252" spans="1:11" x14ac:dyDescent="0.25">
      <c r="A252">
        <f t="shared" si="33"/>
        <v>0.24099999999999999</v>
      </c>
      <c r="B252">
        <f t="shared" si="40"/>
        <v>212.14500000000001</v>
      </c>
      <c r="C252">
        <f t="shared" si="34"/>
        <v>0.95105651629515398</v>
      </c>
      <c r="D252">
        <f t="shared" si="35"/>
        <v>0.30901699437494629</v>
      </c>
      <c r="E252">
        <f t="shared" ca="1" si="31"/>
        <v>0</v>
      </c>
      <c r="F252">
        <f t="shared" ca="1" si="36"/>
        <v>142.66582863561621</v>
      </c>
      <c r="G252">
        <f t="shared" ca="1" si="37"/>
        <v>46.354937703099779</v>
      </c>
      <c r="H252">
        <f t="shared" ca="1" si="32"/>
        <v>150.00772950000032</v>
      </c>
      <c r="I252">
        <f t="shared" ca="1" si="38"/>
        <v>72.000000000000185</v>
      </c>
      <c r="K252">
        <f t="shared" ca="1" si="39"/>
        <v>3.4106051316484809E-13</v>
      </c>
    </row>
    <row r="253" spans="1:11" x14ac:dyDescent="0.25">
      <c r="A253">
        <f t="shared" si="33"/>
        <v>0.24199999999999999</v>
      </c>
      <c r="B253">
        <f t="shared" si="40"/>
        <v>201.76188464943485</v>
      </c>
      <c r="C253">
        <f t="shared" si="34"/>
        <v>0.80901699437494712</v>
      </c>
      <c r="D253">
        <f t="shared" si="35"/>
        <v>0.58778525229247358</v>
      </c>
      <c r="E253">
        <f t="shared" ca="1" si="31"/>
        <v>-3.2155185181181876E-14</v>
      </c>
      <c r="F253">
        <f t="shared" ca="1" si="36"/>
        <v>142.66582863561618</v>
      </c>
      <c r="G253">
        <f t="shared" ca="1" si="37"/>
        <v>46.354937703099758</v>
      </c>
      <c r="H253">
        <f t="shared" ca="1" si="32"/>
        <v>150.00772950000032</v>
      </c>
      <c r="I253">
        <f t="shared" ca="1" si="38"/>
        <v>72.000000000000185</v>
      </c>
      <c r="K253">
        <f t="shared" ca="1" si="39"/>
        <v>0</v>
      </c>
    </row>
    <row r="254" spans="1:11" x14ac:dyDescent="0.25">
      <c r="A254">
        <f t="shared" si="33"/>
        <v>0.24299999999999999</v>
      </c>
      <c r="B254">
        <f t="shared" si="40"/>
        <v>171.62891027167382</v>
      </c>
      <c r="C254">
        <f t="shared" si="34"/>
        <v>0.58778525229247125</v>
      </c>
      <c r="D254">
        <f t="shared" si="35"/>
        <v>0.80901699437494878</v>
      </c>
      <c r="E254">
        <f t="shared" ca="1" si="31"/>
        <v>-6.2300671288539882E-14</v>
      </c>
      <c r="F254">
        <f t="shared" ca="1" si="36"/>
        <v>142.66582863561615</v>
      </c>
      <c r="G254">
        <f t="shared" ca="1" si="37"/>
        <v>46.354937703099708</v>
      </c>
      <c r="H254">
        <f t="shared" ca="1" si="32"/>
        <v>150.00772950000027</v>
      </c>
      <c r="I254">
        <f t="shared" ca="1" si="38"/>
        <v>72.000000000000213</v>
      </c>
      <c r="K254">
        <f t="shared" ca="1" si="39"/>
        <v>0</v>
      </c>
    </row>
    <row r="255" spans="1:11" x14ac:dyDescent="0.25">
      <c r="A255">
        <f t="shared" si="33"/>
        <v>0.24399999999999999</v>
      </c>
      <c r="B255">
        <f t="shared" si="40"/>
        <v>124.69570234758481</v>
      </c>
      <c r="C255">
        <f t="shared" si="34"/>
        <v>0.30901699437494351</v>
      </c>
      <c r="D255">
        <f t="shared" si="35"/>
        <v>0.95105651629515486</v>
      </c>
      <c r="E255">
        <f t="shared" ca="1" si="31"/>
        <v>-8.3402511563690492E-14</v>
      </c>
      <c r="F255">
        <f t="shared" ca="1" si="36"/>
        <v>142.66582863561612</v>
      </c>
      <c r="G255">
        <f t="shared" ca="1" si="37"/>
        <v>46.35493770309963</v>
      </c>
      <c r="H255">
        <f t="shared" ca="1" si="32"/>
        <v>150.00772950000021</v>
      </c>
      <c r="I255">
        <f t="shared" ca="1" si="38"/>
        <v>72.000000000000227</v>
      </c>
      <c r="K255">
        <f t="shared" ca="1" si="39"/>
        <v>0</v>
      </c>
    </row>
    <row r="256" spans="1:11" x14ac:dyDescent="0.25">
      <c r="A256">
        <f t="shared" si="33"/>
        <v>0.245</v>
      </c>
      <c r="B256">
        <f t="shared" si="40"/>
        <v>65.556410271673471</v>
      </c>
      <c r="C256">
        <f t="shared" si="34"/>
        <v>-5.8801704824751333E-15</v>
      </c>
      <c r="D256">
        <f t="shared" si="35"/>
        <v>1</v>
      </c>
      <c r="E256">
        <f t="shared" ca="1" si="31"/>
        <v>-9.8475254617369496E-14</v>
      </c>
      <c r="F256">
        <f t="shared" ca="1" si="36"/>
        <v>142.66582863561612</v>
      </c>
      <c r="G256">
        <f t="shared" ca="1" si="37"/>
        <v>46.35493770309953</v>
      </c>
      <c r="H256">
        <f t="shared" ca="1" si="32"/>
        <v>150.00772950000018</v>
      </c>
      <c r="I256">
        <f t="shared" ca="1" si="38"/>
        <v>72.00000000000027</v>
      </c>
      <c r="K256">
        <f t="shared" ca="1" si="39"/>
        <v>0</v>
      </c>
    </row>
    <row r="257" spans="1:11" x14ac:dyDescent="0.25">
      <c r="A257">
        <f t="shared" si="33"/>
        <v>0.246</v>
      </c>
      <c r="B257">
        <f t="shared" si="40"/>
        <v>2.91084412758387E-12</v>
      </c>
      <c r="C257">
        <f t="shared" si="34"/>
        <v>-0.30901699437494118</v>
      </c>
      <c r="D257">
        <f t="shared" si="35"/>
        <v>0.95105651629515564</v>
      </c>
      <c r="E257">
        <f t="shared" ca="1" si="31"/>
        <v>3.2343634227269874E-13</v>
      </c>
      <c r="F257">
        <f t="shared" ca="1" si="36"/>
        <v>142.66582863561601</v>
      </c>
      <c r="G257">
        <f t="shared" ca="1" si="37"/>
        <v>46.354937703099836</v>
      </c>
      <c r="H257">
        <f t="shared" ca="1" si="32"/>
        <v>150.00772950000015</v>
      </c>
      <c r="I257">
        <f t="shared" ca="1" si="38"/>
        <v>72.000000000000142</v>
      </c>
      <c r="K257">
        <f t="shared" ca="1" si="39"/>
        <v>0</v>
      </c>
    </row>
    <row r="258" spans="1:11" x14ac:dyDescent="0.25">
      <c r="A258">
        <f t="shared" si="33"/>
        <v>0.247</v>
      </c>
      <c r="B258">
        <f t="shared" si="40"/>
        <v>-65.556410271673684</v>
      </c>
      <c r="C258">
        <f t="shared" si="34"/>
        <v>-0.58778525229246925</v>
      </c>
      <c r="D258">
        <f t="shared" si="35"/>
        <v>0.80901699437495023</v>
      </c>
      <c r="E258">
        <f t="shared" ca="1" si="31"/>
        <v>-9.7470405080457561E-14</v>
      </c>
      <c r="F258">
        <f t="shared" ca="1" si="36"/>
        <v>142.66582863561607</v>
      </c>
      <c r="G258">
        <f t="shared" ca="1" si="37"/>
        <v>46.354937703099758</v>
      </c>
      <c r="H258">
        <f t="shared" ca="1" si="32"/>
        <v>150.00772950000018</v>
      </c>
      <c r="I258">
        <f t="shared" ca="1" si="38"/>
        <v>72.000000000000185</v>
      </c>
      <c r="K258">
        <f t="shared" ca="1" si="39"/>
        <v>0</v>
      </c>
    </row>
    <row r="259" spans="1:11" x14ac:dyDescent="0.25">
      <c r="A259">
        <f t="shared" si="33"/>
        <v>0.248</v>
      </c>
      <c r="B259">
        <f t="shared" si="40"/>
        <v>-124.69570234758498</v>
      </c>
      <c r="C259">
        <f t="shared" si="34"/>
        <v>-0.80901699437494567</v>
      </c>
      <c r="D259">
        <f t="shared" si="35"/>
        <v>0.58778525229247558</v>
      </c>
      <c r="E259">
        <f t="shared" ca="1" si="31"/>
        <v>2.6126087959710274E-13</v>
      </c>
      <c r="F259">
        <f t="shared" ca="1" si="36"/>
        <v>142.66582863561587</v>
      </c>
      <c r="G259">
        <f t="shared" ca="1" si="37"/>
        <v>46.354937703099914</v>
      </c>
      <c r="H259">
        <f t="shared" ca="1" si="32"/>
        <v>150.00772950000004</v>
      </c>
      <c r="I259">
        <f t="shared" ca="1" si="38"/>
        <v>72.000000000000099</v>
      </c>
      <c r="K259">
        <f t="shared" ca="1" si="39"/>
        <v>0</v>
      </c>
    </row>
    <row r="260" spans="1:11" x14ac:dyDescent="0.25">
      <c r="A260">
        <f t="shared" si="33"/>
        <v>0.249</v>
      </c>
      <c r="B260">
        <f t="shared" si="40"/>
        <v>-171.62891027167393</v>
      </c>
      <c r="C260">
        <f t="shared" si="34"/>
        <v>-0.9510565162951532</v>
      </c>
      <c r="D260">
        <f t="shared" si="35"/>
        <v>0.30901699437494862</v>
      </c>
      <c r="E260">
        <f t="shared" ca="1" si="31"/>
        <v>-5.8281273140892145E-14</v>
      </c>
      <c r="F260">
        <f t="shared" ca="1" si="36"/>
        <v>142.66582863561592</v>
      </c>
      <c r="G260">
        <f t="shared" ca="1" si="37"/>
        <v>46.354937703099893</v>
      </c>
      <c r="H260">
        <f t="shared" ca="1" si="32"/>
        <v>150.0077295000001</v>
      </c>
      <c r="I260">
        <f t="shared" ca="1" si="38"/>
        <v>72.000000000000114</v>
      </c>
      <c r="K260">
        <f t="shared" ca="1" si="39"/>
        <v>0</v>
      </c>
    </row>
    <row r="261" spans="1:11" x14ac:dyDescent="0.25">
      <c r="A261">
        <f t="shared" si="33"/>
        <v>0.25</v>
      </c>
      <c r="B261">
        <f t="shared" si="40"/>
        <v>-201.76188464943493</v>
      </c>
      <c r="C261">
        <f t="shared" si="34"/>
        <v>-1</v>
      </c>
      <c r="D261">
        <f t="shared" si="35"/>
        <v>-4.898425415289509E-16</v>
      </c>
      <c r="E261">
        <f t="shared" ca="1" si="31"/>
        <v>1.0048495369119336E-13</v>
      </c>
      <c r="F261">
        <f t="shared" ca="1" si="36"/>
        <v>142.66582863561581</v>
      </c>
      <c r="G261">
        <f t="shared" ca="1" si="37"/>
        <v>46.354937703099893</v>
      </c>
      <c r="H261">
        <f t="shared" ca="1" si="32"/>
        <v>150.00772949999998</v>
      </c>
      <c r="I261">
        <f t="shared" ca="1" si="38"/>
        <v>72.000000000000099</v>
      </c>
      <c r="K261">
        <f t="shared" ca="1" si="39"/>
        <v>0</v>
      </c>
    </row>
    <row r="262" spans="1:11" x14ac:dyDescent="0.25">
      <c r="A262">
        <f t="shared" si="33"/>
        <v>0.251</v>
      </c>
      <c r="B262">
        <f t="shared" si="40"/>
        <v>-212.14500000000001</v>
      </c>
      <c r="C262">
        <f t="shared" si="34"/>
        <v>-0.95105651629515287</v>
      </c>
      <c r="D262">
        <f t="shared" si="35"/>
        <v>-0.30901699437494956</v>
      </c>
      <c r="E262">
        <f t="shared" ca="1" si="31"/>
        <v>0</v>
      </c>
      <c r="F262">
        <f t="shared" ca="1" si="36"/>
        <v>142.66582863561581</v>
      </c>
      <c r="G262">
        <f t="shared" ca="1" si="37"/>
        <v>46.354937703099893</v>
      </c>
      <c r="H262">
        <f t="shared" ca="1" si="32"/>
        <v>150.00772949999998</v>
      </c>
      <c r="I262">
        <f t="shared" ca="1" si="38"/>
        <v>72.000000000000099</v>
      </c>
      <c r="K262">
        <f t="shared" ca="1" si="39"/>
        <v>-2.2737367544323206E-13</v>
      </c>
    </row>
    <row r="263" spans="1:11" x14ac:dyDescent="0.25">
      <c r="A263">
        <f t="shared" si="33"/>
        <v>0.252</v>
      </c>
      <c r="B263">
        <f t="shared" si="40"/>
        <v>-201.76188464943556</v>
      </c>
      <c r="C263">
        <f t="shared" si="34"/>
        <v>-0.80901699437494501</v>
      </c>
      <c r="D263">
        <f t="shared" si="35"/>
        <v>-0.58778525229247636</v>
      </c>
      <c r="E263">
        <f t="shared" ca="1" si="31"/>
        <v>3.2155185181181876E-14</v>
      </c>
      <c r="F263">
        <f t="shared" ca="1" si="36"/>
        <v>142.66582863561578</v>
      </c>
      <c r="G263">
        <f t="shared" ca="1" si="37"/>
        <v>46.354937703099871</v>
      </c>
      <c r="H263">
        <f t="shared" ca="1" si="32"/>
        <v>150.00772949999998</v>
      </c>
      <c r="I263">
        <f t="shared" ca="1" si="38"/>
        <v>72.000000000000099</v>
      </c>
      <c r="K263">
        <f t="shared" ca="1" si="39"/>
        <v>-2.2737367544323206E-13</v>
      </c>
    </row>
    <row r="264" spans="1:11" x14ac:dyDescent="0.25">
      <c r="A264">
        <f t="shared" si="33"/>
        <v>0.253</v>
      </c>
      <c r="B264">
        <f t="shared" si="40"/>
        <v>-171.62891027167163</v>
      </c>
      <c r="C264">
        <f t="shared" si="34"/>
        <v>-0.58778525229246847</v>
      </c>
      <c r="D264">
        <f t="shared" si="35"/>
        <v>-0.80901699437495078</v>
      </c>
      <c r="E264">
        <f t="shared" ca="1" si="31"/>
        <v>6.0290972214716014E-14</v>
      </c>
      <c r="F264">
        <f t="shared" ca="1" si="36"/>
        <v>142.66582863561575</v>
      </c>
      <c r="G264">
        <f t="shared" ca="1" si="37"/>
        <v>46.354937703099822</v>
      </c>
      <c r="H264">
        <f t="shared" ca="1" si="32"/>
        <v>150.0077294999999</v>
      </c>
      <c r="I264">
        <f t="shared" ca="1" si="38"/>
        <v>72.000000000000114</v>
      </c>
      <c r="K264">
        <f t="shared" ca="1" si="39"/>
        <v>-2.2737367544323206E-13</v>
      </c>
    </row>
    <row r="265" spans="1:11" x14ac:dyDescent="0.25">
      <c r="A265">
        <f t="shared" si="33"/>
        <v>0.254</v>
      </c>
      <c r="B265">
        <f t="shared" si="40"/>
        <v>-124.69570234758665</v>
      </c>
      <c r="C265">
        <f t="shared" si="34"/>
        <v>-0.30901699437494023</v>
      </c>
      <c r="D265">
        <f t="shared" si="35"/>
        <v>-0.95105651629515586</v>
      </c>
      <c r="E265">
        <f t="shared" ca="1" si="31"/>
        <v>8.3402511563690492E-14</v>
      </c>
      <c r="F265">
        <f t="shared" ca="1" si="36"/>
        <v>142.66582863561572</v>
      </c>
      <c r="G265">
        <f t="shared" ca="1" si="37"/>
        <v>46.354937703099743</v>
      </c>
      <c r="H265">
        <f t="shared" ca="1" si="32"/>
        <v>150.00772949999987</v>
      </c>
      <c r="I265">
        <f t="shared" ca="1" si="38"/>
        <v>72.000000000000142</v>
      </c>
      <c r="K265">
        <f t="shared" ca="1" si="39"/>
        <v>-2.5579538487363607E-13</v>
      </c>
    </row>
    <row r="266" spans="1:11" x14ac:dyDescent="0.25">
      <c r="A266">
        <f t="shared" si="33"/>
        <v>0.255</v>
      </c>
      <c r="B266">
        <f t="shared" si="40"/>
        <v>-65.556410271675659</v>
      </c>
      <c r="C266">
        <f t="shared" si="34"/>
        <v>-4.9004853994172315E-15</v>
      </c>
      <c r="D266">
        <f t="shared" si="35"/>
        <v>-1</v>
      </c>
      <c r="E266">
        <f t="shared" ca="1" si="31"/>
        <v>-3.0748395829505167E-13</v>
      </c>
      <c r="F266">
        <f t="shared" ca="1" si="36"/>
        <v>142.66582863561572</v>
      </c>
      <c r="G266">
        <f t="shared" ca="1" si="37"/>
        <v>46.354937703100049</v>
      </c>
      <c r="H266">
        <f t="shared" ca="1" si="32"/>
        <v>150.00772949999995</v>
      </c>
      <c r="I266">
        <f t="shared" ca="1" si="38"/>
        <v>72.000000000000043</v>
      </c>
      <c r="K266">
        <f t="shared" ca="1" si="39"/>
        <v>-2.8421709430404007E-13</v>
      </c>
    </row>
    <row r="267" spans="1:11" x14ac:dyDescent="0.25">
      <c r="A267">
        <f t="shared" si="33"/>
        <v>0.25600000000000001</v>
      </c>
      <c r="B267">
        <f t="shared" si="40"/>
        <v>8.3161717746513265E-13</v>
      </c>
      <c r="C267">
        <f t="shared" si="34"/>
        <v>0.30901699437494445</v>
      </c>
      <c r="D267">
        <f t="shared" si="35"/>
        <v>-0.95105651629515453</v>
      </c>
      <c r="E267">
        <f t="shared" ref="E267:E330" ca="1" si="41">(1.4142/$B$2)*(B267-IF((ROW($A267)-ROW($A$11))&lt;$B$2,0,OFFSET($B267,-$B$2,0)))</f>
        <v>1.0291126774366557E-13</v>
      </c>
      <c r="F267">
        <f t="shared" ca="1" si="36"/>
        <v>142.66582863561575</v>
      </c>
      <c r="G267">
        <f t="shared" ca="1" si="37"/>
        <v>46.354937703099949</v>
      </c>
      <c r="H267">
        <f t="shared" ref="H267:H330" ca="1" si="42">IF(F267="","",SQRT(F267^2+G267^2))</f>
        <v>150.00772949999995</v>
      </c>
      <c r="I267">
        <f t="shared" ca="1" si="38"/>
        <v>72.000000000000071</v>
      </c>
      <c r="K267">
        <f t="shared" ca="1" si="39"/>
        <v>-3.1263880373444408E-13</v>
      </c>
    </row>
    <row r="268" spans="1:11" x14ac:dyDescent="0.25">
      <c r="A268">
        <f t="shared" ref="A268:A331" si="43">(ROW($A268)-ROW($A$11))*$B$4+$B$5</f>
        <v>0.25700000000000001</v>
      </c>
      <c r="B268">
        <f t="shared" si="40"/>
        <v>65.556410271671496</v>
      </c>
      <c r="C268">
        <f t="shared" ref="C268:C331" si="44">COS($A268*$C$1)</f>
        <v>0.58778525229247203</v>
      </c>
      <c r="D268">
        <f t="shared" ref="D268:D331" si="45">SIN($A268*$C$1)</f>
        <v>-0.80901699437494823</v>
      </c>
      <c r="E268">
        <f t="shared" ca="1" si="41"/>
        <v>-3.0848880783196363E-13</v>
      </c>
      <c r="F268">
        <f t="shared" ref="F268:F331" ca="1" si="46">F267+$E268*COS($A268*$C$1)</f>
        <v>142.66582863561558</v>
      </c>
      <c r="G268">
        <f t="shared" ref="G268:G331" ca="1" si="47">G267+$E268*SIN($A268*$C$1)</f>
        <v>46.354937703100198</v>
      </c>
      <c r="H268">
        <f t="shared" ca="1" si="42"/>
        <v>150.00772949999987</v>
      </c>
      <c r="I268">
        <f t="shared" ref="I268:I331" ca="1" si="48">IF(F268="","",ATAN2(G268,F268)*180/PI())</f>
        <v>71.999999999999957</v>
      </c>
      <c r="K268">
        <f t="shared" ca="1" si="39"/>
        <v>-5.4001247917767614E-13</v>
      </c>
    </row>
    <row r="269" spans="1:11" x14ac:dyDescent="0.25">
      <c r="A269">
        <f t="shared" si="43"/>
        <v>0.25800000000000001</v>
      </c>
      <c r="B269">
        <f t="shared" si="40"/>
        <v>124.695702347588</v>
      </c>
      <c r="C269">
        <f t="shared" si="44"/>
        <v>0.80901699437494767</v>
      </c>
      <c r="D269">
        <f t="shared" si="45"/>
        <v>-0.5877852522924728</v>
      </c>
      <c r="E269">
        <f t="shared" ca="1" si="41"/>
        <v>8.3402511563690492E-14</v>
      </c>
      <c r="F269">
        <f t="shared" ca="1" si="46"/>
        <v>142.66582863561564</v>
      </c>
      <c r="G269">
        <f t="shared" ca="1" si="47"/>
        <v>46.354937703100148</v>
      </c>
      <c r="H269">
        <f t="shared" ca="1" si="42"/>
        <v>150.0077294999999</v>
      </c>
      <c r="I269">
        <f t="shared" ca="1" si="48"/>
        <v>71.999999999999986</v>
      </c>
      <c r="K269">
        <f t="shared" ca="1" si="39"/>
        <v>-5.4001247917767614E-13</v>
      </c>
    </row>
    <row r="270" spans="1:11" x14ac:dyDescent="0.25">
      <c r="A270">
        <f t="shared" si="43"/>
        <v>0.25900000000000001</v>
      </c>
      <c r="B270">
        <f t="shared" si="40"/>
        <v>171.62891027167259</v>
      </c>
      <c r="C270">
        <f t="shared" si="44"/>
        <v>0.9510565162951542</v>
      </c>
      <c r="D270">
        <f t="shared" si="45"/>
        <v>-0.3090169943749454</v>
      </c>
      <c r="E270">
        <f t="shared" ca="1" si="41"/>
        <v>-1.9092141201326738E-13</v>
      </c>
      <c r="F270">
        <f t="shared" ca="1" si="46"/>
        <v>142.66582863561547</v>
      </c>
      <c r="G270">
        <f t="shared" ca="1" si="47"/>
        <v>46.354937703100205</v>
      </c>
      <c r="H270">
        <f t="shared" ca="1" si="42"/>
        <v>150.00772949999975</v>
      </c>
      <c r="I270">
        <f t="shared" ca="1" si="48"/>
        <v>71.999999999999943</v>
      </c>
      <c r="K270">
        <f t="shared" ca="1" si="39"/>
        <v>-7.3896444519050419E-13</v>
      </c>
    </row>
    <row r="271" spans="1:11" x14ac:dyDescent="0.25">
      <c r="A271">
        <f t="shared" si="43"/>
        <v>0.26</v>
      </c>
      <c r="B271">
        <f t="shared" si="40"/>
        <v>201.7618846494361</v>
      </c>
      <c r="C271">
        <f t="shared" si="44"/>
        <v>1</v>
      </c>
      <c r="D271">
        <f t="shared" si="45"/>
        <v>3.9200413748385898E-15</v>
      </c>
      <c r="E271">
        <f t="shared" ca="1" si="41"/>
        <v>3.2155185181181876E-14</v>
      </c>
      <c r="F271">
        <f t="shared" ca="1" si="46"/>
        <v>142.6658286356155</v>
      </c>
      <c r="G271">
        <f t="shared" ca="1" si="47"/>
        <v>46.354937703100205</v>
      </c>
      <c r="H271">
        <f t="shared" ca="1" si="42"/>
        <v>150.00772949999978</v>
      </c>
      <c r="I271">
        <f t="shared" ca="1" si="48"/>
        <v>71.999999999999943</v>
      </c>
      <c r="K271">
        <f t="shared" ca="1" si="39"/>
        <v>-7.1054273576010019E-13</v>
      </c>
    </row>
    <row r="272" spans="1:11" x14ac:dyDescent="0.25">
      <c r="A272">
        <f t="shared" si="43"/>
        <v>0.26100000000000001</v>
      </c>
      <c r="B272">
        <f t="shared" si="40"/>
        <v>212.14500000000001</v>
      </c>
      <c r="C272">
        <f t="shared" si="44"/>
        <v>0.95105651629515187</v>
      </c>
      <c r="D272">
        <f t="shared" si="45"/>
        <v>0.30901699437495284</v>
      </c>
      <c r="E272">
        <f t="shared" ca="1" si="41"/>
        <v>0</v>
      </c>
      <c r="F272">
        <f t="shared" ca="1" si="46"/>
        <v>142.6658286356155</v>
      </c>
      <c r="G272">
        <f t="shared" ca="1" si="47"/>
        <v>46.354937703100205</v>
      </c>
      <c r="H272">
        <f t="shared" ca="1" si="42"/>
        <v>150.00772949999978</v>
      </c>
      <c r="I272">
        <f t="shared" ca="1" si="48"/>
        <v>71.999999999999943</v>
      </c>
      <c r="K272">
        <f t="shared" ca="1" si="39"/>
        <v>-6.8212102632969618E-13</v>
      </c>
    </row>
    <row r="273" spans="1:11" x14ac:dyDescent="0.25">
      <c r="A273">
        <f t="shared" si="43"/>
        <v>0.26200000000000001</v>
      </c>
      <c r="B273">
        <f t="shared" si="40"/>
        <v>201.76188464943442</v>
      </c>
      <c r="C273">
        <f t="shared" si="44"/>
        <v>0.80901699437494301</v>
      </c>
      <c r="D273">
        <f t="shared" si="45"/>
        <v>0.58778525229247913</v>
      </c>
      <c r="E273">
        <f t="shared" ca="1" si="41"/>
        <v>-3.0145486107358007E-14</v>
      </c>
      <c r="F273">
        <f t="shared" ca="1" si="46"/>
        <v>142.66582863561547</v>
      </c>
      <c r="G273">
        <f t="shared" ca="1" si="47"/>
        <v>46.354937703100191</v>
      </c>
      <c r="H273">
        <f t="shared" ca="1" si="42"/>
        <v>150.00772949999975</v>
      </c>
      <c r="I273">
        <f t="shared" ca="1" si="48"/>
        <v>71.999999999999943</v>
      </c>
      <c r="K273">
        <f t="shared" ca="1" si="39"/>
        <v>-6.8212102632969618E-13</v>
      </c>
    </row>
    <row r="274" spans="1:11" x14ac:dyDescent="0.25">
      <c r="A274">
        <f t="shared" si="43"/>
        <v>0.26300000000000001</v>
      </c>
      <c r="B274">
        <f t="shared" si="40"/>
        <v>171.62891027167296</v>
      </c>
      <c r="C274">
        <f t="shared" si="44"/>
        <v>0.5877852522924657</v>
      </c>
      <c r="D274">
        <f t="shared" si="45"/>
        <v>0.80901699437495289</v>
      </c>
      <c r="E274">
        <f t="shared" ca="1" si="41"/>
        <v>-6.0290972214716014E-14</v>
      </c>
      <c r="F274">
        <f t="shared" ca="1" si="46"/>
        <v>142.66582863561544</v>
      </c>
      <c r="G274">
        <f t="shared" ca="1" si="47"/>
        <v>46.354937703100141</v>
      </c>
      <c r="H274">
        <f t="shared" ca="1" si="42"/>
        <v>150.00772949999973</v>
      </c>
      <c r="I274">
        <f t="shared" ca="1" si="48"/>
        <v>71.999999999999957</v>
      </c>
      <c r="K274">
        <f t="shared" ca="1" si="39"/>
        <v>-6.8212102632969618E-13</v>
      </c>
    </row>
    <row r="275" spans="1:11" x14ac:dyDescent="0.25">
      <c r="A275">
        <f t="shared" si="43"/>
        <v>0.26400000000000001</v>
      </c>
      <c r="B275">
        <f t="shared" si="40"/>
        <v>124.69570234758363</v>
      </c>
      <c r="C275">
        <f t="shared" si="44"/>
        <v>0.30901699437493696</v>
      </c>
      <c r="D275">
        <f t="shared" si="45"/>
        <v>0.95105651629515697</v>
      </c>
      <c r="E275">
        <f t="shared" ca="1" si="41"/>
        <v>-8.3402511563690492E-14</v>
      </c>
      <c r="F275">
        <f t="shared" ca="1" si="46"/>
        <v>142.66582863561541</v>
      </c>
      <c r="G275">
        <f t="shared" ca="1" si="47"/>
        <v>46.354937703100063</v>
      </c>
      <c r="H275">
        <f t="shared" ca="1" si="42"/>
        <v>150.00772949999967</v>
      </c>
      <c r="I275">
        <f t="shared" ca="1" si="48"/>
        <v>71.999999999999986</v>
      </c>
      <c r="K275">
        <f t="shared" ca="1" si="39"/>
        <v>-7.1054273576010019E-13</v>
      </c>
    </row>
    <row r="276" spans="1:11" x14ac:dyDescent="0.25">
      <c r="A276">
        <f t="shared" si="43"/>
        <v>0.26500000000000001</v>
      </c>
      <c r="B276">
        <f t="shared" si="40"/>
        <v>65.556410271672107</v>
      </c>
      <c r="C276">
        <f t="shared" si="44"/>
        <v>1.4702865661075926E-15</v>
      </c>
      <c r="D276">
        <f t="shared" si="45"/>
        <v>1</v>
      </c>
      <c r="E276">
        <f t="shared" ca="1" si="41"/>
        <v>-9.6465555543545627E-14</v>
      </c>
      <c r="F276">
        <f t="shared" ca="1" si="46"/>
        <v>142.66582863561541</v>
      </c>
      <c r="G276">
        <f t="shared" ca="1" si="47"/>
        <v>46.354937703099964</v>
      </c>
      <c r="H276">
        <f t="shared" ca="1" si="42"/>
        <v>150.00772949999964</v>
      </c>
      <c r="I276">
        <f t="shared" ca="1" si="48"/>
        <v>72.000000000000028</v>
      </c>
      <c r="K276">
        <f t="shared" ca="1" si="39"/>
        <v>-5.9685589803848416E-13</v>
      </c>
    </row>
    <row r="277" spans="1:11" x14ac:dyDescent="0.25">
      <c r="A277">
        <f t="shared" si="43"/>
        <v>0.26600000000000001</v>
      </c>
      <c r="B277">
        <f t="shared" si="40"/>
        <v>1.4554450645989231E-12</v>
      </c>
      <c r="C277">
        <f t="shared" si="44"/>
        <v>-0.30901699437494773</v>
      </c>
      <c r="D277">
        <f t="shared" si="45"/>
        <v>0.95105651629515353</v>
      </c>
      <c r="E277">
        <f t="shared" ca="1" si="41"/>
        <v>-1.0291126774366558E-13</v>
      </c>
      <c r="F277">
        <f t="shared" ca="1" si="46"/>
        <v>142.66582863561544</v>
      </c>
      <c r="G277">
        <f t="shared" ca="1" si="47"/>
        <v>46.354937703099864</v>
      </c>
      <c r="H277">
        <f t="shared" ca="1" si="42"/>
        <v>150.00772949999964</v>
      </c>
      <c r="I277">
        <f t="shared" ca="1" si="48"/>
        <v>72.000000000000057</v>
      </c>
      <c r="K277">
        <f t="shared" ca="1" si="39"/>
        <v>-6.2527760746888816E-13</v>
      </c>
    </row>
    <row r="278" spans="1:11" x14ac:dyDescent="0.25">
      <c r="A278">
        <f t="shared" si="43"/>
        <v>0.26700000000000002</v>
      </c>
      <c r="B278">
        <f t="shared" si="40"/>
        <v>-65.556410271675063</v>
      </c>
      <c r="C278">
        <f t="shared" si="44"/>
        <v>-0.5877852522924748</v>
      </c>
      <c r="D278">
        <f t="shared" si="45"/>
        <v>0.80901699437494623</v>
      </c>
      <c r="E278">
        <f t="shared" ca="1" si="41"/>
        <v>-9.7470405080457561E-14</v>
      </c>
      <c r="F278">
        <f t="shared" ca="1" si="46"/>
        <v>142.6658286356155</v>
      </c>
      <c r="G278">
        <f t="shared" ca="1" si="47"/>
        <v>46.354937703099786</v>
      </c>
      <c r="H278">
        <f t="shared" ca="1" si="42"/>
        <v>150.00772949999964</v>
      </c>
      <c r="I278">
        <f t="shared" ca="1" si="48"/>
        <v>72.000000000000099</v>
      </c>
      <c r="K278">
        <f t="shared" ca="1" si="39"/>
        <v>-3.694822225952521E-13</v>
      </c>
    </row>
    <row r="279" spans="1:11" x14ac:dyDescent="0.25">
      <c r="A279">
        <f t="shared" si="43"/>
        <v>0.26800000000000002</v>
      </c>
      <c r="B279">
        <f t="shared" si="40"/>
        <v>-124.69570234758615</v>
      </c>
      <c r="C279">
        <f t="shared" si="44"/>
        <v>-0.80901699437494967</v>
      </c>
      <c r="D279">
        <f t="shared" si="45"/>
        <v>0.58778525229247003</v>
      </c>
      <c r="E279">
        <f t="shared" ca="1" si="41"/>
        <v>-8.2397662026778558E-14</v>
      </c>
      <c r="F279">
        <f t="shared" ca="1" si="46"/>
        <v>142.66582863561555</v>
      </c>
      <c r="G279">
        <f t="shared" ca="1" si="47"/>
        <v>46.354937703099736</v>
      </c>
      <c r="H279">
        <f t="shared" ca="1" si="42"/>
        <v>150.0077294999997</v>
      </c>
      <c r="I279">
        <f t="shared" ca="1" si="48"/>
        <v>72.000000000000128</v>
      </c>
      <c r="K279">
        <f t="shared" ca="1" si="39"/>
        <v>-3.694822225952521E-13</v>
      </c>
    </row>
    <row r="280" spans="1:11" x14ac:dyDescent="0.25">
      <c r="A280">
        <f t="shared" si="43"/>
        <v>0.26900000000000002</v>
      </c>
      <c r="B280">
        <f t="shared" si="40"/>
        <v>-171.62891027167481</v>
      </c>
      <c r="C280">
        <f t="shared" si="44"/>
        <v>-0.95105651629515531</v>
      </c>
      <c r="D280">
        <f t="shared" si="45"/>
        <v>0.30901699437494212</v>
      </c>
      <c r="E280">
        <f t="shared" ca="1" si="41"/>
        <v>-6.2300671288539882E-14</v>
      </c>
      <c r="F280">
        <f t="shared" ca="1" si="46"/>
        <v>142.66582863561561</v>
      </c>
      <c r="G280">
        <f t="shared" ca="1" si="47"/>
        <v>46.354937703099715</v>
      </c>
      <c r="H280">
        <f t="shared" ca="1" si="42"/>
        <v>150.00772949999975</v>
      </c>
      <c r="I280">
        <f t="shared" ca="1" si="48"/>
        <v>72.000000000000142</v>
      </c>
      <c r="K280">
        <f t="shared" ca="1" si="39"/>
        <v>0</v>
      </c>
    </row>
    <row r="281" spans="1:11" x14ac:dyDescent="0.25">
      <c r="A281">
        <f t="shared" si="43"/>
        <v>0.27</v>
      </c>
      <c r="B281">
        <f t="shared" si="40"/>
        <v>-201.76188464943539</v>
      </c>
      <c r="C281">
        <f t="shared" si="44"/>
        <v>-1</v>
      </c>
      <c r="D281">
        <f t="shared" si="45"/>
        <v>-7.3502402081482288E-15</v>
      </c>
      <c r="E281">
        <f t="shared" ca="1" si="41"/>
        <v>-3.2155185181181876E-14</v>
      </c>
      <c r="F281">
        <f t="shared" ca="1" si="46"/>
        <v>142.66582863561564</v>
      </c>
      <c r="G281">
        <f t="shared" ca="1" si="47"/>
        <v>46.354937703099715</v>
      </c>
      <c r="H281">
        <f t="shared" ca="1" si="42"/>
        <v>150.00772949999978</v>
      </c>
      <c r="I281">
        <f t="shared" ca="1" si="48"/>
        <v>72.000000000000142</v>
      </c>
      <c r="K281">
        <f t="shared" ca="1" si="39"/>
        <v>0</v>
      </c>
    </row>
    <row r="282" spans="1:11" x14ac:dyDescent="0.25">
      <c r="A282">
        <f t="shared" si="43"/>
        <v>0.27100000000000002</v>
      </c>
      <c r="B282">
        <f t="shared" si="40"/>
        <v>-212.14500000000001</v>
      </c>
      <c r="C282">
        <f t="shared" si="44"/>
        <v>-0.95105651629515076</v>
      </c>
      <c r="D282">
        <f t="shared" si="45"/>
        <v>-0.30901699437495611</v>
      </c>
      <c r="E282">
        <f t="shared" ca="1" si="41"/>
        <v>0</v>
      </c>
      <c r="F282">
        <f t="shared" ca="1" si="46"/>
        <v>142.66582863561564</v>
      </c>
      <c r="G282">
        <f t="shared" ca="1" si="47"/>
        <v>46.354937703099715</v>
      </c>
      <c r="H282">
        <f t="shared" ca="1" si="42"/>
        <v>150.00772949999978</v>
      </c>
      <c r="I282">
        <f t="shared" ca="1" si="48"/>
        <v>72.000000000000142</v>
      </c>
      <c r="K282">
        <f t="shared" ca="1" si="39"/>
        <v>0</v>
      </c>
    </row>
    <row r="283" spans="1:11" x14ac:dyDescent="0.25">
      <c r="A283">
        <f t="shared" si="43"/>
        <v>0.27200000000000002</v>
      </c>
      <c r="B283">
        <f t="shared" si="40"/>
        <v>-201.76188464943513</v>
      </c>
      <c r="C283">
        <f t="shared" si="44"/>
        <v>-0.80901699437494101</v>
      </c>
      <c r="D283">
        <f t="shared" si="45"/>
        <v>-0.58778525229248191</v>
      </c>
      <c r="E283">
        <f t="shared" ca="1" si="41"/>
        <v>3.0145486107358007E-14</v>
      </c>
      <c r="F283">
        <f t="shared" ca="1" si="46"/>
        <v>142.66582863561561</v>
      </c>
      <c r="G283">
        <f t="shared" ca="1" si="47"/>
        <v>46.354937703099701</v>
      </c>
      <c r="H283">
        <f t="shared" ca="1" si="42"/>
        <v>150.00772949999973</v>
      </c>
      <c r="I283">
        <f t="shared" ca="1" si="48"/>
        <v>72.000000000000142</v>
      </c>
      <c r="K283">
        <f t="shared" ca="1" si="39"/>
        <v>0</v>
      </c>
    </row>
    <row r="284" spans="1:11" x14ac:dyDescent="0.25">
      <c r="A284">
        <f t="shared" si="43"/>
        <v>0.27300000000000002</v>
      </c>
      <c r="B284">
        <f t="shared" si="40"/>
        <v>-171.62891027167078</v>
      </c>
      <c r="C284">
        <f t="shared" si="44"/>
        <v>-0.58778525229246292</v>
      </c>
      <c r="D284">
        <f t="shared" si="45"/>
        <v>-0.80901699437495489</v>
      </c>
      <c r="E284">
        <f t="shared" ca="1" si="41"/>
        <v>6.0290972214716014E-14</v>
      </c>
      <c r="F284">
        <f t="shared" ca="1" si="46"/>
        <v>142.66582863561558</v>
      </c>
      <c r="G284">
        <f t="shared" ca="1" si="47"/>
        <v>46.354937703099651</v>
      </c>
      <c r="H284">
        <f t="shared" ca="1" si="42"/>
        <v>150.0077294999997</v>
      </c>
      <c r="I284">
        <f t="shared" ca="1" si="48"/>
        <v>72.000000000000156</v>
      </c>
      <c r="K284">
        <f t="shared" ca="1" si="39"/>
        <v>0</v>
      </c>
    </row>
    <row r="285" spans="1:11" x14ac:dyDescent="0.25">
      <c r="A285">
        <f t="shared" si="43"/>
        <v>0.27400000000000002</v>
      </c>
      <c r="B285">
        <f t="shared" si="40"/>
        <v>-124.69570234758547</v>
      </c>
      <c r="C285">
        <f t="shared" si="44"/>
        <v>-0.30901699437494723</v>
      </c>
      <c r="D285">
        <f t="shared" si="45"/>
        <v>-0.95105651629515364</v>
      </c>
      <c r="E285">
        <f t="shared" ca="1" si="41"/>
        <v>8.3402511563690492E-14</v>
      </c>
      <c r="F285">
        <f t="shared" ca="1" si="46"/>
        <v>142.66582863561555</v>
      </c>
      <c r="G285">
        <f t="shared" ca="1" si="47"/>
        <v>46.354937703099573</v>
      </c>
      <c r="H285">
        <f t="shared" ca="1" si="42"/>
        <v>150.00772949999964</v>
      </c>
      <c r="I285">
        <f t="shared" ca="1" si="48"/>
        <v>72.000000000000185</v>
      </c>
      <c r="K285">
        <f t="shared" ca="1" si="39"/>
        <v>0</v>
      </c>
    </row>
    <row r="286" spans="1:11" x14ac:dyDescent="0.25">
      <c r="A286">
        <f t="shared" si="43"/>
        <v>0.27500000000000002</v>
      </c>
      <c r="B286">
        <f t="shared" si="40"/>
        <v>-65.556410271674281</v>
      </c>
      <c r="C286">
        <f t="shared" si="44"/>
        <v>1.9599122672020464E-15</v>
      </c>
      <c r="D286">
        <f t="shared" si="45"/>
        <v>-1</v>
      </c>
      <c r="E286">
        <f t="shared" ca="1" si="41"/>
        <v>9.7470405080457561E-14</v>
      </c>
      <c r="F286">
        <f t="shared" ca="1" si="46"/>
        <v>142.66582863561555</v>
      </c>
      <c r="G286">
        <f t="shared" ca="1" si="47"/>
        <v>46.354937703099473</v>
      </c>
      <c r="H286">
        <f t="shared" ca="1" si="42"/>
        <v>150.00772949999961</v>
      </c>
      <c r="I286">
        <f t="shared" ca="1" si="48"/>
        <v>72.000000000000213</v>
      </c>
      <c r="K286">
        <f t="shared" ca="1" si="39"/>
        <v>0</v>
      </c>
    </row>
    <row r="287" spans="1:11" x14ac:dyDescent="0.25">
      <c r="A287">
        <f t="shared" si="43"/>
        <v>0.27600000000000002</v>
      </c>
      <c r="B287">
        <f t="shared" si="40"/>
        <v>2.2870162404500794E-12</v>
      </c>
      <c r="C287">
        <f t="shared" si="44"/>
        <v>0.30901699437495095</v>
      </c>
      <c r="D287">
        <f t="shared" si="45"/>
        <v>-0.95105651629515242</v>
      </c>
      <c r="E287">
        <f t="shared" ca="1" si="41"/>
        <v>1.0291126774366557E-13</v>
      </c>
      <c r="F287">
        <f t="shared" ca="1" si="46"/>
        <v>142.66582863561558</v>
      </c>
      <c r="G287">
        <f t="shared" ca="1" si="47"/>
        <v>46.354937703099374</v>
      </c>
      <c r="H287">
        <f t="shared" ca="1" si="42"/>
        <v>150.00772949999961</v>
      </c>
      <c r="I287">
        <f t="shared" ca="1" si="48"/>
        <v>72.00000000000027</v>
      </c>
      <c r="K287">
        <f t="shared" ref="K287:K350" ca="1" si="49">F287-F268</f>
        <v>0</v>
      </c>
    </row>
    <row r="288" spans="1:11" x14ac:dyDescent="0.25">
      <c r="A288">
        <f t="shared" si="43"/>
        <v>0.27700000000000002</v>
      </c>
      <c r="B288">
        <f t="shared" si="40"/>
        <v>65.556410271672888</v>
      </c>
      <c r="C288">
        <f t="shared" si="44"/>
        <v>0.58778525229247758</v>
      </c>
      <c r="D288">
        <f t="shared" si="45"/>
        <v>-0.80901699437494423</v>
      </c>
      <c r="E288">
        <f t="shared" ca="1" si="41"/>
        <v>9.8475254617369496E-14</v>
      </c>
      <c r="F288">
        <f t="shared" ca="1" si="46"/>
        <v>142.66582863561564</v>
      </c>
      <c r="G288">
        <f t="shared" ca="1" si="47"/>
        <v>46.354937703099296</v>
      </c>
      <c r="H288">
        <f t="shared" ca="1" si="42"/>
        <v>150.00772949999964</v>
      </c>
      <c r="I288">
        <f t="shared" ca="1" si="48"/>
        <v>72.000000000000284</v>
      </c>
      <c r="K288">
        <f t="shared" ca="1" si="49"/>
        <v>0</v>
      </c>
    </row>
    <row r="289" spans="1:11" x14ac:dyDescent="0.25">
      <c r="A289">
        <f t="shared" si="43"/>
        <v>0.27800000000000002</v>
      </c>
      <c r="B289">
        <f t="shared" si="40"/>
        <v>124.69570234758918</v>
      </c>
      <c r="C289">
        <f t="shared" si="44"/>
        <v>0.80901699437495167</v>
      </c>
      <c r="D289">
        <f t="shared" si="45"/>
        <v>-0.58778525229246725</v>
      </c>
      <c r="E289">
        <f t="shared" ca="1" si="41"/>
        <v>8.3402511563690492E-14</v>
      </c>
      <c r="F289">
        <f t="shared" ca="1" si="46"/>
        <v>142.6658286356157</v>
      </c>
      <c r="G289">
        <f t="shared" ca="1" si="47"/>
        <v>46.354937703099246</v>
      </c>
      <c r="H289">
        <f t="shared" ca="1" si="42"/>
        <v>150.00772949999967</v>
      </c>
      <c r="I289">
        <f t="shared" ca="1" si="48"/>
        <v>72.000000000000313</v>
      </c>
      <c r="K289">
        <f t="shared" ca="1" si="49"/>
        <v>2.2737367544323206E-13</v>
      </c>
    </row>
    <row r="290" spans="1:11" x14ac:dyDescent="0.25">
      <c r="A290">
        <f t="shared" si="43"/>
        <v>0.27900000000000003</v>
      </c>
      <c r="B290">
        <f t="shared" si="40"/>
        <v>171.62891027167348</v>
      </c>
      <c r="C290">
        <f t="shared" si="44"/>
        <v>0.95105651629515631</v>
      </c>
      <c r="D290">
        <f t="shared" si="45"/>
        <v>-0.30901699437493885</v>
      </c>
      <c r="E290">
        <f t="shared" ca="1" si="41"/>
        <v>6.2300671288539882E-14</v>
      </c>
      <c r="F290">
        <f t="shared" ca="1" si="46"/>
        <v>142.66582863561575</v>
      </c>
      <c r="G290">
        <f t="shared" ca="1" si="47"/>
        <v>46.354937703099225</v>
      </c>
      <c r="H290">
        <f t="shared" ca="1" si="42"/>
        <v>150.00772949999973</v>
      </c>
      <c r="I290">
        <f t="shared" ca="1" si="48"/>
        <v>72.000000000000341</v>
      </c>
      <c r="K290">
        <f t="shared" ca="1" si="49"/>
        <v>2.5579538487363607E-13</v>
      </c>
    </row>
    <row r="291" spans="1:11" x14ac:dyDescent="0.25">
      <c r="A291">
        <f t="shared" si="43"/>
        <v>0.28000000000000003</v>
      </c>
      <c r="B291">
        <f t="shared" si="40"/>
        <v>201.76188464943652</v>
      </c>
      <c r="C291">
        <f t="shared" si="44"/>
        <v>1</v>
      </c>
      <c r="D291">
        <f t="shared" si="45"/>
        <v>1.0780439041457868E-14</v>
      </c>
      <c r="E291">
        <f t="shared" ca="1" si="41"/>
        <v>3.0145486107358007E-14</v>
      </c>
      <c r="F291">
        <f t="shared" ca="1" si="46"/>
        <v>142.66582863561578</v>
      </c>
      <c r="G291">
        <f t="shared" ca="1" si="47"/>
        <v>46.354937703099225</v>
      </c>
      <c r="H291">
        <f t="shared" ca="1" si="42"/>
        <v>150.00772949999975</v>
      </c>
      <c r="I291">
        <f t="shared" ca="1" si="48"/>
        <v>72.000000000000341</v>
      </c>
      <c r="K291">
        <f t="shared" ca="1" si="49"/>
        <v>2.8421709430404007E-13</v>
      </c>
    </row>
    <row r="292" spans="1:11" x14ac:dyDescent="0.25">
      <c r="A292">
        <f t="shared" si="43"/>
        <v>0.28100000000000003</v>
      </c>
      <c r="B292">
        <f t="shared" si="40"/>
        <v>212.14500000000001</v>
      </c>
      <c r="C292">
        <f t="shared" si="44"/>
        <v>0.95105651629514965</v>
      </c>
      <c r="D292">
        <f t="shared" si="45"/>
        <v>0.30901699437495933</v>
      </c>
      <c r="E292">
        <f t="shared" ca="1" si="41"/>
        <v>0</v>
      </c>
      <c r="F292">
        <f t="shared" ca="1" si="46"/>
        <v>142.66582863561578</v>
      </c>
      <c r="G292">
        <f t="shared" ca="1" si="47"/>
        <v>46.354937703099225</v>
      </c>
      <c r="H292">
        <f t="shared" ca="1" si="42"/>
        <v>150.00772949999975</v>
      </c>
      <c r="I292">
        <f t="shared" ca="1" si="48"/>
        <v>72.000000000000341</v>
      </c>
      <c r="K292">
        <f t="shared" ca="1" si="49"/>
        <v>3.1263880373444408E-13</v>
      </c>
    </row>
    <row r="293" spans="1:11" x14ac:dyDescent="0.25">
      <c r="A293">
        <f t="shared" si="43"/>
        <v>0.28200000000000003</v>
      </c>
      <c r="B293">
        <f t="shared" ref="B293:B356" si="50">1.5*$B$6*SIN((A293*$C$1)+PI()/2.5)</f>
        <v>201.76188464943397</v>
      </c>
      <c r="C293">
        <f t="shared" si="44"/>
        <v>0.80901699437493901</v>
      </c>
      <c r="D293">
        <f t="shared" si="45"/>
        <v>0.58778525229248468</v>
      </c>
      <c r="E293">
        <f t="shared" ca="1" si="41"/>
        <v>-3.2155185181181876E-14</v>
      </c>
      <c r="F293">
        <f t="shared" ca="1" si="46"/>
        <v>142.66582863561575</v>
      </c>
      <c r="G293">
        <f t="shared" ca="1" si="47"/>
        <v>46.354937703099203</v>
      </c>
      <c r="H293">
        <f t="shared" ca="1" si="42"/>
        <v>150.00772949999973</v>
      </c>
      <c r="I293">
        <f t="shared" ca="1" si="48"/>
        <v>72.000000000000341</v>
      </c>
      <c r="K293">
        <f t="shared" ca="1" si="49"/>
        <v>3.1263880373444408E-13</v>
      </c>
    </row>
    <row r="294" spans="1:11" x14ac:dyDescent="0.25">
      <c r="A294">
        <f t="shared" si="43"/>
        <v>0.28300000000000003</v>
      </c>
      <c r="B294">
        <f t="shared" si="50"/>
        <v>171.62891027167214</v>
      </c>
      <c r="C294">
        <f t="shared" si="44"/>
        <v>0.58778525229246015</v>
      </c>
      <c r="D294">
        <f t="shared" si="45"/>
        <v>0.80901699437495689</v>
      </c>
      <c r="E294">
        <f t="shared" ca="1" si="41"/>
        <v>-5.8281273140892145E-14</v>
      </c>
      <c r="F294">
        <f t="shared" ca="1" si="46"/>
        <v>142.66582863561572</v>
      </c>
      <c r="G294">
        <f t="shared" ca="1" si="47"/>
        <v>46.354937703099154</v>
      </c>
      <c r="H294">
        <f t="shared" ca="1" si="42"/>
        <v>150.00772949999967</v>
      </c>
      <c r="I294">
        <f t="shared" ca="1" si="48"/>
        <v>72.000000000000355</v>
      </c>
      <c r="K294">
        <f t="shared" ca="1" si="49"/>
        <v>3.1263880373444408E-13</v>
      </c>
    </row>
    <row r="295" spans="1:11" x14ac:dyDescent="0.25">
      <c r="A295">
        <f t="shared" si="43"/>
        <v>0.28400000000000003</v>
      </c>
      <c r="B295">
        <f t="shared" si="50"/>
        <v>124.69570234758733</v>
      </c>
      <c r="C295">
        <f t="shared" si="44"/>
        <v>0.30901699437494395</v>
      </c>
      <c r="D295">
        <f t="shared" si="45"/>
        <v>0.95105651629515464</v>
      </c>
      <c r="E295">
        <f t="shared" ca="1" si="41"/>
        <v>2.6126087959710274E-13</v>
      </c>
      <c r="F295">
        <f t="shared" ca="1" si="46"/>
        <v>142.66582863561581</v>
      </c>
      <c r="G295">
        <f t="shared" ca="1" si="47"/>
        <v>46.354937703099402</v>
      </c>
      <c r="H295">
        <f t="shared" ca="1" si="42"/>
        <v>150.00772949999984</v>
      </c>
      <c r="I295">
        <f t="shared" ca="1" si="48"/>
        <v>72.000000000000284</v>
      </c>
      <c r="K295">
        <f t="shared" ca="1" si="49"/>
        <v>3.979039320256561E-13</v>
      </c>
    </row>
    <row r="296" spans="1:11" x14ac:dyDescent="0.25">
      <c r="A296">
        <f t="shared" si="43"/>
        <v>0.28500000000000003</v>
      </c>
      <c r="B296">
        <f t="shared" si="50"/>
        <v>65.556410271670714</v>
      </c>
      <c r="C296">
        <f t="shared" si="44"/>
        <v>-5.3901111005116853E-15</v>
      </c>
      <c r="D296">
        <f t="shared" si="45"/>
        <v>1</v>
      </c>
      <c r="E296">
        <f t="shared" ca="1" si="41"/>
        <v>-9.8475254617369496E-14</v>
      </c>
      <c r="F296">
        <f t="shared" ca="1" si="46"/>
        <v>142.66582863561581</v>
      </c>
      <c r="G296">
        <f t="shared" ca="1" si="47"/>
        <v>46.354937703099303</v>
      </c>
      <c r="H296">
        <f t="shared" ca="1" si="42"/>
        <v>150.00772949999981</v>
      </c>
      <c r="I296">
        <f t="shared" ca="1" si="48"/>
        <v>72.000000000000313</v>
      </c>
      <c r="K296">
        <f t="shared" ca="1" si="49"/>
        <v>3.694822225952521E-13</v>
      </c>
    </row>
    <row r="297" spans="1:11" x14ac:dyDescent="0.25">
      <c r="A297">
        <f t="shared" si="43"/>
        <v>0.28600000000000003</v>
      </c>
      <c r="B297">
        <f t="shared" si="50"/>
        <v>4.600161397638747E-17</v>
      </c>
      <c r="C297">
        <f t="shared" si="44"/>
        <v>-0.30901699437495422</v>
      </c>
      <c r="D297">
        <f t="shared" si="45"/>
        <v>0.95105651629515131</v>
      </c>
      <c r="E297">
        <f t="shared" ca="1" si="41"/>
        <v>-1.0291126774366558E-13</v>
      </c>
      <c r="F297">
        <f t="shared" ca="1" si="46"/>
        <v>142.66582863561584</v>
      </c>
      <c r="G297">
        <f t="shared" ca="1" si="47"/>
        <v>46.354937703099203</v>
      </c>
      <c r="H297">
        <f t="shared" ca="1" si="42"/>
        <v>150.00772949999981</v>
      </c>
      <c r="I297">
        <f t="shared" ca="1" si="48"/>
        <v>72.000000000000355</v>
      </c>
      <c r="K297">
        <f t="shared" ca="1" si="49"/>
        <v>3.4106051316484809E-13</v>
      </c>
    </row>
    <row r="298" spans="1:11" x14ac:dyDescent="0.25">
      <c r="A298">
        <f t="shared" si="43"/>
        <v>0.28700000000000003</v>
      </c>
      <c r="B298">
        <f t="shared" si="50"/>
        <v>-65.556410271676441</v>
      </c>
      <c r="C298">
        <f t="shared" si="44"/>
        <v>-0.58778525229248035</v>
      </c>
      <c r="D298">
        <f t="shared" si="45"/>
        <v>0.80901699437494223</v>
      </c>
      <c r="E298">
        <f t="shared" ca="1" si="41"/>
        <v>-9.7470405080457561E-14</v>
      </c>
      <c r="F298">
        <f t="shared" ca="1" si="46"/>
        <v>142.6658286356159</v>
      </c>
      <c r="G298">
        <f t="shared" ca="1" si="47"/>
        <v>46.354937703099125</v>
      </c>
      <c r="H298">
        <f t="shared" ca="1" si="42"/>
        <v>150.00772949999984</v>
      </c>
      <c r="I298">
        <f t="shared" ca="1" si="48"/>
        <v>72.000000000000384</v>
      </c>
      <c r="K298">
        <f t="shared" ca="1" si="49"/>
        <v>3.4106051316484809E-13</v>
      </c>
    </row>
    <row r="299" spans="1:11" x14ac:dyDescent="0.25">
      <c r="A299">
        <f t="shared" si="43"/>
        <v>0.28800000000000003</v>
      </c>
      <c r="B299">
        <f t="shared" si="50"/>
        <v>-124.69570234758733</v>
      </c>
      <c r="C299">
        <f t="shared" si="44"/>
        <v>-0.80901699437495367</v>
      </c>
      <c r="D299">
        <f t="shared" si="45"/>
        <v>0.58778525229246448</v>
      </c>
      <c r="E299">
        <f t="shared" ca="1" si="41"/>
        <v>-8.3402511563690492E-14</v>
      </c>
      <c r="F299">
        <f t="shared" ca="1" si="46"/>
        <v>142.66582863561595</v>
      </c>
      <c r="G299">
        <f t="shared" ca="1" si="47"/>
        <v>46.354937703099075</v>
      </c>
      <c r="H299">
        <f t="shared" ca="1" si="42"/>
        <v>150.00772949999987</v>
      </c>
      <c r="I299">
        <f t="shared" ca="1" si="48"/>
        <v>72.000000000000412</v>
      </c>
      <c r="K299">
        <f t="shared" ca="1" si="49"/>
        <v>3.4106051316484809E-13</v>
      </c>
    </row>
    <row r="300" spans="1:11" x14ac:dyDescent="0.25">
      <c r="A300">
        <f t="shared" si="43"/>
        <v>0.28899999999999998</v>
      </c>
      <c r="B300">
        <f t="shared" si="50"/>
        <v>-171.62891027167214</v>
      </c>
      <c r="C300">
        <f t="shared" si="44"/>
        <v>-0.95105651629515298</v>
      </c>
      <c r="D300">
        <f t="shared" si="45"/>
        <v>0.30901699437494912</v>
      </c>
      <c r="E300">
        <f t="shared" ca="1" si="41"/>
        <v>1.8891171293944352E-13</v>
      </c>
      <c r="F300">
        <f t="shared" ca="1" si="46"/>
        <v>142.66582863561578</v>
      </c>
      <c r="G300">
        <f t="shared" ca="1" si="47"/>
        <v>46.354937703099132</v>
      </c>
      <c r="H300">
        <f t="shared" ca="1" si="42"/>
        <v>150.00772949999973</v>
      </c>
      <c r="I300">
        <f t="shared" ca="1" si="48"/>
        <v>72.000000000000369</v>
      </c>
      <c r="K300">
        <f t="shared" ca="1" si="49"/>
        <v>0</v>
      </c>
    </row>
    <row r="301" spans="1:11" x14ac:dyDescent="0.25">
      <c r="A301">
        <f t="shared" si="43"/>
        <v>0.28999999999999998</v>
      </c>
      <c r="B301">
        <f t="shared" si="50"/>
        <v>-201.76188464943581</v>
      </c>
      <c r="C301">
        <f t="shared" si="44"/>
        <v>-1</v>
      </c>
      <c r="D301">
        <f t="shared" si="45"/>
        <v>2.1684043449710089E-19</v>
      </c>
      <c r="E301">
        <f t="shared" ca="1" si="41"/>
        <v>-3.0145486107358007E-14</v>
      </c>
      <c r="F301">
        <f t="shared" ca="1" si="46"/>
        <v>142.66582863561581</v>
      </c>
      <c r="G301">
        <f t="shared" ca="1" si="47"/>
        <v>46.354937703099132</v>
      </c>
      <c r="H301">
        <f t="shared" ca="1" si="42"/>
        <v>150.00772949999975</v>
      </c>
      <c r="I301">
        <f t="shared" ca="1" si="48"/>
        <v>72.000000000000384</v>
      </c>
      <c r="K301">
        <f t="shared" ca="1" si="49"/>
        <v>0</v>
      </c>
    </row>
    <row r="302" spans="1:11" x14ac:dyDescent="0.25">
      <c r="A302">
        <f t="shared" si="43"/>
        <v>0.29099999999999998</v>
      </c>
      <c r="B302">
        <f t="shared" si="50"/>
        <v>-212.14500000000001</v>
      </c>
      <c r="C302">
        <f t="shared" si="44"/>
        <v>-0.95105651629515742</v>
      </c>
      <c r="D302">
        <f t="shared" si="45"/>
        <v>-0.30901699437493557</v>
      </c>
      <c r="E302">
        <f t="shared" ca="1" si="41"/>
        <v>0</v>
      </c>
      <c r="F302">
        <f t="shared" ca="1" si="46"/>
        <v>142.66582863561581</v>
      </c>
      <c r="G302">
        <f t="shared" ca="1" si="47"/>
        <v>46.354937703099132</v>
      </c>
      <c r="H302">
        <f t="shared" ca="1" si="42"/>
        <v>150.00772949999975</v>
      </c>
      <c r="I302">
        <f t="shared" ca="1" si="48"/>
        <v>72.000000000000384</v>
      </c>
      <c r="K302">
        <f t="shared" ca="1" si="49"/>
        <v>0</v>
      </c>
    </row>
    <row r="303" spans="1:11" x14ac:dyDescent="0.25">
      <c r="A303">
        <f t="shared" si="43"/>
        <v>0.29199999999999998</v>
      </c>
      <c r="B303">
        <f t="shared" si="50"/>
        <v>-201.76188464943652</v>
      </c>
      <c r="C303">
        <f t="shared" si="44"/>
        <v>-0.80901699437495367</v>
      </c>
      <c r="D303">
        <f t="shared" si="45"/>
        <v>-0.58778525229246448</v>
      </c>
      <c r="E303">
        <f t="shared" ca="1" si="41"/>
        <v>-9.8475254617369496E-14</v>
      </c>
      <c r="F303">
        <f t="shared" ca="1" si="46"/>
        <v>142.6658286356159</v>
      </c>
      <c r="G303">
        <f t="shared" ca="1" si="47"/>
        <v>46.354937703099189</v>
      </c>
      <c r="H303">
        <f t="shared" ca="1" si="42"/>
        <v>150.00772949999987</v>
      </c>
      <c r="I303">
        <f t="shared" ca="1" si="48"/>
        <v>72.000000000000369</v>
      </c>
      <c r="K303">
        <f t="shared" ca="1" si="49"/>
        <v>3.1263880373444408E-13</v>
      </c>
    </row>
    <row r="304" spans="1:11" x14ac:dyDescent="0.25">
      <c r="A304">
        <f t="shared" si="43"/>
        <v>0.29299999999999998</v>
      </c>
      <c r="B304">
        <f t="shared" si="50"/>
        <v>-171.62891027167348</v>
      </c>
      <c r="C304">
        <f t="shared" si="44"/>
        <v>-0.58778525229248035</v>
      </c>
      <c r="D304">
        <f t="shared" si="45"/>
        <v>-0.80901699437494223</v>
      </c>
      <c r="E304">
        <f t="shared" ca="1" si="41"/>
        <v>-1.9092141201326738E-13</v>
      </c>
      <c r="F304">
        <f t="shared" ca="1" si="46"/>
        <v>142.66582863561601</v>
      </c>
      <c r="G304">
        <f t="shared" ca="1" si="47"/>
        <v>46.354937703099345</v>
      </c>
      <c r="H304">
        <f t="shared" ca="1" si="42"/>
        <v>150.00772950000001</v>
      </c>
      <c r="I304">
        <f t="shared" ca="1" si="48"/>
        <v>72.000000000000313</v>
      </c>
      <c r="K304">
        <f t="shared" ca="1" si="49"/>
        <v>4.5474735088646412E-13</v>
      </c>
    </row>
    <row r="305" spans="1:11" x14ac:dyDescent="0.25">
      <c r="A305">
        <f t="shared" si="43"/>
        <v>0.29399999999999998</v>
      </c>
      <c r="B305">
        <f t="shared" si="50"/>
        <v>-124.69570234758918</v>
      </c>
      <c r="C305">
        <f t="shared" si="44"/>
        <v>-0.30901699437495422</v>
      </c>
      <c r="D305">
        <f t="shared" si="45"/>
        <v>-0.95105651629515131</v>
      </c>
      <c r="E305">
        <f t="shared" ca="1" si="41"/>
        <v>-2.6226572913401465E-13</v>
      </c>
      <c r="F305">
        <f t="shared" ca="1" si="46"/>
        <v>142.66582863561609</v>
      </c>
      <c r="G305">
        <f t="shared" ca="1" si="47"/>
        <v>46.354937703099594</v>
      </c>
      <c r="H305">
        <f t="shared" ca="1" si="42"/>
        <v>150.00772950000015</v>
      </c>
      <c r="I305">
        <f t="shared" ca="1" si="48"/>
        <v>72.000000000000242</v>
      </c>
      <c r="K305">
        <f t="shared" ca="1" si="49"/>
        <v>5.4001247917767614E-13</v>
      </c>
    </row>
    <row r="306" spans="1:11" x14ac:dyDescent="0.25">
      <c r="A306">
        <f t="shared" si="43"/>
        <v>0.29499999999999998</v>
      </c>
      <c r="B306">
        <f t="shared" si="50"/>
        <v>-65.556410271672888</v>
      </c>
      <c r="C306">
        <f t="shared" si="44"/>
        <v>-5.3905447813806795E-15</v>
      </c>
      <c r="D306">
        <f t="shared" si="45"/>
        <v>-1</v>
      </c>
      <c r="E306">
        <f t="shared" ca="1" si="41"/>
        <v>9.8475254617369496E-14</v>
      </c>
      <c r="F306">
        <f t="shared" ca="1" si="46"/>
        <v>142.66582863561609</v>
      </c>
      <c r="G306">
        <f t="shared" ca="1" si="47"/>
        <v>46.354937703099495</v>
      </c>
      <c r="H306">
        <f t="shared" ca="1" si="42"/>
        <v>150.00772950000015</v>
      </c>
      <c r="I306">
        <f t="shared" ca="1" si="48"/>
        <v>72.000000000000284</v>
      </c>
      <c r="K306">
        <f t="shared" ca="1" si="49"/>
        <v>5.1159076974727213E-13</v>
      </c>
    </row>
    <row r="307" spans="1:11" x14ac:dyDescent="0.25">
      <c r="A307">
        <f t="shared" si="43"/>
        <v>0.29599999999999999</v>
      </c>
      <c r="B307">
        <f t="shared" si="50"/>
        <v>-2.2871082436780324E-12</v>
      </c>
      <c r="C307">
        <f t="shared" si="44"/>
        <v>0.30901699437494395</v>
      </c>
      <c r="D307">
        <f t="shared" si="45"/>
        <v>-0.95105651629515464</v>
      </c>
      <c r="E307">
        <f t="shared" ca="1" si="41"/>
        <v>-3.2343634227269874E-13</v>
      </c>
      <c r="F307">
        <f t="shared" ca="1" si="46"/>
        <v>142.66582863561598</v>
      </c>
      <c r="G307">
        <f t="shared" ca="1" si="47"/>
        <v>46.3549377030998</v>
      </c>
      <c r="H307">
        <f t="shared" ca="1" si="42"/>
        <v>150.00772950000012</v>
      </c>
      <c r="I307">
        <f t="shared" ca="1" si="48"/>
        <v>72.000000000000156</v>
      </c>
      <c r="K307">
        <f t="shared" ca="1" si="49"/>
        <v>3.4106051316484809E-13</v>
      </c>
    </row>
    <row r="308" spans="1:11" x14ac:dyDescent="0.25">
      <c r="A308">
        <f t="shared" si="43"/>
        <v>0.29699999999999999</v>
      </c>
      <c r="B308">
        <f t="shared" si="50"/>
        <v>65.556410271674267</v>
      </c>
      <c r="C308">
        <f t="shared" si="44"/>
        <v>0.58778525229247158</v>
      </c>
      <c r="D308">
        <f t="shared" si="45"/>
        <v>-0.80901699437494856</v>
      </c>
      <c r="E308">
        <f t="shared" ca="1" si="41"/>
        <v>9.7470405080457561E-14</v>
      </c>
      <c r="F308">
        <f t="shared" ca="1" si="46"/>
        <v>142.66582863561604</v>
      </c>
      <c r="G308">
        <f t="shared" ca="1" si="47"/>
        <v>46.354937703099722</v>
      </c>
      <c r="H308">
        <f t="shared" ca="1" si="42"/>
        <v>150.00772950000015</v>
      </c>
      <c r="I308">
        <f t="shared" ca="1" si="48"/>
        <v>72.000000000000185</v>
      </c>
      <c r="K308">
        <f t="shared" ca="1" si="49"/>
        <v>3.4106051316484809E-13</v>
      </c>
    </row>
    <row r="309" spans="1:11" x14ac:dyDescent="0.25">
      <c r="A309">
        <f t="shared" si="43"/>
        <v>0.29799999999999999</v>
      </c>
      <c r="B309">
        <f t="shared" si="50"/>
        <v>124.69570234758547</v>
      </c>
      <c r="C309">
        <f t="shared" si="44"/>
        <v>0.80901699437494734</v>
      </c>
      <c r="D309">
        <f t="shared" si="45"/>
        <v>-0.58778525229247325</v>
      </c>
      <c r="E309">
        <f t="shared" ca="1" si="41"/>
        <v>-2.6226572913401465E-13</v>
      </c>
      <c r="F309">
        <f t="shared" ca="1" si="46"/>
        <v>142.66582863561584</v>
      </c>
      <c r="G309">
        <f t="shared" ca="1" si="47"/>
        <v>46.354937703099878</v>
      </c>
      <c r="H309">
        <f t="shared" ca="1" si="42"/>
        <v>150.00772950000001</v>
      </c>
      <c r="I309">
        <f t="shared" ca="1" si="48"/>
        <v>72.000000000000099</v>
      </c>
      <c r="K309">
        <f t="shared" ca="1" si="49"/>
        <v>0</v>
      </c>
    </row>
    <row r="310" spans="1:11" x14ac:dyDescent="0.25">
      <c r="A310">
        <f t="shared" si="43"/>
        <v>0.29899999999999999</v>
      </c>
      <c r="B310">
        <f t="shared" si="50"/>
        <v>171.62891027167433</v>
      </c>
      <c r="C310">
        <f t="shared" si="44"/>
        <v>0.95105651629515409</v>
      </c>
      <c r="D310">
        <f t="shared" si="45"/>
        <v>-0.30901699437494584</v>
      </c>
      <c r="E310">
        <f t="shared" ca="1" si="41"/>
        <v>6.0290972214716014E-14</v>
      </c>
      <c r="F310">
        <f t="shared" ca="1" si="46"/>
        <v>142.6658286356159</v>
      </c>
      <c r="G310">
        <f t="shared" ca="1" si="47"/>
        <v>46.354937703099857</v>
      </c>
      <c r="H310">
        <f t="shared" ca="1" si="42"/>
        <v>150.00772950000007</v>
      </c>
      <c r="I310">
        <f t="shared" ca="1" si="48"/>
        <v>72.000000000000128</v>
      </c>
      <c r="K310">
        <f t="shared" ca="1" si="49"/>
        <v>0</v>
      </c>
    </row>
    <row r="311" spans="1:11" x14ac:dyDescent="0.25">
      <c r="A311">
        <f t="shared" si="43"/>
        <v>0.3</v>
      </c>
      <c r="B311">
        <f t="shared" si="50"/>
        <v>201.76188464943513</v>
      </c>
      <c r="C311">
        <f t="shared" si="44"/>
        <v>1</v>
      </c>
      <c r="D311">
        <f t="shared" si="45"/>
        <v>3.4299819928751418E-15</v>
      </c>
      <c r="E311">
        <f t="shared" ca="1" si="41"/>
        <v>-9.8475254617369496E-14</v>
      </c>
      <c r="F311">
        <f t="shared" ca="1" si="46"/>
        <v>142.66582863561581</v>
      </c>
      <c r="G311">
        <f t="shared" ca="1" si="47"/>
        <v>46.354937703099857</v>
      </c>
      <c r="H311">
        <f t="shared" ca="1" si="42"/>
        <v>150.00772949999998</v>
      </c>
      <c r="I311">
        <f t="shared" ca="1" si="48"/>
        <v>72.000000000000114</v>
      </c>
      <c r="K311">
        <f t="shared" ca="1" si="49"/>
        <v>0</v>
      </c>
    </row>
    <row r="312" spans="1:11" x14ac:dyDescent="0.25">
      <c r="A312">
        <f t="shared" si="43"/>
        <v>0.30099999999999999</v>
      </c>
      <c r="B312">
        <f t="shared" si="50"/>
        <v>212.14500000000001</v>
      </c>
      <c r="C312">
        <f t="shared" si="44"/>
        <v>0.95105651629515631</v>
      </c>
      <c r="D312">
        <f t="shared" si="45"/>
        <v>0.30901699437493885</v>
      </c>
      <c r="E312">
        <f t="shared" ca="1" si="41"/>
        <v>0</v>
      </c>
      <c r="F312">
        <f t="shared" ca="1" si="46"/>
        <v>142.66582863561581</v>
      </c>
      <c r="G312">
        <f t="shared" ca="1" si="47"/>
        <v>46.354937703099857</v>
      </c>
      <c r="H312">
        <f t="shared" ca="1" si="42"/>
        <v>150.00772949999998</v>
      </c>
      <c r="I312">
        <f t="shared" ca="1" si="48"/>
        <v>72.000000000000114</v>
      </c>
      <c r="K312">
        <f t="shared" ca="1" si="49"/>
        <v>0</v>
      </c>
    </row>
    <row r="313" spans="1:11" x14ac:dyDescent="0.25">
      <c r="A313">
        <f t="shared" si="43"/>
        <v>0.30199999999999999</v>
      </c>
      <c r="B313">
        <f t="shared" si="50"/>
        <v>201.76188464943539</v>
      </c>
      <c r="C313">
        <f t="shared" si="44"/>
        <v>0.80901699437495167</v>
      </c>
      <c r="D313">
        <f t="shared" si="45"/>
        <v>0.58778525229246725</v>
      </c>
      <c r="E313">
        <f t="shared" ca="1" si="41"/>
        <v>1.0048495369119336E-13</v>
      </c>
      <c r="F313">
        <f t="shared" ca="1" si="46"/>
        <v>142.6658286356159</v>
      </c>
      <c r="G313">
        <f t="shared" ca="1" si="47"/>
        <v>46.354937703099914</v>
      </c>
      <c r="H313">
        <f t="shared" ca="1" si="42"/>
        <v>150.0077295000001</v>
      </c>
      <c r="I313">
        <f t="shared" ca="1" si="48"/>
        <v>72.000000000000099</v>
      </c>
      <c r="K313">
        <f t="shared" ca="1" si="49"/>
        <v>0</v>
      </c>
    </row>
    <row r="314" spans="1:11" x14ac:dyDescent="0.25">
      <c r="A314">
        <f t="shared" si="43"/>
        <v>0.30299999999999999</v>
      </c>
      <c r="B314">
        <f t="shared" si="50"/>
        <v>171.62891027167481</v>
      </c>
      <c r="C314">
        <f t="shared" si="44"/>
        <v>0.58778525229247758</v>
      </c>
      <c r="D314">
        <f t="shared" si="45"/>
        <v>0.80901699437494423</v>
      </c>
      <c r="E314">
        <f t="shared" ca="1" si="41"/>
        <v>1.8891171293944352E-13</v>
      </c>
      <c r="F314">
        <f t="shared" ca="1" si="46"/>
        <v>142.66582863561601</v>
      </c>
      <c r="G314">
        <f t="shared" ca="1" si="47"/>
        <v>46.35493770310007</v>
      </c>
      <c r="H314">
        <f t="shared" ca="1" si="42"/>
        <v>150.00772950000024</v>
      </c>
      <c r="I314">
        <f t="shared" ca="1" si="48"/>
        <v>72.000000000000057</v>
      </c>
      <c r="K314">
        <f t="shared" ca="1" si="49"/>
        <v>0</v>
      </c>
    </row>
    <row r="315" spans="1:11" x14ac:dyDescent="0.25">
      <c r="A315">
        <f t="shared" si="43"/>
        <v>0.30399999999999999</v>
      </c>
      <c r="B315">
        <f t="shared" si="50"/>
        <v>124.69570234758615</v>
      </c>
      <c r="C315">
        <f t="shared" si="44"/>
        <v>0.30901699437495095</v>
      </c>
      <c r="D315">
        <f t="shared" si="45"/>
        <v>0.95105651629515242</v>
      </c>
      <c r="E315">
        <f t="shared" ca="1" si="41"/>
        <v>-8.3402511563690492E-14</v>
      </c>
      <c r="F315">
        <f t="shared" ca="1" si="46"/>
        <v>142.66582863561598</v>
      </c>
      <c r="G315">
        <f t="shared" ca="1" si="47"/>
        <v>46.354937703099992</v>
      </c>
      <c r="H315">
        <f t="shared" ca="1" si="42"/>
        <v>150.00772950000018</v>
      </c>
      <c r="I315">
        <f t="shared" ca="1" si="48"/>
        <v>72.000000000000085</v>
      </c>
      <c r="K315">
        <f t="shared" ca="1" si="49"/>
        <v>0</v>
      </c>
    </row>
    <row r="316" spans="1:11" x14ac:dyDescent="0.25">
      <c r="A316">
        <f t="shared" si="43"/>
        <v>0.30499999999999999</v>
      </c>
      <c r="B316">
        <f t="shared" si="50"/>
        <v>65.556410271675063</v>
      </c>
      <c r="C316">
        <f t="shared" si="44"/>
        <v>1.9603459480710406E-15</v>
      </c>
      <c r="D316">
        <f t="shared" si="45"/>
        <v>1</v>
      </c>
      <c r="E316">
        <f t="shared" ca="1" si="41"/>
        <v>3.0748395829505167E-13</v>
      </c>
      <c r="F316">
        <f t="shared" ca="1" si="46"/>
        <v>142.66582863561598</v>
      </c>
      <c r="G316">
        <f t="shared" ca="1" si="47"/>
        <v>46.354937703100298</v>
      </c>
      <c r="H316">
        <f t="shared" ca="1" si="42"/>
        <v>150.00772950000027</v>
      </c>
      <c r="I316">
        <f t="shared" ca="1" si="48"/>
        <v>71.999999999999972</v>
      </c>
      <c r="K316">
        <f t="shared" ca="1" si="49"/>
        <v>0</v>
      </c>
    </row>
    <row r="317" spans="1:11" x14ac:dyDescent="0.25">
      <c r="A317">
        <f t="shared" si="43"/>
        <v>0.30599999999999999</v>
      </c>
      <c r="B317">
        <f t="shared" si="50"/>
        <v>-1.4553530613709704E-12</v>
      </c>
      <c r="C317">
        <f t="shared" si="44"/>
        <v>-0.30901699437494723</v>
      </c>
      <c r="D317">
        <f t="shared" si="45"/>
        <v>0.95105651629515364</v>
      </c>
      <c r="E317">
        <f t="shared" ca="1" si="41"/>
        <v>-1.0291126774366557E-13</v>
      </c>
      <c r="F317">
        <f t="shared" ca="1" si="46"/>
        <v>142.66582863561601</v>
      </c>
      <c r="G317">
        <f t="shared" ca="1" si="47"/>
        <v>46.354937703100198</v>
      </c>
      <c r="H317">
        <f t="shared" ca="1" si="42"/>
        <v>150.00772950000027</v>
      </c>
      <c r="I317">
        <f t="shared" ca="1" si="48"/>
        <v>72.000000000000014</v>
      </c>
      <c r="K317">
        <f t="shared" ca="1" si="49"/>
        <v>0</v>
      </c>
    </row>
    <row r="318" spans="1:11" x14ac:dyDescent="0.25">
      <c r="A318">
        <f t="shared" si="43"/>
        <v>0.307</v>
      </c>
      <c r="B318">
        <f t="shared" si="50"/>
        <v>-65.556410271672107</v>
      </c>
      <c r="C318">
        <f t="shared" si="44"/>
        <v>-0.58778525229247436</v>
      </c>
      <c r="D318">
        <f t="shared" si="45"/>
        <v>0.80901699437494645</v>
      </c>
      <c r="E318">
        <f t="shared" ca="1" si="41"/>
        <v>3.0647910875813977E-13</v>
      </c>
      <c r="F318">
        <f t="shared" ca="1" si="46"/>
        <v>142.66582863561584</v>
      </c>
      <c r="G318">
        <f t="shared" ca="1" si="47"/>
        <v>46.354937703100447</v>
      </c>
      <c r="H318">
        <f t="shared" ca="1" si="42"/>
        <v>150.00772950000018</v>
      </c>
      <c r="I318">
        <f t="shared" ca="1" si="48"/>
        <v>71.999999999999901</v>
      </c>
      <c r="K318">
        <f t="shared" ca="1" si="49"/>
        <v>0</v>
      </c>
    </row>
    <row r="319" spans="1:11" x14ac:dyDescent="0.25">
      <c r="A319">
        <f t="shared" si="43"/>
        <v>0.308</v>
      </c>
      <c r="B319">
        <f t="shared" si="50"/>
        <v>-124.69570234758851</v>
      </c>
      <c r="C319">
        <f t="shared" si="44"/>
        <v>-0.80901699437494934</v>
      </c>
      <c r="D319">
        <f t="shared" si="45"/>
        <v>0.58778525229247047</v>
      </c>
      <c r="E319">
        <f t="shared" ca="1" si="41"/>
        <v>-8.3402511563690492E-14</v>
      </c>
      <c r="F319">
        <f t="shared" ca="1" si="46"/>
        <v>142.6658286356159</v>
      </c>
      <c r="G319">
        <f t="shared" ca="1" si="47"/>
        <v>46.354937703100397</v>
      </c>
      <c r="H319">
        <f t="shared" ca="1" si="42"/>
        <v>150.00772950000024</v>
      </c>
      <c r="I319">
        <f t="shared" ca="1" si="48"/>
        <v>71.999999999999929</v>
      </c>
      <c r="K319">
        <f t="shared" ca="1" si="49"/>
        <v>0</v>
      </c>
    </row>
    <row r="320" spans="1:11" x14ac:dyDescent="0.25">
      <c r="A320">
        <f t="shared" si="43"/>
        <v>0.309</v>
      </c>
      <c r="B320">
        <f t="shared" si="50"/>
        <v>-171.62891027167296</v>
      </c>
      <c r="C320">
        <f t="shared" si="44"/>
        <v>-0.9510565162951552</v>
      </c>
      <c r="D320">
        <f t="shared" si="45"/>
        <v>0.30901699437494257</v>
      </c>
      <c r="E320">
        <f t="shared" ca="1" si="41"/>
        <v>-5.8281273140892145E-14</v>
      </c>
      <c r="F320">
        <f t="shared" ca="1" si="46"/>
        <v>142.66582863561595</v>
      </c>
      <c r="G320">
        <f t="shared" ca="1" si="47"/>
        <v>46.354937703100376</v>
      </c>
      <c r="H320">
        <f t="shared" ca="1" si="42"/>
        <v>150.00772950000027</v>
      </c>
      <c r="I320">
        <f t="shared" ca="1" si="48"/>
        <v>71.999999999999943</v>
      </c>
      <c r="K320">
        <f t="shared" ca="1" si="49"/>
        <v>0</v>
      </c>
    </row>
    <row r="321" spans="1:11" x14ac:dyDescent="0.25">
      <c r="A321">
        <f t="shared" si="43"/>
        <v>0.31</v>
      </c>
      <c r="B321">
        <f t="shared" si="50"/>
        <v>-201.76188464943627</v>
      </c>
      <c r="C321">
        <f t="shared" si="44"/>
        <v>-1</v>
      </c>
      <c r="D321">
        <f t="shared" si="45"/>
        <v>-6.8601808261847808E-15</v>
      </c>
      <c r="E321">
        <f t="shared" ca="1" si="41"/>
        <v>-3.2155185181181876E-14</v>
      </c>
      <c r="F321">
        <f t="shared" ca="1" si="46"/>
        <v>142.66582863561598</v>
      </c>
      <c r="G321">
        <f t="shared" ca="1" si="47"/>
        <v>46.354937703100376</v>
      </c>
      <c r="H321">
        <f t="shared" ca="1" si="42"/>
        <v>150.00772950000029</v>
      </c>
      <c r="I321">
        <f t="shared" ca="1" si="48"/>
        <v>71.999999999999943</v>
      </c>
      <c r="K321">
        <f t="shared" ca="1" si="49"/>
        <v>0</v>
      </c>
    </row>
    <row r="322" spans="1:11" x14ac:dyDescent="0.25">
      <c r="A322">
        <f t="shared" si="43"/>
        <v>0.311</v>
      </c>
      <c r="B322">
        <f t="shared" si="50"/>
        <v>-212.14500000000001</v>
      </c>
      <c r="C322">
        <f t="shared" si="44"/>
        <v>-0.95105651629515531</v>
      </c>
      <c r="D322">
        <f t="shared" si="45"/>
        <v>-0.30901699437494212</v>
      </c>
      <c r="E322">
        <f t="shared" ca="1" si="41"/>
        <v>0</v>
      </c>
      <c r="F322">
        <f t="shared" ca="1" si="46"/>
        <v>142.66582863561598</v>
      </c>
      <c r="G322">
        <f t="shared" ca="1" si="47"/>
        <v>46.354937703100376</v>
      </c>
      <c r="H322">
        <f t="shared" ca="1" si="42"/>
        <v>150.00772950000029</v>
      </c>
      <c r="I322">
        <f t="shared" ca="1" si="48"/>
        <v>71.999999999999943</v>
      </c>
      <c r="K322">
        <f t="shared" ca="1" si="49"/>
        <v>0</v>
      </c>
    </row>
    <row r="323" spans="1:11" x14ac:dyDescent="0.25">
      <c r="A323">
        <f t="shared" si="43"/>
        <v>0.312</v>
      </c>
      <c r="B323">
        <f t="shared" si="50"/>
        <v>-201.7618846494361</v>
      </c>
      <c r="C323">
        <f t="shared" si="44"/>
        <v>-0.80901699437494967</v>
      </c>
      <c r="D323">
        <f t="shared" si="45"/>
        <v>-0.58778525229247003</v>
      </c>
      <c r="E323">
        <f t="shared" ca="1" si="41"/>
        <v>3.0145486107358007E-14</v>
      </c>
      <c r="F323">
        <f t="shared" ca="1" si="46"/>
        <v>142.66582863561595</v>
      </c>
      <c r="G323">
        <f t="shared" ca="1" si="47"/>
        <v>46.354937703100362</v>
      </c>
      <c r="H323">
        <f t="shared" ca="1" si="42"/>
        <v>150.00772950000027</v>
      </c>
      <c r="I323">
        <f t="shared" ca="1" si="48"/>
        <v>71.999999999999943</v>
      </c>
      <c r="K323">
        <f t="shared" ca="1" si="49"/>
        <v>0</v>
      </c>
    </row>
    <row r="324" spans="1:11" x14ac:dyDescent="0.25">
      <c r="A324">
        <f t="shared" si="43"/>
        <v>0.313</v>
      </c>
      <c r="B324">
        <f t="shared" si="50"/>
        <v>-171.62891027167259</v>
      </c>
      <c r="C324">
        <f t="shared" si="44"/>
        <v>-0.5877852522924748</v>
      </c>
      <c r="D324">
        <f t="shared" si="45"/>
        <v>-0.80901699437494623</v>
      </c>
      <c r="E324">
        <f t="shared" ca="1" si="41"/>
        <v>6.2300671288539882E-14</v>
      </c>
      <c r="F324">
        <f t="shared" ca="1" si="46"/>
        <v>142.66582863561592</v>
      </c>
      <c r="G324">
        <f t="shared" ca="1" si="47"/>
        <v>46.354937703100312</v>
      </c>
      <c r="H324">
        <f t="shared" ca="1" si="42"/>
        <v>150.00772950000024</v>
      </c>
      <c r="I324">
        <f t="shared" ca="1" si="48"/>
        <v>71.999999999999957</v>
      </c>
      <c r="K324">
        <f t="shared" ca="1" si="49"/>
        <v>0</v>
      </c>
    </row>
    <row r="325" spans="1:11" x14ac:dyDescent="0.25">
      <c r="A325">
        <f t="shared" si="43"/>
        <v>0.314</v>
      </c>
      <c r="B325">
        <f t="shared" si="50"/>
        <v>-124.695702347588</v>
      </c>
      <c r="C325">
        <f t="shared" si="44"/>
        <v>-0.30901699437494773</v>
      </c>
      <c r="D325">
        <f t="shared" si="45"/>
        <v>-0.95105651629515353</v>
      </c>
      <c r="E325">
        <f t="shared" ca="1" si="41"/>
        <v>8.3402511563690492E-14</v>
      </c>
      <c r="F325">
        <f t="shared" ca="1" si="46"/>
        <v>142.6658286356159</v>
      </c>
      <c r="G325">
        <f t="shared" ca="1" si="47"/>
        <v>46.354937703100234</v>
      </c>
      <c r="H325">
        <f t="shared" ca="1" si="42"/>
        <v>150.00772950000018</v>
      </c>
      <c r="I325">
        <f t="shared" ca="1" si="48"/>
        <v>71.999999999999986</v>
      </c>
      <c r="K325">
        <f t="shared" ca="1" si="49"/>
        <v>0</v>
      </c>
    </row>
    <row r="326" spans="1:11" x14ac:dyDescent="0.25">
      <c r="A326">
        <f t="shared" si="43"/>
        <v>0.315</v>
      </c>
      <c r="B326">
        <f t="shared" si="50"/>
        <v>-65.556410271671496</v>
      </c>
      <c r="C326">
        <f t="shared" si="44"/>
        <v>1.4698528852385984E-15</v>
      </c>
      <c r="D326">
        <f t="shared" si="45"/>
        <v>-1</v>
      </c>
      <c r="E326">
        <f t="shared" ca="1" si="41"/>
        <v>9.8475254617369496E-14</v>
      </c>
      <c r="F326">
        <f t="shared" ca="1" si="46"/>
        <v>142.6658286356159</v>
      </c>
      <c r="G326">
        <f t="shared" ca="1" si="47"/>
        <v>46.354937703100134</v>
      </c>
      <c r="H326">
        <f t="shared" ca="1" si="42"/>
        <v>150.00772950000015</v>
      </c>
      <c r="I326">
        <f t="shared" ca="1" si="48"/>
        <v>72.000000000000028</v>
      </c>
      <c r="K326">
        <f t="shared" ca="1" si="49"/>
        <v>0</v>
      </c>
    </row>
    <row r="327" spans="1:11" x14ac:dyDescent="0.25">
      <c r="A327">
        <f t="shared" si="43"/>
        <v>0.316</v>
      </c>
      <c r="B327">
        <f t="shared" si="50"/>
        <v>-8.3170918069308543E-13</v>
      </c>
      <c r="C327">
        <f t="shared" si="44"/>
        <v>0.3090169943749505</v>
      </c>
      <c r="D327">
        <f t="shared" si="45"/>
        <v>-0.95105651629515253</v>
      </c>
      <c r="E327">
        <f t="shared" ca="1" si="41"/>
        <v>1.0291126774366561E-13</v>
      </c>
      <c r="F327">
        <f t="shared" ca="1" si="46"/>
        <v>142.66582863561592</v>
      </c>
      <c r="G327">
        <f t="shared" ca="1" si="47"/>
        <v>46.354937703100035</v>
      </c>
      <c r="H327">
        <f t="shared" ca="1" si="42"/>
        <v>150.00772950000015</v>
      </c>
      <c r="I327">
        <f t="shared" ca="1" si="48"/>
        <v>72.000000000000057</v>
      </c>
      <c r="K327">
        <f t="shared" ca="1" si="49"/>
        <v>0</v>
      </c>
    </row>
    <row r="328" spans="1:11" x14ac:dyDescent="0.25">
      <c r="A328">
        <f t="shared" si="43"/>
        <v>0.317</v>
      </c>
      <c r="B328">
        <f t="shared" si="50"/>
        <v>65.556410271675659</v>
      </c>
      <c r="C328">
        <f t="shared" si="44"/>
        <v>0.58778525229247713</v>
      </c>
      <c r="D328">
        <f t="shared" si="45"/>
        <v>-0.80901699437494445</v>
      </c>
      <c r="E328">
        <f t="shared" ca="1" si="41"/>
        <v>9.8475254617369496E-14</v>
      </c>
      <c r="F328">
        <f t="shared" ca="1" si="46"/>
        <v>142.66582863561598</v>
      </c>
      <c r="G328">
        <f t="shared" ca="1" si="47"/>
        <v>46.354937703099957</v>
      </c>
      <c r="H328">
        <f t="shared" ca="1" si="42"/>
        <v>150.00772950000018</v>
      </c>
      <c r="I328">
        <f t="shared" ca="1" si="48"/>
        <v>72.000000000000099</v>
      </c>
      <c r="K328">
        <f t="shared" ca="1" si="49"/>
        <v>0</v>
      </c>
    </row>
    <row r="329" spans="1:11" x14ac:dyDescent="0.25">
      <c r="A329">
        <f t="shared" si="43"/>
        <v>0.318</v>
      </c>
      <c r="B329">
        <f t="shared" si="50"/>
        <v>124.69570234758665</v>
      </c>
      <c r="C329">
        <f t="shared" si="44"/>
        <v>0.80901699437495145</v>
      </c>
      <c r="D329">
        <f t="shared" si="45"/>
        <v>-0.5877852522924677</v>
      </c>
      <c r="E329">
        <f t="shared" ca="1" si="41"/>
        <v>8.3402511563690492E-14</v>
      </c>
      <c r="F329">
        <f t="shared" ca="1" si="46"/>
        <v>142.66582863561604</v>
      </c>
      <c r="G329">
        <f t="shared" ca="1" si="47"/>
        <v>46.354937703099907</v>
      </c>
      <c r="H329">
        <f t="shared" ca="1" si="42"/>
        <v>150.00772950000021</v>
      </c>
      <c r="I329">
        <f t="shared" ca="1" si="48"/>
        <v>72.000000000000114</v>
      </c>
      <c r="K329">
        <f t="shared" ca="1" si="49"/>
        <v>0</v>
      </c>
    </row>
    <row r="330" spans="1:11" x14ac:dyDescent="0.25">
      <c r="A330">
        <f t="shared" si="43"/>
        <v>0.31900000000000001</v>
      </c>
      <c r="B330">
        <f t="shared" si="50"/>
        <v>171.62891027167515</v>
      </c>
      <c r="C330">
        <f t="shared" si="44"/>
        <v>0.9510565162951562</v>
      </c>
      <c r="D330">
        <f t="shared" si="45"/>
        <v>-0.30901699437493929</v>
      </c>
      <c r="E330">
        <f t="shared" ca="1" si="41"/>
        <v>5.8281273140892145E-14</v>
      </c>
      <c r="F330">
        <f t="shared" ca="1" si="46"/>
        <v>142.66582863561609</v>
      </c>
      <c r="G330">
        <f t="shared" ca="1" si="47"/>
        <v>46.354937703099885</v>
      </c>
      <c r="H330">
        <f t="shared" ca="1" si="42"/>
        <v>150.00772950000027</v>
      </c>
      <c r="I330">
        <f t="shared" ca="1" si="48"/>
        <v>72.000000000000142</v>
      </c>
      <c r="K330">
        <f t="shared" ca="1" si="49"/>
        <v>2.8421709430404007E-13</v>
      </c>
    </row>
    <row r="331" spans="1:11" x14ac:dyDescent="0.25">
      <c r="A331">
        <f t="shared" si="43"/>
        <v>0.32</v>
      </c>
      <c r="B331">
        <f t="shared" si="50"/>
        <v>201.76188464943556</v>
      </c>
      <c r="C331">
        <f t="shared" si="44"/>
        <v>1</v>
      </c>
      <c r="D331">
        <f t="shared" si="45"/>
        <v>-3.920475055707584E-15</v>
      </c>
      <c r="E331">
        <f t="shared" ref="E331:E394" ca="1" si="51">(1.4142/$B$2)*(B331-IF((ROW($A331)-ROW($A$11))&lt;$B$2,0,OFFSET($B331,-$B$2,0)))</f>
        <v>3.0145486107358007E-14</v>
      </c>
      <c r="F331">
        <f t="shared" ca="1" si="46"/>
        <v>142.66582863561612</v>
      </c>
      <c r="G331">
        <f t="shared" ca="1" si="47"/>
        <v>46.354937703099885</v>
      </c>
      <c r="H331">
        <f t="shared" ref="H331:H394" ca="1" si="52">IF(F331="","",SQRT(F331^2+G331^2))</f>
        <v>150.00772950000029</v>
      </c>
      <c r="I331">
        <f t="shared" ca="1" si="48"/>
        <v>72.000000000000142</v>
      </c>
      <c r="K331">
        <f t="shared" ca="1" si="49"/>
        <v>3.1263880373444408E-13</v>
      </c>
    </row>
    <row r="332" spans="1:11" x14ac:dyDescent="0.25">
      <c r="A332">
        <f t="shared" ref="A332:A395" si="53">(ROW($A332)-ROW($A$11))*$B$4+$B$5</f>
        <v>0.32100000000000001</v>
      </c>
      <c r="B332">
        <f t="shared" si="50"/>
        <v>212.14500000000001</v>
      </c>
      <c r="C332">
        <f t="shared" ref="C332:C395" si="54">COS($A332*$C$1)</f>
        <v>0.9510565162951542</v>
      </c>
      <c r="D332">
        <f t="shared" ref="D332:D395" si="55">SIN($A332*$C$1)</f>
        <v>0.3090169943749454</v>
      </c>
      <c r="E332">
        <f t="shared" ca="1" si="51"/>
        <v>0</v>
      </c>
      <c r="F332">
        <f t="shared" ref="F332:F395" ca="1" si="56">F331+$E332*COS($A332*$C$1)</f>
        <v>142.66582863561612</v>
      </c>
      <c r="G332">
        <f t="shared" ref="G332:G395" ca="1" si="57">G331+$E332*SIN($A332*$C$1)</f>
        <v>46.354937703099885</v>
      </c>
      <c r="H332">
        <f t="shared" ca="1" si="52"/>
        <v>150.00772950000029</v>
      </c>
      <c r="I332">
        <f t="shared" ref="I332:I395" ca="1" si="58">IF(F332="","",ATAN2(G332,F332)*180/PI())</f>
        <v>72.000000000000142</v>
      </c>
      <c r="K332">
        <f t="shared" ca="1" si="49"/>
        <v>2.2737367544323206E-13</v>
      </c>
    </row>
    <row r="333" spans="1:11" x14ac:dyDescent="0.25">
      <c r="A333">
        <f t="shared" si="53"/>
        <v>0.32200000000000001</v>
      </c>
      <c r="B333">
        <f t="shared" si="50"/>
        <v>201.76188464943493</v>
      </c>
      <c r="C333">
        <f t="shared" si="54"/>
        <v>0.80901699437494767</v>
      </c>
      <c r="D333">
        <f t="shared" si="55"/>
        <v>0.5877852522924728</v>
      </c>
      <c r="E333">
        <f t="shared" ca="1" si="51"/>
        <v>-3.2155185181181876E-14</v>
      </c>
      <c r="F333">
        <f t="shared" ca="1" si="56"/>
        <v>142.66582863561609</v>
      </c>
      <c r="G333">
        <f t="shared" ca="1" si="57"/>
        <v>46.354937703099864</v>
      </c>
      <c r="H333">
        <f t="shared" ca="1" si="52"/>
        <v>150.00772950000024</v>
      </c>
      <c r="I333">
        <f t="shared" ca="1" si="58"/>
        <v>72.000000000000142</v>
      </c>
      <c r="K333">
        <f t="shared" ca="1" si="49"/>
        <v>0</v>
      </c>
    </row>
    <row r="334" spans="1:11" x14ac:dyDescent="0.25">
      <c r="A334">
        <f t="shared" si="53"/>
        <v>0.32300000000000001</v>
      </c>
      <c r="B334">
        <f t="shared" si="50"/>
        <v>171.62891027167393</v>
      </c>
      <c r="C334">
        <f t="shared" si="54"/>
        <v>0.58778525229247203</v>
      </c>
      <c r="D334">
        <f t="shared" si="55"/>
        <v>0.80901699437494823</v>
      </c>
      <c r="E334">
        <f t="shared" ca="1" si="51"/>
        <v>-6.2300671288539882E-14</v>
      </c>
      <c r="F334">
        <f t="shared" ca="1" si="56"/>
        <v>142.66582863561607</v>
      </c>
      <c r="G334">
        <f t="shared" ca="1" si="57"/>
        <v>46.354937703099814</v>
      </c>
      <c r="H334">
        <f t="shared" ca="1" si="52"/>
        <v>150.00772950000021</v>
      </c>
      <c r="I334">
        <f t="shared" ca="1" si="58"/>
        <v>72.000000000000156</v>
      </c>
      <c r="K334">
        <f t="shared" ca="1" si="49"/>
        <v>0</v>
      </c>
    </row>
    <row r="335" spans="1:11" x14ac:dyDescent="0.25">
      <c r="A335">
        <f t="shared" si="53"/>
        <v>0.32400000000000001</v>
      </c>
      <c r="B335">
        <f t="shared" si="50"/>
        <v>124.69570234758498</v>
      </c>
      <c r="C335">
        <f t="shared" si="54"/>
        <v>0.30901699437494445</v>
      </c>
      <c r="D335">
        <f t="shared" si="55"/>
        <v>0.95105651629515453</v>
      </c>
      <c r="E335">
        <f t="shared" ca="1" si="51"/>
        <v>-8.2397662026778558E-14</v>
      </c>
      <c r="F335">
        <f t="shared" ca="1" si="56"/>
        <v>142.66582863561604</v>
      </c>
      <c r="G335">
        <f t="shared" ca="1" si="57"/>
        <v>46.354937703099736</v>
      </c>
      <c r="H335">
        <f t="shared" ca="1" si="52"/>
        <v>150.00772950000015</v>
      </c>
      <c r="I335">
        <f t="shared" ca="1" si="58"/>
        <v>72.000000000000185</v>
      </c>
      <c r="K335">
        <f t="shared" ca="1" si="49"/>
        <v>0</v>
      </c>
    </row>
    <row r="336" spans="1:11" x14ac:dyDescent="0.25">
      <c r="A336">
        <f t="shared" si="53"/>
        <v>0.32500000000000001</v>
      </c>
      <c r="B336">
        <f t="shared" si="50"/>
        <v>65.556410271673684</v>
      </c>
      <c r="C336">
        <f t="shared" si="54"/>
        <v>-4.9000517185482373E-15</v>
      </c>
      <c r="D336">
        <f t="shared" si="55"/>
        <v>1</v>
      </c>
      <c r="E336">
        <f t="shared" ca="1" si="51"/>
        <v>-9.7470405080457561E-14</v>
      </c>
      <c r="F336">
        <f t="shared" ca="1" si="56"/>
        <v>142.66582863561604</v>
      </c>
      <c r="G336">
        <f t="shared" ca="1" si="57"/>
        <v>46.354937703099637</v>
      </c>
      <c r="H336">
        <f t="shared" ca="1" si="52"/>
        <v>150.00772950000015</v>
      </c>
      <c r="I336">
        <f t="shared" ca="1" si="58"/>
        <v>72.000000000000213</v>
      </c>
      <c r="K336">
        <f t="shared" ca="1" si="49"/>
        <v>0</v>
      </c>
    </row>
    <row r="337" spans="1:11" x14ac:dyDescent="0.25">
      <c r="A337">
        <f t="shared" si="53"/>
        <v>0.32600000000000001</v>
      </c>
      <c r="B337">
        <f t="shared" si="50"/>
        <v>-2.910752124355917E-12</v>
      </c>
      <c r="C337">
        <f t="shared" si="54"/>
        <v>-0.30901699437495378</v>
      </c>
      <c r="D337">
        <f t="shared" si="55"/>
        <v>0.95105651629515153</v>
      </c>
      <c r="E337">
        <f t="shared" ca="1" si="51"/>
        <v>-1.0291126774366557E-13</v>
      </c>
      <c r="F337">
        <f t="shared" ca="1" si="56"/>
        <v>142.66582863561607</v>
      </c>
      <c r="G337">
        <f t="shared" ca="1" si="57"/>
        <v>46.354937703099537</v>
      </c>
      <c r="H337">
        <f t="shared" ca="1" si="52"/>
        <v>150.00772950000012</v>
      </c>
      <c r="I337">
        <f t="shared" ca="1" si="58"/>
        <v>72.000000000000256</v>
      </c>
      <c r="K337">
        <f t="shared" ca="1" si="49"/>
        <v>2.2737367544323206E-13</v>
      </c>
    </row>
    <row r="338" spans="1:11" x14ac:dyDescent="0.25">
      <c r="A338">
        <f t="shared" si="53"/>
        <v>0.32700000000000001</v>
      </c>
      <c r="B338">
        <f t="shared" si="50"/>
        <v>-65.556410271673471</v>
      </c>
      <c r="C338">
        <f t="shared" si="54"/>
        <v>-0.58778525229247991</v>
      </c>
      <c r="D338">
        <f t="shared" si="55"/>
        <v>0.80901699437494246</v>
      </c>
      <c r="E338">
        <f t="shared" ca="1" si="51"/>
        <v>-9.6465555543545627E-14</v>
      </c>
      <c r="F338">
        <f t="shared" ca="1" si="56"/>
        <v>142.66582863561612</v>
      </c>
      <c r="G338">
        <f t="shared" ca="1" si="57"/>
        <v>46.354937703099459</v>
      </c>
      <c r="H338">
        <f t="shared" ca="1" si="52"/>
        <v>150.00772950000015</v>
      </c>
      <c r="I338">
        <f t="shared" ca="1" si="58"/>
        <v>72.000000000000284</v>
      </c>
      <c r="K338">
        <f t="shared" ca="1" si="49"/>
        <v>2.2737367544323206E-13</v>
      </c>
    </row>
    <row r="339" spans="1:11" x14ac:dyDescent="0.25">
      <c r="A339">
        <f t="shared" si="53"/>
        <v>0.32800000000000001</v>
      </c>
      <c r="B339">
        <f t="shared" si="50"/>
        <v>-124.69570234758969</v>
      </c>
      <c r="C339">
        <f t="shared" si="54"/>
        <v>-0.80901699437495345</v>
      </c>
      <c r="D339">
        <f t="shared" si="55"/>
        <v>0.58778525229246492</v>
      </c>
      <c r="E339">
        <f t="shared" ca="1" si="51"/>
        <v>-8.3402511563690492E-14</v>
      </c>
      <c r="F339">
        <f t="shared" ca="1" si="56"/>
        <v>142.66582863561618</v>
      </c>
      <c r="G339">
        <f t="shared" ca="1" si="57"/>
        <v>46.354937703099409</v>
      </c>
      <c r="H339">
        <f t="shared" ca="1" si="52"/>
        <v>150.00772950000021</v>
      </c>
      <c r="I339">
        <f t="shared" ca="1" si="58"/>
        <v>72.000000000000313</v>
      </c>
      <c r="K339">
        <f t="shared" ca="1" si="49"/>
        <v>2.2737367544323206E-13</v>
      </c>
    </row>
    <row r="340" spans="1:11" x14ac:dyDescent="0.25">
      <c r="A340">
        <f t="shared" si="53"/>
        <v>0.32900000000000001</v>
      </c>
      <c r="B340">
        <f t="shared" si="50"/>
        <v>-171.62891027167382</v>
      </c>
      <c r="C340">
        <f t="shared" si="54"/>
        <v>-0.95105651629515731</v>
      </c>
      <c r="D340">
        <f t="shared" si="55"/>
        <v>0.30901699437493607</v>
      </c>
      <c r="E340">
        <f t="shared" ca="1" si="51"/>
        <v>-6.0290972214716014E-14</v>
      </c>
      <c r="F340">
        <f t="shared" ca="1" si="56"/>
        <v>142.66582863561624</v>
      </c>
      <c r="G340">
        <f t="shared" ca="1" si="57"/>
        <v>46.354937703099388</v>
      </c>
      <c r="H340">
        <f t="shared" ca="1" si="52"/>
        <v>150.00772950000024</v>
      </c>
      <c r="I340">
        <f t="shared" ca="1" si="58"/>
        <v>72.000000000000341</v>
      </c>
      <c r="K340">
        <f t="shared" ca="1" si="49"/>
        <v>2.5579538487363607E-13</v>
      </c>
    </row>
    <row r="341" spans="1:11" x14ac:dyDescent="0.25">
      <c r="A341">
        <f t="shared" si="53"/>
        <v>0.33</v>
      </c>
      <c r="B341">
        <f t="shared" si="50"/>
        <v>-201.76188464943485</v>
      </c>
      <c r="C341">
        <f t="shared" si="54"/>
        <v>-1</v>
      </c>
      <c r="D341">
        <f t="shared" si="55"/>
        <v>4.9027622239794511E-16</v>
      </c>
      <c r="E341">
        <f t="shared" ca="1" si="51"/>
        <v>1.0048495369119336E-13</v>
      </c>
      <c r="F341">
        <f t="shared" ca="1" si="56"/>
        <v>142.66582863561612</v>
      </c>
      <c r="G341">
        <f t="shared" ca="1" si="57"/>
        <v>46.354937703099388</v>
      </c>
      <c r="H341">
        <f t="shared" ca="1" si="52"/>
        <v>150.00772950000012</v>
      </c>
      <c r="I341">
        <f t="shared" ca="1" si="58"/>
        <v>72.000000000000313</v>
      </c>
      <c r="K341">
        <f t="shared" ca="1" si="49"/>
        <v>0</v>
      </c>
    </row>
    <row r="342" spans="1:11" x14ac:dyDescent="0.25">
      <c r="A342">
        <f t="shared" si="53"/>
        <v>0.33100000000000002</v>
      </c>
      <c r="B342">
        <f t="shared" si="50"/>
        <v>-212.14500000000001</v>
      </c>
      <c r="C342">
        <f t="shared" si="54"/>
        <v>-0.9510565162951532</v>
      </c>
      <c r="D342">
        <f t="shared" si="55"/>
        <v>-0.30901699437494862</v>
      </c>
      <c r="E342">
        <f t="shared" ca="1" si="51"/>
        <v>0</v>
      </c>
      <c r="F342">
        <f t="shared" ca="1" si="56"/>
        <v>142.66582863561612</v>
      </c>
      <c r="G342">
        <f t="shared" ca="1" si="57"/>
        <v>46.354937703099388</v>
      </c>
      <c r="H342">
        <f t="shared" ca="1" si="52"/>
        <v>150.00772950000012</v>
      </c>
      <c r="I342">
        <f t="shared" ca="1" si="58"/>
        <v>72.000000000000313</v>
      </c>
      <c r="K342">
        <f t="shared" ca="1" si="49"/>
        <v>0</v>
      </c>
    </row>
    <row r="343" spans="1:11" x14ac:dyDescent="0.25">
      <c r="A343">
        <f t="shared" si="53"/>
        <v>0.33200000000000002</v>
      </c>
      <c r="B343">
        <f t="shared" si="50"/>
        <v>-201.76188464943564</v>
      </c>
      <c r="C343">
        <f t="shared" si="54"/>
        <v>-0.80901699437494567</v>
      </c>
      <c r="D343">
        <f t="shared" si="55"/>
        <v>-0.58778525229247558</v>
      </c>
      <c r="E343">
        <f t="shared" ca="1" si="51"/>
        <v>3.2155185181181876E-14</v>
      </c>
      <c r="F343">
        <f t="shared" ca="1" si="56"/>
        <v>142.66582863561609</v>
      </c>
      <c r="G343">
        <f t="shared" ca="1" si="57"/>
        <v>46.354937703099367</v>
      </c>
      <c r="H343">
        <f t="shared" ca="1" si="52"/>
        <v>150.0077295000001</v>
      </c>
      <c r="I343">
        <f t="shared" ca="1" si="58"/>
        <v>72.000000000000313</v>
      </c>
      <c r="K343">
        <f t="shared" ca="1" si="49"/>
        <v>0</v>
      </c>
    </row>
    <row r="344" spans="1:11" x14ac:dyDescent="0.25">
      <c r="A344">
        <f t="shared" si="53"/>
        <v>0.33300000000000002</v>
      </c>
      <c r="B344">
        <f t="shared" si="50"/>
        <v>-171.62891027167174</v>
      </c>
      <c r="C344">
        <f t="shared" si="54"/>
        <v>-0.58778525229246925</v>
      </c>
      <c r="D344">
        <f t="shared" si="55"/>
        <v>-0.80901699437495023</v>
      </c>
      <c r="E344">
        <f t="shared" ca="1" si="51"/>
        <v>6.0290972214716014E-14</v>
      </c>
      <c r="F344">
        <f t="shared" ca="1" si="56"/>
        <v>142.66582863561607</v>
      </c>
      <c r="G344">
        <f t="shared" ca="1" si="57"/>
        <v>46.354937703099317</v>
      </c>
      <c r="H344">
        <f t="shared" ca="1" si="52"/>
        <v>150.00772950000007</v>
      </c>
      <c r="I344">
        <f t="shared" ca="1" si="58"/>
        <v>72.000000000000341</v>
      </c>
      <c r="K344">
        <f t="shared" ca="1" si="49"/>
        <v>0</v>
      </c>
    </row>
    <row r="345" spans="1:11" x14ac:dyDescent="0.25">
      <c r="A345">
        <f t="shared" si="53"/>
        <v>0.33400000000000002</v>
      </c>
      <c r="B345">
        <f t="shared" si="50"/>
        <v>-124.69570234758682</v>
      </c>
      <c r="C345">
        <f t="shared" si="54"/>
        <v>-0.30901699437494118</v>
      </c>
      <c r="D345">
        <f t="shared" si="55"/>
        <v>-0.95105651629515564</v>
      </c>
      <c r="E345">
        <f t="shared" ca="1" si="51"/>
        <v>8.3402511563690492E-14</v>
      </c>
      <c r="F345">
        <f t="shared" ca="1" si="56"/>
        <v>142.66582863561604</v>
      </c>
      <c r="G345">
        <f t="shared" ca="1" si="57"/>
        <v>46.354937703099239</v>
      </c>
      <c r="H345">
        <f t="shared" ca="1" si="52"/>
        <v>150.00772950000001</v>
      </c>
      <c r="I345">
        <f t="shared" ca="1" si="58"/>
        <v>72.000000000000369</v>
      </c>
      <c r="K345">
        <f t="shared" ca="1" si="49"/>
        <v>0</v>
      </c>
    </row>
    <row r="346" spans="1:11" x14ac:dyDescent="0.25">
      <c r="A346">
        <f t="shared" si="53"/>
        <v>0.33500000000000002</v>
      </c>
      <c r="B346">
        <f t="shared" si="50"/>
        <v>-65.556410271670117</v>
      </c>
      <c r="C346">
        <f t="shared" si="54"/>
        <v>8.3302505518578762E-15</v>
      </c>
      <c r="D346">
        <f t="shared" si="55"/>
        <v>-1</v>
      </c>
      <c r="E346">
        <f t="shared" ca="1" si="51"/>
        <v>9.7470405080457561E-14</v>
      </c>
      <c r="F346">
        <f t="shared" ca="1" si="56"/>
        <v>142.66582863561604</v>
      </c>
      <c r="G346">
        <f t="shared" ca="1" si="57"/>
        <v>46.354937703099139</v>
      </c>
      <c r="H346">
        <f t="shared" ca="1" si="52"/>
        <v>150.00772949999998</v>
      </c>
      <c r="I346">
        <f t="shared" ca="1" si="58"/>
        <v>72.000000000000398</v>
      </c>
      <c r="K346">
        <f t="shared" ca="1" si="49"/>
        <v>0</v>
      </c>
    </row>
    <row r="347" spans="1:11" x14ac:dyDescent="0.25">
      <c r="A347">
        <f t="shared" si="53"/>
        <v>0.33600000000000002</v>
      </c>
      <c r="B347">
        <f t="shared" si="50"/>
        <v>6.2368988229186132E-13</v>
      </c>
      <c r="C347">
        <f t="shared" si="54"/>
        <v>0.309016994374957</v>
      </c>
      <c r="D347">
        <f t="shared" si="55"/>
        <v>-0.95105651629515042</v>
      </c>
      <c r="E347">
        <f t="shared" ca="1" si="51"/>
        <v>1.0291126774366557E-13</v>
      </c>
      <c r="F347">
        <f t="shared" ca="1" si="56"/>
        <v>142.66582863561607</v>
      </c>
      <c r="G347">
        <f t="shared" ca="1" si="57"/>
        <v>46.35493770309904</v>
      </c>
      <c r="H347">
        <f t="shared" ca="1" si="52"/>
        <v>150.00772949999998</v>
      </c>
      <c r="I347">
        <f t="shared" ca="1" si="58"/>
        <v>72.000000000000441</v>
      </c>
      <c r="K347">
        <f t="shared" ca="1" si="49"/>
        <v>0</v>
      </c>
    </row>
    <row r="348" spans="1:11" x14ac:dyDescent="0.25">
      <c r="A348">
        <f t="shared" si="53"/>
        <v>0.33700000000000002</v>
      </c>
      <c r="B348">
        <f t="shared" si="50"/>
        <v>65.556410271677052</v>
      </c>
      <c r="C348">
        <f t="shared" si="54"/>
        <v>0.58778525229248269</v>
      </c>
      <c r="D348">
        <f t="shared" si="55"/>
        <v>-0.80901699437494046</v>
      </c>
      <c r="E348">
        <f t="shared" ca="1" si="51"/>
        <v>9.8475254617369496E-14</v>
      </c>
      <c r="F348">
        <f t="shared" ca="1" si="56"/>
        <v>142.66582863561612</v>
      </c>
      <c r="G348">
        <f t="shared" ca="1" si="57"/>
        <v>46.354937703098962</v>
      </c>
      <c r="H348">
        <f t="shared" ca="1" si="52"/>
        <v>150.00772949999998</v>
      </c>
      <c r="I348">
        <f t="shared" ca="1" si="58"/>
        <v>72.000000000000469</v>
      </c>
      <c r="K348">
        <f t="shared" ca="1" si="49"/>
        <v>0</v>
      </c>
    </row>
    <row r="349" spans="1:11" x14ac:dyDescent="0.25">
      <c r="A349">
        <f t="shared" si="53"/>
        <v>0.33800000000000002</v>
      </c>
      <c r="B349">
        <f t="shared" si="50"/>
        <v>124.69570234758783</v>
      </c>
      <c r="C349">
        <f t="shared" si="54"/>
        <v>0.80901699437495544</v>
      </c>
      <c r="D349">
        <f t="shared" si="55"/>
        <v>-0.58778525229246215</v>
      </c>
      <c r="E349">
        <f t="shared" ca="1" si="51"/>
        <v>8.3402511563690492E-14</v>
      </c>
      <c r="F349">
        <f t="shared" ca="1" si="56"/>
        <v>142.66582863561618</v>
      </c>
      <c r="G349">
        <f t="shared" ca="1" si="57"/>
        <v>46.354937703098912</v>
      </c>
      <c r="H349">
        <f t="shared" ca="1" si="52"/>
        <v>150.00772950000004</v>
      </c>
      <c r="I349">
        <f t="shared" ca="1" si="58"/>
        <v>72.000000000000497</v>
      </c>
      <c r="K349">
        <f t="shared" ca="1" si="49"/>
        <v>0</v>
      </c>
    </row>
    <row r="350" spans="1:11" x14ac:dyDescent="0.25">
      <c r="A350">
        <f t="shared" si="53"/>
        <v>0.33900000000000002</v>
      </c>
      <c r="B350">
        <f t="shared" si="50"/>
        <v>171.62891027167248</v>
      </c>
      <c r="C350">
        <f t="shared" si="54"/>
        <v>0.95105651629515398</v>
      </c>
      <c r="D350">
        <f t="shared" si="55"/>
        <v>-0.30901699437494629</v>
      </c>
      <c r="E350">
        <f t="shared" ca="1" si="51"/>
        <v>-1.8891171293944352E-13</v>
      </c>
      <c r="F350">
        <f t="shared" ca="1" si="56"/>
        <v>142.66582863561601</v>
      </c>
      <c r="G350">
        <f t="shared" ca="1" si="57"/>
        <v>46.354937703098969</v>
      </c>
      <c r="H350">
        <f t="shared" ca="1" si="52"/>
        <v>150.0077294999999</v>
      </c>
      <c r="I350">
        <f t="shared" ca="1" si="58"/>
        <v>72.000000000000455</v>
      </c>
      <c r="K350">
        <f t="shared" ca="1" si="49"/>
        <v>0</v>
      </c>
    </row>
    <row r="351" spans="1:11" x14ac:dyDescent="0.25">
      <c r="A351">
        <f t="shared" si="53"/>
        <v>0.34</v>
      </c>
      <c r="B351">
        <f t="shared" si="50"/>
        <v>201.76188464943601</v>
      </c>
      <c r="C351">
        <f t="shared" si="54"/>
        <v>1</v>
      </c>
      <c r="D351">
        <f t="shared" si="55"/>
        <v>2.9399226109116938E-15</v>
      </c>
      <c r="E351">
        <f t="shared" ca="1" si="51"/>
        <v>3.2155185181181876E-14</v>
      </c>
      <c r="F351">
        <f t="shared" ca="1" si="56"/>
        <v>142.66582863561604</v>
      </c>
      <c r="G351">
        <f t="shared" ca="1" si="57"/>
        <v>46.354937703098969</v>
      </c>
      <c r="H351">
        <f t="shared" ca="1" si="52"/>
        <v>150.00772949999993</v>
      </c>
      <c r="I351">
        <f t="shared" ca="1" si="58"/>
        <v>72.000000000000455</v>
      </c>
      <c r="K351">
        <f t="shared" ref="K351:K414" ca="1" si="59">F351-F332</f>
        <v>0</v>
      </c>
    </row>
    <row r="352" spans="1:11" x14ac:dyDescent="0.25">
      <c r="A352">
        <f t="shared" si="53"/>
        <v>0.34100000000000003</v>
      </c>
      <c r="B352">
        <f t="shared" si="50"/>
        <v>212.14500000000001</v>
      </c>
      <c r="C352">
        <f t="shared" si="54"/>
        <v>0.95105651629515209</v>
      </c>
      <c r="D352">
        <f t="shared" si="55"/>
        <v>0.30901699437495189</v>
      </c>
      <c r="E352">
        <f t="shared" ca="1" si="51"/>
        <v>0</v>
      </c>
      <c r="F352">
        <f t="shared" ca="1" si="56"/>
        <v>142.66582863561604</v>
      </c>
      <c r="G352">
        <f t="shared" ca="1" si="57"/>
        <v>46.354937703098969</v>
      </c>
      <c r="H352">
        <f t="shared" ca="1" si="52"/>
        <v>150.00772949999993</v>
      </c>
      <c r="I352">
        <f t="shared" ca="1" si="58"/>
        <v>72.000000000000455</v>
      </c>
      <c r="K352">
        <f t="shared" ca="1" si="59"/>
        <v>0</v>
      </c>
    </row>
    <row r="353" spans="1:11" x14ac:dyDescent="0.25">
      <c r="A353">
        <f t="shared" si="53"/>
        <v>0.34200000000000003</v>
      </c>
      <c r="B353">
        <f t="shared" si="50"/>
        <v>201.76188464943448</v>
      </c>
      <c r="C353">
        <f t="shared" si="54"/>
        <v>0.80901699437494368</v>
      </c>
      <c r="D353">
        <f t="shared" si="55"/>
        <v>0.58778525229247836</v>
      </c>
      <c r="E353">
        <f t="shared" ca="1" si="51"/>
        <v>-3.2155185181181876E-14</v>
      </c>
      <c r="F353">
        <f t="shared" ca="1" si="56"/>
        <v>142.66582863561601</v>
      </c>
      <c r="G353">
        <f t="shared" ca="1" si="57"/>
        <v>46.354937703098948</v>
      </c>
      <c r="H353">
        <f t="shared" ca="1" si="52"/>
        <v>150.0077294999999</v>
      </c>
      <c r="I353">
        <f t="shared" ca="1" si="58"/>
        <v>72.000000000000469</v>
      </c>
      <c r="K353">
        <f t="shared" ca="1" si="59"/>
        <v>0</v>
      </c>
    </row>
    <row r="354" spans="1:11" x14ac:dyDescent="0.25">
      <c r="A354">
        <f t="shared" si="53"/>
        <v>0.34300000000000003</v>
      </c>
      <c r="B354">
        <f t="shared" si="50"/>
        <v>171.62891027167311</v>
      </c>
      <c r="C354">
        <f t="shared" si="54"/>
        <v>0.58778525229246648</v>
      </c>
      <c r="D354">
        <f t="shared" si="55"/>
        <v>0.80901699437495223</v>
      </c>
      <c r="E354">
        <f t="shared" ca="1" si="51"/>
        <v>-5.8281273140892145E-14</v>
      </c>
      <c r="F354">
        <f t="shared" ca="1" si="56"/>
        <v>142.66582863561598</v>
      </c>
      <c r="G354">
        <f t="shared" ca="1" si="57"/>
        <v>46.354937703098898</v>
      </c>
      <c r="H354">
        <f t="shared" ca="1" si="52"/>
        <v>150.00772949999984</v>
      </c>
      <c r="I354">
        <f t="shared" ca="1" si="58"/>
        <v>72.000000000000483</v>
      </c>
      <c r="K354">
        <f t="shared" ca="1" si="59"/>
        <v>0</v>
      </c>
    </row>
    <row r="355" spans="1:11" x14ac:dyDescent="0.25">
      <c r="A355">
        <f t="shared" si="53"/>
        <v>0.34400000000000003</v>
      </c>
      <c r="B355">
        <f t="shared" si="50"/>
        <v>124.6957023475838</v>
      </c>
      <c r="C355">
        <f t="shared" si="54"/>
        <v>0.3090169943749379</v>
      </c>
      <c r="D355">
        <f t="shared" si="55"/>
        <v>0.95105651629515664</v>
      </c>
      <c r="E355">
        <f t="shared" ca="1" si="51"/>
        <v>-8.3402511563690492E-14</v>
      </c>
      <c r="F355">
        <f t="shared" ca="1" si="56"/>
        <v>142.66582863561595</v>
      </c>
      <c r="G355">
        <f t="shared" ca="1" si="57"/>
        <v>46.35493770309882</v>
      </c>
      <c r="H355">
        <f t="shared" ca="1" si="52"/>
        <v>150.00772949999981</v>
      </c>
      <c r="I355">
        <f t="shared" ca="1" si="58"/>
        <v>72.000000000000512</v>
      </c>
      <c r="K355">
        <f t="shared" ca="1" si="59"/>
        <v>0</v>
      </c>
    </row>
    <row r="356" spans="1:11" x14ac:dyDescent="0.25">
      <c r="A356">
        <f t="shared" si="53"/>
        <v>0.34500000000000003</v>
      </c>
      <c r="B356">
        <f t="shared" si="50"/>
        <v>65.556410271672306</v>
      </c>
      <c r="C356">
        <f t="shared" si="54"/>
        <v>-1.1760449385167515E-14</v>
      </c>
      <c r="D356">
        <f t="shared" si="55"/>
        <v>1</v>
      </c>
      <c r="E356">
        <f t="shared" ca="1" si="51"/>
        <v>-9.7470405080457561E-14</v>
      </c>
      <c r="F356">
        <f t="shared" ca="1" si="56"/>
        <v>142.66582863561595</v>
      </c>
      <c r="G356">
        <f t="shared" ca="1" si="57"/>
        <v>46.35493770309872</v>
      </c>
      <c r="H356">
        <f t="shared" ca="1" si="52"/>
        <v>150.00772949999975</v>
      </c>
      <c r="I356">
        <f t="shared" ca="1" si="58"/>
        <v>72.00000000000054</v>
      </c>
      <c r="K356">
        <f t="shared" ca="1" si="59"/>
        <v>0</v>
      </c>
    </row>
    <row r="357" spans="1:11" x14ac:dyDescent="0.25">
      <c r="A357">
        <f t="shared" si="53"/>
        <v>0.34600000000000003</v>
      </c>
      <c r="B357">
        <f t="shared" ref="B357:B420" si="60">1.5*$B$6*SIN((A357*$C$1)+PI()/2.5)</f>
        <v>-4.3661511873408641E-12</v>
      </c>
      <c r="C357">
        <f t="shared" si="54"/>
        <v>-0.30901699437496027</v>
      </c>
      <c r="D357">
        <f t="shared" si="55"/>
        <v>0.95105651629514942</v>
      </c>
      <c r="E357">
        <f t="shared" ca="1" si="51"/>
        <v>-1.0291126774366561E-13</v>
      </c>
      <c r="F357">
        <f t="shared" ca="1" si="56"/>
        <v>142.66582863561598</v>
      </c>
      <c r="G357">
        <f t="shared" ca="1" si="57"/>
        <v>46.354937703098621</v>
      </c>
      <c r="H357">
        <f t="shared" ca="1" si="52"/>
        <v>150.00772949999975</v>
      </c>
      <c r="I357">
        <f t="shared" ca="1" si="58"/>
        <v>72.000000000000583</v>
      </c>
      <c r="K357">
        <f t="shared" ca="1" si="59"/>
        <v>0</v>
      </c>
    </row>
    <row r="358" spans="1:11" x14ac:dyDescent="0.25">
      <c r="A358">
        <f t="shared" si="53"/>
        <v>0.34700000000000003</v>
      </c>
      <c r="B358">
        <f t="shared" si="60"/>
        <v>-65.556410271674864</v>
      </c>
      <c r="C358">
        <f t="shared" si="54"/>
        <v>-0.58778525229248546</v>
      </c>
      <c r="D358">
        <f t="shared" si="55"/>
        <v>0.80901699437493846</v>
      </c>
      <c r="E358">
        <f t="shared" ca="1" si="51"/>
        <v>-9.8475254617369496E-14</v>
      </c>
      <c r="F358">
        <f t="shared" ca="1" si="56"/>
        <v>142.66582863561604</v>
      </c>
      <c r="G358">
        <f t="shared" ca="1" si="57"/>
        <v>46.354937703098543</v>
      </c>
      <c r="H358">
        <f t="shared" ca="1" si="52"/>
        <v>150.00772949999981</v>
      </c>
      <c r="I358">
        <f t="shared" ca="1" si="58"/>
        <v>72.000000000000611</v>
      </c>
      <c r="K358">
        <f t="shared" ca="1" si="59"/>
        <v>0</v>
      </c>
    </row>
    <row r="359" spans="1:11" x14ac:dyDescent="0.25">
      <c r="A359">
        <f t="shared" si="53"/>
        <v>0.34800000000000003</v>
      </c>
      <c r="B359">
        <f t="shared" si="60"/>
        <v>-124.69570234759087</v>
      </c>
      <c r="C359">
        <f t="shared" si="54"/>
        <v>-0.80901699437495744</v>
      </c>
      <c r="D359">
        <f t="shared" si="55"/>
        <v>0.58778525229245937</v>
      </c>
      <c r="E359">
        <f t="shared" ca="1" si="51"/>
        <v>-8.3402511563690492E-14</v>
      </c>
      <c r="F359">
        <f t="shared" ca="1" si="56"/>
        <v>142.66582863561609</v>
      </c>
      <c r="G359">
        <f t="shared" ca="1" si="57"/>
        <v>46.354937703098493</v>
      </c>
      <c r="H359">
        <f t="shared" ca="1" si="52"/>
        <v>150.00772949999981</v>
      </c>
      <c r="I359">
        <f t="shared" ca="1" si="58"/>
        <v>72.000000000000639</v>
      </c>
      <c r="K359">
        <f t="shared" ca="1" si="59"/>
        <v>0</v>
      </c>
    </row>
    <row r="360" spans="1:11" x14ac:dyDescent="0.25">
      <c r="A360">
        <f t="shared" si="53"/>
        <v>0.34900000000000003</v>
      </c>
      <c r="B360">
        <f t="shared" si="60"/>
        <v>-171.6289102716747</v>
      </c>
      <c r="C360">
        <f t="shared" si="54"/>
        <v>-0.95105651629515497</v>
      </c>
      <c r="D360">
        <f t="shared" si="55"/>
        <v>0.30901699437494307</v>
      </c>
      <c r="E360">
        <f t="shared" ca="1" si="51"/>
        <v>-6.2300671288539882E-14</v>
      </c>
      <c r="F360">
        <f t="shared" ca="1" si="56"/>
        <v>142.66582863561615</v>
      </c>
      <c r="G360">
        <f t="shared" ca="1" si="57"/>
        <v>46.354937703098472</v>
      </c>
      <c r="H360">
        <f t="shared" ca="1" si="52"/>
        <v>150.0077294999999</v>
      </c>
      <c r="I360">
        <f t="shared" ca="1" si="58"/>
        <v>72.000000000000654</v>
      </c>
      <c r="K360">
        <f t="shared" ca="1" si="59"/>
        <v>0</v>
      </c>
    </row>
    <row r="361" spans="1:11" x14ac:dyDescent="0.25">
      <c r="A361">
        <f t="shared" si="53"/>
        <v>0.35000000000000003</v>
      </c>
      <c r="B361">
        <f t="shared" si="60"/>
        <v>-201.7618846494353</v>
      </c>
      <c r="C361">
        <f t="shared" si="54"/>
        <v>-1</v>
      </c>
      <c r="D361">
        <f t="shared" si="55"/>
        <v>-6.3701214442213328E-15</v>
      </c>
      <c r="E361">
        <f t="shared" ca="1" si="51"/>
        <v>-3.2155185181181876E-14</v>
      </c>
      <c r="F361">
        <f t="shared" ca="1" si="56"/>
        <v>142.66582863561618</v>
      </c>
      <c r="G361">
        <f t="shared" ca="1" si="57"/>
        <v>46.354937703098472</v>
      </c>
      <c r="H361">
        <f t="shared" ca="1" si="52"/>
        <v>150.0077294999999</v>
      </c>
      <c r="I361">
        <f t="shared" ca="1" si="58"/>
        <v>72.000000000000654</v>
      </c>
      <c r="K361">
        <f t="shared" ca="1" si="59"/>
        <v>0</v>
      </c>
    </row>
    <row r="362" spans="1:11" x14ac:dyDescent="0.25">
      <c r="A362">
        <f t="shared" si="53"/>
        <v>0.35100000000000003</v>
      </c>
      <c r="B362">
        <f t="shared" si="60"/>
        <v>-212.14500000000001</v>
      </c>
      <c r="C362">
        <f t="shared" si="54"/>
        <v>-0.95105651629515109</v>
      </c>
      <c r="D362">
        <f t="shared" si="55"/>
        <v>-0.30901699437495517</v>
      </c>
      <c r="E362">
        <f t="shared" ca="1" si="51"/>
        <v>0</v>
      </c>
      <c r="F362">
        <f t="shared" ca="1" si="56"/>
        <v>142.66582863561618</v>
      </c>
      <c r="G362">
        <f t="shared" ca="1" si="57"/>
        <v>46.354937703098472</v>
      </c>
      <c r="H362">
        <f t="shared" ca="1" si="52"/>
        <v>150.0077294999999</v>
      </c>
      <c r="I362">
        <f t="shared" ca="1" si="58"/>
        <v>72.000000000000654</v>
      </c>
      <c r="K362">
        <f t="shared" ca="1" si="59"/>
        <v>0</v>
      </c>
    </row>
    <row r="363" spans="1:11" x14ac:dyDescent="0.25">
      <c r="A363">
        <f t="shared" si="53"/>
        <v>0.35199999999999998</v>
      </c>
      <c r="B363">
        <f t="shared" si="60"/>
        <v>-201.76188464943519</v>
      </c>
      <c r="C363">
        <f t="shared" si="54"/>
        <v>-0.80901699437495</v>
      </c>
      <c r="D363">
        <f t="shared" si="55"/>
        <v>-0.5877852522924697</v>
      </c>
      <c r="E363">
        <f t="shared" ca="1" si="51"/>
        <v>3.2155185181181876E-14</v>
      </c>
      <c r="F363">
        <f t="shared" ca="1" si="56"/>
        <v>142.66582863561615</v>
      </c>
      <c r="G363">
        <f t="shared" ca="1" si="57"/>
        <v>46.35493770309845</v>
      </c>
      <c r="H363">
        <f t="shared" ca="1" si="52"/>
        <v>150.00772949999987</v>
      </c>
      <c r="I363">
        <f t="shared" ca="1" si="58"/>
        <v>72.000000000000654</v>
      </c>
      <c r="K363">
        <f t="shared" ca="1" si="59"/>
        <v>0</v>
      </c>
    </row>
    <row r="364" spans="1:11" x14ac:dyDescent="0.25">
      <c r="A364">
        <f t="shared" si="53"/>
        <v>0.35299999999999998</v>
      </c>
      <c r="B364">
        <f t="shared" si="60"/>
        <v>-171.62891027167444</v>
      </c>
      <c r="C364">
        <f t="shared" si="54"/>
        <v>-0.58778525229247514</v>
      </c>
      <c r="D364">
        <f t="shared" si="55"/>
        <v>-0.8090169943749459</v>
      </c>
      <c r="E364">
        <f t="shared" ca="1" si="51"/>
        <v>-1.9092141201326738E-13</v>
      </c>
      <c r="F364">
        <f t="shared" ca="1" si="56"/>
        <v>142.66582863561626</v>
      </c>
      <c r="G364">
        <f t="shared" ca="1" si="57"/>
        <v>46.354937703098607</v>
      </c>
      <c r="H364">
        <f t="shared" ca="1" si="52"/>
        <v>150.00772950000004</v>
      </c>
      <c r="I364">
        <f t="shared" ca="1" si="58"/>
        <v>72.000000000000625</v>
      </c>
      <c r="K364">
        <f t="shared" ca="1" si="59"/>
        <v>2.2737367544323206E-13</v>
      </c>
    </row>
    <row r="365" spans="1:11" x14ac:dyDescent="0.25">
      <c r="A365">
        <f t="shared" si="53"/>
        <v>0.35399999999999998</v>
      </c>
      <c r="B365">
        <f t="shared" si="60"/>
        <v>-124.69570234758564</v>
      </c>
      <c r="C365">
        <f t="shared" si="54"/>
        <v>-0.30901699437494817</v>
      </c>
      <c r="D365">
        <f t="shared" si="55"/>
        <v>-0.95105651629515331</v>
      </c>
      <c r="E365">
        <f t="shared" ca="1" si="51"/>
        <v>8.3402511563690492E-14</v>
      </c>
      <c r="F365">
        <f t="shared" ca="1" si="56"/>
        <v>142.66582863561624</v>
      </c>
      <c r="G365">
        <f t="shared" ca="1" si="57"/>
        <v>46.354937703098528</v>
      </c>
      <c r="H365">
        <f t="shared" ca="1" si="52"/>
        <v>150.00772949999998</v>
      </c>
      <c r="I365">
        <f t="shared" ca="1" si="58"/>
        <v>72.000000000000654</v>
      </c>
      <c r="K365">
        <f t="shared" ca="1" si="59"/>
        <v>0</v>
      </c>
    </row>
    <row r="366" spans="1:11" x14ac:dyDescent="0.25">
      <c r="A366">
        <f t="shared" si="53"/>
        <v>0.35499999999999998</v>
      </c>
      <c r="B366">
        <f t="shared" si="60"/>
        <v>-65.556410271674466</v>
      </c>
      <c r="C366">
        <f t="shared" si="54"/>
        <v>9.7979350327515036E-16</v>
      </c>
      <c r="D366">
        <f t="shared" si="55"/>
        <v>-1</v>
      </c>
      <c r="E366">
        <f t="shared" ca="1" si="51"/>
        <v>-3.0748395829505167E-13</v>
      </c>
      <c r="F366">
        <f t="shared" ca="1" si="56"/>
        <v>142.66582863561624</v>
      </c>
      <c r="G366">
        <f t="shared" ca="1" si="57"/>
        <v>46.354937703098834</v>
      </c>
      <c r="H366">
        <f t="shared" ca="1" si="52"/>
        <v>150.00772950000007</v>
      </c>
      <c r="I366">
        <f t="shared" ca="1" si="58"/>
        <v>72.00000000000054</v>
      </c>
      <c r="K366">
        <f t="shared" ca="1" si="59"/>
        <v>0</v>
      </c>
    </row>
    <row r="367" spans="1:11" x14ac:dyDescent="0.25">
      <c r="A367">
        <f t="shared" si="53"/>
        <v>0.35599999999999998</v>
      </c>
      <c r="B367">
        <f t="shared" si="60"/>
        <v>-3.9504346018362501E-12</v>
      </c>
      <c r="C367">
        <f t="shared" si="54"/>
        <v>0.30901699437493652</v>
      </c>
      <c r="D367">
        <f t="shared" si="55"/>
        <v>-0.95105651629515708</v>
      </c>
      <c r="E367">
        <f t="shared" ca="1" si="51"/>
        <v>-3.2343634227269874E-13</v>
      </c>
      <c r="F367">
        <f t="shared" ca="1" si="56"/>
        <v>142.66582863561612</v>
      </c>
      <c r="G367">
        <f t="shared" ca="1" si="57"/>
        <v>46.354937703099139</v>
      </c>
      <c r="H367">
        <f t="shared" ca="1" si="52"/>
        <v>150.00772950000007</v>
      </c>
      <c r="I367">
        <f t="shared" ca="1" si="58"/>
        <v>72.000000000000412</v>
      </c>
      <c r="K367">
        <f t="shared" ca="1" si="59"/>
        <v>0</v>
      </c>
    </row>
    <row r="368" spans="1:11" x14ac:dyDescent="0.25">
      <c r="A368">
        <f t="shared" si="53"/>
        <v>0.35699999999999998</v>
      </c>
      <c r="B368">
        <f t="shared" si="60"/>
        <v>65.556410271672689</v>
      </c>
      <c r="C368">
        <f t="shared" si="54"/>
        <v>0.58778525229246525</v>
      </c>
      <c r="D368">
        <f t="shared" si="55"/>
        <v>-0.80901699437495311</v>
      </c>
      <c r="E368">
        <f t="shared" ca="1" si="51"/>
        <v>-3.0848880783196363E-13</v>
      </c>
      <c r="F368">
        <f t="shared" ca="1" si="56"/>
        <v>142.66582863561595</v>
      </c>
      <c r="G368">
        <f t="shared" ca="1" si="57"/>
        <v>46.354937703099388</v>
      </c>
      <c r="H368">
        <f t="shared" ca="1" si="52"/>
        <v>150.00772949999998</v>
      </c>
      <c r="I368">
        <f t="shared" ca="1" si="58"/>
        <v>72.000000000000313</v>
      </c>
      <c r="K368">
        <f t="shared" ca="1" si="59"/>
        <v>-2.2737367544323206E-13</v>
      </c>
    </row>
    <row r="369" spans="1:11" x14ac:dyDescent="0.25">
      <c r="A369">
        <f t="shared" si="53"/>
        <v>0.35799999999999998</v>
      </c>
      <c r="B369">
        <f t="shared" si="60"/>
        <v>124.69570234758413</v>
      </c>
      <c r="C369">
        <f t="shared" si="54"/>
        <v>0.80901699437494279</v>
      </c>
      <c r="D369">
        <f t="shared" si="55"/>
        <v>-0.58778525229247958</v>
      </c>
      <c r="E369">
        <f t="shared" ca="1" si="51"/>
        <v>-2.6126087959710274E-13</v>
      </c>
      <c r="F369">
        <f t="shared" ca="1" si="56"/>
        <v>142.66582863561575</v>
      </c>
      <c r="G369">
        <f t="shared" ca="1" si="57"/>
        <v>46.354937703099544</v>
      </c>
      <c r="H369">
        <f t="shared" ca="1" si="52"/>
        <v>150.00772949999981</v>
      </c>
      <c r="I369">
        <f t="shared" ca="1" si="58"/>
        <v>72.000000000000213</v>
      </c>
      <c r="K369">
        <f t="shared" ca="1" si="59"/>
        <v>-2.5579538487363607E-13</v>
      </c>
    </row>
    <row r="370" spans="1:11" x14ac:dyDescent="0.25">
      <c r="A370">
        <f t="shared" si="53"/>
        <v>0.35899999999999999</v>
      </c>
      <c r="B370">
        <f t="shared" si="60"/>
        <v>171.62891027167333</v>
      </c>
      <c r="C370">
        <f t="shared" si="54"/>
        <v>0.95105651629515164</v>
      </c>
      <c r="D370">
        <f t="shared" si="55"/>
        <v>-0.30901699437495328</v>
      </c>
      <c r="E370">
        <f t="shared" ca="1" si="51"/>
        <v>6.0290972214716014E-14</v>
      </c>
      <c r="F370">
        <f t="shared" ca="1" si="56"/>
        <v>142.66582863561581</v>
      </c>
      <c r="G370">
        <f t="shared" ca="1" si="57"/>
        <v>46.354937703099523</v>
      </c>
      <c r="H370">
        <f t="shared" ca="1" si="52"/>
        <v>150.0077294999999</v>
      </c>
      <c r="I370">
        <f t="shared" ca="1" si="58"/>
        <v>72.000000000000227</v>
      </c>
      <c r="K370">
        <f t="shared" ca="1" si="59"/>
        <v>-2.2737367544323206E-13</v>
      </c>
    </row>
    <row r="371" spans="1:11" x14ac:dyDescent="0.25">
      <c r="A371">
        <f t="shared" si="53"/>
        <v>0.36</v>
      </c>
      <c r="B371">
        <f t="shared" si="60"/>
        <v>201.76188464943459</v>
      </c>
      <c r="C371">
        <f t="shared" si="54"/>
        <v>1</v>
      </c>
      <c r="D371">
        <f t="shared" si="55"/>
        <v>-4.410534437671032E-15</v>
      </c>
      <c r="E371">
        <f t="shared" ca="1" si="51"/>
        <v>-1.0048495369119336E-13</v>
      </c>
      <c r="F371">
        <f t="shared" ca="1" si="56"/>
        <v>142.6658286356157</v>
      </c>
      <c r="G371">
        <f t="shared" ca="1" si="57"/>
        <v>46.354937703099523</v>
      </c>
      <c r="H371">
        <f t="shared" ca="1" si="52"/>
        <v>150.00772949999978</v>
      </c>
      <c r="I371">
        <f t="shared" ca="1" si="58"/>
        <v>72.000000000000213</v>
      </c>
      <c r="K371">
        <f t="shared" ca="1" si="59"/>
        <v>-3.4106051316484809E-13</v>
      </c>
    </row>
    <row r="372" spans="1:11" x14ac:dyDescent="0.25">
      <c r="A372">
        <f t="shared" si="53"/>
        <v>0.36099999999999999</v>
      </c>
      <c r="B372">
        <f t="shared" si="60"/>
        <v>212.14500000000001</v>
      </c>
      <c r="C372">
        <f t="shared" si="54"/>
        <v>0.95105651629515442</v>
      </c>
      <c r="D372">
        <f t="shared" si="55"/>
        <v>0.3090169943749449</v>
      </c>
      <c r="E372">
        <f t="shared" ca="1" si="51"/>
        <v>0</v>
      </c>
      <c r="F372">
        <f t="shared" ca="1" si="56"/>
        <v>142.6658286356157</v>
      </c>
      <c r="G372">
        <f t="shared" ca="1" si="57"/>
        <v>46.354937703099523</v>
      </c>
      <c r="H372">
        <f t="shared" ca="1" si="52"/>
        <v>150.00772949999978</v>
      </c>
      <c r="I372">
        <f t="shared" ca="1" si="58"/>
        <v>72.000000000000213</v>
      </c>
      <c r="K372">
        <f t="shared" ca="1" si="59"/>
        <v>-3.1263880373444408E-13</v>
      </c>
    </row>
    <row r="373" spans="1:11" x14ac:dyDescent="0.25">
      <c r="A373">
        <f t="shared" si="53"/>
        <v>0.36199999999999999</v>
      </c>
      <c r="B373">
        <f t="shared" si="60"/>
        <v>201.7618846494359</v>
      </c>
      <c r="C373">
        <f t="shared" si="54"/>
        <v>0.8090169943749479</v>
      </c>
      <c r="D373">
        <f t="shared" si="55"/>
        <v>0.58778525229247236</v>
      </c>
      <c r="E373">
        <f t="shared" ca="1" si="51"/>
        <v>1.0048495369119336E-13</v>
      </c>
      <c r="F373">
        <f t="shared" ca="1" si="56"/>
        <v>142.66582863561578</v>
      </c>
      <c r="G373">
        <f t="shared" ca="1" si="57"/>
        <v>46.35493770309958</v>
      </c>
      <c r="H373">
        <f t="shared" ca="1" si="52"/>
        <v>150.00772949999987</v>
      </c>
      <c r="I373">
        <f t="shared" ca="1" si="58"/>
        <v>72.000000000000213</v>
      </c>
      <c r="K373">
        <f t="shared" ca="1" si="59"/>
        <v>0</v>
      </c>
    </row>
    <row r="374" spans="1:11" x14ac:dyDescent="0.25">
      <c r="A374">
        <f t="shared" si="53"/>
        <v>0.36299999999999999</v>
      </c>
      <c r="B374">
        <f t="shared" si="60"/>
        <v>171.62891027167225</v>
      </c>
      <c r="C374">
        <f t="shared" si="54"/>
        <v>0.58778525229247247</v>
      </c>
      <c r="D374">
        <f t="shared" si="55"/>
        <v>0.8090169943749479</v>
      </c>
      <c r="E374">
        <f t="shared" ca="1" si="51"/>
        <v>-6.0290972214716014E-14</v>
      </c>
      <c r="F374">
        <f t="shared" ca="1" si="56"/>
        <v>142.66582863561575</v>
      </c>
      <c r="G374">
        <f t="shared" ca="1" si="57"/>
        <v>46.35493770309953</v>
      </c>
      <c r="H374">
        <f t="shared" ca="1" si="52"/>
        <v>150.00772949999981</v>
      </c>
      <c r="I374">
        <f t="shared" ca="1" si="58"/>
        <v>72.000000000000227</v>
      </c>
      <c r="K374">
        <f t="shared" ca="1" si="59"/>
        <v>0</v>
      </c>
    </row>
    <row r="375" spans="1:11" x14ac:dyDescent="0.25">
      <c r="A375">
        <f t="shared" si="53"/>
        <v>0.36399999999999999</v>
      </c>
      <c r="B375">
        <f t="shared" si="60"/>
        <v>124.6957023475875</v>
      </c>
      <c r="C375">
        <f t="shared" si="54"/>
        <v>0.3090169943749449</v>
      </c>
      <c r="D375">
        <f t="shared" si="55"/>
        <v>0.95105651629515442</v>
      </c>
      <c r="E375">
        <f t="shared" ca="1" si="51"/>
        <v>2.6126087959710274E-13</v>
      </c>
      <c r="F375">
        <f t="shared" ca="1" si="56"/>
        <v>142.66582863561584</v>
      </c>
      <c r="G375">
        <f t="shared" ca="1" si="57"/>
        <v>46.354937703099779</v>
      </c>
      <c r="H375">
        <f t="shared" ca="1" si="52"/>
        <v>150.00772949999998</v>
      </c>
      <c r="I375">
        <f t="shared" ca="1" si="58"/>
        <v>72.000000000000142</v>
      </c>
      <c r="K375">
        <f t="shared" ca="1" si="59"/>
        <v>0</v>
      </c>
    </row>
    <row r="376" spans="1:11" x14ac:dyDescent="0.25">
      <c r="A376">
        <f t="shared" si="53"/>
        <v>0.36499999999999999</v>
      </c>
      <c r="B376">
        <f t="shared" si="60"/>
        <v>65.556410271670913</v>
      </c>
      <c r="C376">
        <f t="shared" si="54"/>
        <v>-4.4099923365847893E-15</v>
      </c>
      <c r="D376">
        <f t="shared" si="55"/>
        <v>1</v>
      </c>
      <c r="E376">
        <f t="shared" ca="1" si="51"/>
        <v>-9.8475254617369496E-14</v>
      </c>
      <c r="F376">
        <f t="shared" ca="1" si="56"/>
        <v>142.66582863561584</v>
      </c>
      <c r="G376">
        <f t="shared" ca="1" si="57"/>
        <v>46.354937703099679</v>
      </c>
      <c r="H376">
        <f t="shared" ca="1" si="52"/>
        <v>150.00772949999995</v>
      </c>
      <c r="I376">
        <f t="shared" ca="1" si="58"/>
        <v>72.000000000000185</v>
      </c>
      <c r="K376">
        <f t="shared" ca="1" si="59"/>
        <v>0</v>
      </c>
    </row>
    <row r="377" spans="1:11" x14ac:dyDescent="0.25">
      <c r="A377">
        <f t="shared" si="53"/>
        <v>0.36599999999999999</v>
      </c>
      <c r="B377">
        <f t="shared" si="60"/>
        <v>2.0797329678724775E-13</v>
      </c>
      <c r="C377">
        <f t="shared" si="54"/>
        <v>-0.30901699437493979</v>
      </c>
      <c r="D377">
        <f t="shared" si="55"/>
        <v>0.95105651629515608</v>
      </c>
      <c r="E377">
        <f t="shared" ca="1" si="51"/>
        <v>3.2343634227269879E-13</v>
      </c>
      <c r="F377">
        <f t="shared" ca="1" si="56"/>
        <v>142.66582863561572</v>
      </c>
      <c r="G377">
        <f t="shared" ca="1" si="57"/>
        <v>46.354937703099985</v>
      </c>
      <c r="H377">
        <f t="shared" ca="1" si="52"/>
        <v>150.00772949999993</v>
      </c>
      <c r="I377">
        <f t="shared" ca="1" si="58"/>
        <v>72.000000000000057</v>
      </c>
      <c r="K377">
        <f t="shared" ca="1" si="59"/>
        <v>-3.1263880373444408E-13</v>
      </c>
    </row>
    <row r="378" spans="1:11" x14ac:dyDescent="0.25">
      <c r="A378">
        <f t="shared" si="53"/>
        <v>0.36699999999999999</v>
      </c>
      <c r="B378">
        <f t="shared" si="60"/>
        <v>-65.556410271670515</v>
      </c>
      <c r="C378">
        <f t="shared" si="54"/>
        <v>-0.58778525229246803</v>
      </c>
      <c r="D378">
        <f t="shared" si="55"/>
        <v>0.80901699437495111</v>
      </c>
      <c r="E378">
        <f t="shared" ca="1" si="51"/>
        <v>3.0748395829505167E-13</v>
      </c>
      <c r="F378">
        <f t="shared" ca="1" si="56"/>
        <v>142.66582863561555</v>
      </c>
      <c r="G378">
        <f t="shared" ca="1" si="57"/>
        <v>46.354937703100234</v>
      </c>
      <c r="H378">
        <f t="shared" ca="1" si="52"/>
        <v>150.00772949999987</v>
      </c>
      <c r="I378">
        <f t="shared" ca="1" si="58"/>
        <v>71.999999999999943</v>
      </c>
      <c r="K378">
        <f t="shared" ca="1" si="59"/>
        <v>-5.4001247917767614E-13</v>
      </c>
    </row>
    <row r="379" spans="1:11" x14ac:dyDescent="0.25">
      <c r="A379">
        <f t="shared" si="53"/>
        <v>0.36799999999999999</v>
      </c>
      <c r="B379">
        <f t="shared" si="60"/>
        <v>-124.69570234758714</v>
      </c>
      <c r="C379">
        <f t="shared" si="54"/>
        <v>-0.80901699437494479</v>
      </c>
      <c r="D379">
        <f t="shared" si="55"/>
        <v>0.5877852522924768</v>
      </c>
      <c r="E379">
        <f t="shared" ca="1" si="51"/>
        <v>2.6327057867092661E-13</v>
      </c>
      <c r="F379">
        <f t="shared" ca="1" si="56"/>
        <v>142.66582863561536</v>
      </c>
      <c r="G379">
        <f t="shared" ca="1" si="57"/>
        <v>46.35493770310039</v>
      </c>
      <c r="H379">
        <f t="shared" ca="1" si="52"/>
        <v>150.00772949999973</v>
      </c>
      <c r="I379">
        <f t="shared" ca="1" si="58"/>
        <v>71.999999999999858</v>
      </c>
      <c r="K379">
        <f t="shared" ca="1" si="59"/>
        <v>-7.9580786405131221E-13</v>
      </c>
    </row>
    <row r="380" spans="1:11" x14ac:dyDescent="0.25">
      <c r="A380">
        <f t="shared" si="53"/>
        <v>0.36899999999999999</v>
      </c>
      <c r="B380">
        <f t="shared" si="60"/>
        <v>-171.628910271672</v>
      </c>
      <c r="C380">
        <f t="shared" si="54"/>
        <v>-0.95105651629515275</v>
      </c>
      <c r="D380">
        <f t="shared" si="55"/>
        <v>0.30901699437495006</v>
      </c>
      <c r="E380">
        <f t="shared" ca="1" si="51"/>
        <v>1.9092141201326738E-13</v>
      </c>
      <c r="F380">
        <f t="shared" ca="1" si="56"/>
        <v>142.66582863561518</v>
      </c>
      <c r="G380">
        <f t="shared" ca="1" si="57"/>
        <v>46.354937703100447</v>
      </c>
      <c r="H380">
        <f t="shared" ca="1" si="52"/>
        <v>150.00772949999958</v>
      </c>
      <c r="I380">
        <f t="shared" ca="1" si="58"/>
        <v>71.999999999999815</v>
      </c>
      <c r="K380">
        <f t="shared" ca="1" si="59"/>
        <v>-9.9475983006414026E-13</v>
      </c>
    </row>
    <row r="381" spans="1:11" x14ac:dyDescent="0.25">
      <c r="A381">
        <f t="shared" si="53"/>
        <v>0.37</v>
      </c>
      <c r="B381">
        <f t="shared" si="60"/>
        <v>-201.76188464943576</v>
      </c>
      <c r="C381">
        <f t="shared" si="54"/>
        <v>-1</v>
      </c>
      <c r="D381">
        <f t="shared" si="55"/>
        <v>9.8033560436139311E-16</v>
      </c>
      <c r="E381">
        <f t="shared" ca="1" si="51"/>
        <v>-3.2155185181181876E-14</v>
      </c>
      <c r="F381">
        <f t="shared" ca="1" si="56"/>
        <v>142.66582863561521</v>
      </c>
      <c r="G381">
        <f t="shared" ca="1" si="57"/>
        <v>46.354937703100447</v>
      </c>
      <c r="H381">
        <f t="shared" ca="1" si="52"/>
        <v>150.00772949999958</v>
      </c>
      <c r="I381">
        <f t="shared" ca="1" si="58"/>
        <v>71.999999999999815</v>
      </c>
      <c r="K381">
        <f t="shared" ca="1" si="59"/>
        <v>-9.6633812063373625E-13</v>
      </c>
    </row>
    <row r="382" spans="1:11" x14ac:dyDescent="0.25">
      <c r="A382">
        <f t="shared" si="53"/>
        <v>0.371</v>
      </c>
      <c r="B382">
        <f t="shared" si="60"/>
        <v>-212.14500000000001</v>
      </c>
      <c r="C382">
        <f t="shared" si="54"/>
        <v>-0.95105651629515331</v>
      </c>
      <c r="D382">
        <f t="shared" si="55"/>
        <v>-0.30901699437494817</v>
      </c>
      <c r="E382">
        <f t="shared" ca="1" si="51"/>
        <v>0</v>
      </c>
      <c r="F382">
        <f t="shared" ca="1" si="56"/>
        <v>142.66582863561521</v>
      </c>
      <c r="G382">
        <f t="shared" ca="1" si="57"/>
        <v>46.354937703100447</v>
      </c>
      <c r="H382">
        <f t="shared" ca="1" si="52"/>
        <v>150.00772949999958</v>
      </c>
      <c r="I382">
        <f t="shared" ca="1" si="58"/>
        <v>71.999999999999815</v>
      </c>
      <c r="K382">
        <f t="shared" ca="1" si="59"/>
        <v>-9.3791641120333225E-13</v>
      </c>
    </row>
    <row r="383" spans="1:11" x14ac:dyDescent="0.25">
      <c r="A383">
        <f t="shared" si="53"/>
        <v>0.372</v>
      </c>
      <c r="B383">
        <f t="shared" si="60"/>
        <v>-201.76188464943473</v>
      </c>
      <c r="C383">
        <f t="shared" si="54"/>
        <v>-0.8090169943749459</v>
      </c>
      <c r="D383">
        <f t="shared" si="55"/>
        <v>-0.58778525229247514</v>
      </c>
      <c r="E383">
        <f t="shared" ca="1" si="51"/>
        <v>3.2155185181181876E-14</v>
      </c>
      <c r="F383">
        <f t="shared" ca="1" si="56"/>
        <v>142.66582863561518</v>
      </c>
      <c r="G383">
        <f t="shared" ca="1" si="57"/>
        <v>46.354937703100425</v>
      </c>
      <c r="H383">
        <f t="shared" ca="1" si="52"/>
        <v>150.00772949999958</v>
      </c>
      <c r="I383">
        <f t="shared" ca="1" si="58"/>
        <v>71.999999999999844</v>
      </c>
      <c r="K383">
        <f t="shared" ca="1" si="59"/>
        <v>-1.0800249583553523E-12</v>
      </c>
    </row>
    <row r="384" spans="1:11" x14ac:dyDescent="0.25">
      <c r="A384">
        <f t="shared" si="53"/>
        <v>0.373</v>
      </c>
      <c r="B384">
        <f t="shared" si="60"/>
        <v>-171.62891027167359</v>
      </c>
      <c r="C384">
        <f t="shared" si="54"/>
        <v>-0.5877852522924697</v>
      </c>
      <c r="D384">
        <f t="shared" si="55"/>
        <v>-0.80901699437495</v>
      </c>
      <c r="E384">
        <f t="shared" ca="1" si="51"/>
        <v>6.0290972214716014E-14</v>
      </c>
      <c r="F384">
        <f t="shared" ca="1" si="56"/>
        <v>142.66582863561516</v>
      </c>
      <c r="G384">
        <f t="shared" ca="1" si="57"/>
        <v>46.354937703100376</v>
      </c>
      <c r="H384">
        <f t="shared" ca="1" si="52"/>
        <v>150.00772949999953</v>
      </c>
      <c r="I384">
        <f t="shared" ca="1" si="58"/>
        <v>71.999999999999844</v>
      </c>
      <c r="K384">
        <f t="shared" ca="1" si="59"/>
        <v>-1.0800249583553523E-12</v>
      </c>
    </row>
    <row r="385" spans="1:11" x14ac:dyDescent="0.25">
      <c r="A385">
        <f t="shared" si="53"/>
        <v>0.374</v>
      </c>
      <c r="B385">
        <f t="shared" si="60"/>
        <v>-124.69570234758446</v>
      </c>
      <c r="C385">
        <f t="shared" si="54"/>
        <v>-0.30901699437494162</v>
      </c>
      <c r="D385">
        <f t="shared" si="55"/>
        <v>-0.95105651629515542</v>
      </c>
      <c r="E385">
        <f t="shared" ca="1" si="51"/>
        <v>8.3402511563690492E-14</v>
      </c>
      <c r="F385">
        <f t="shared" ca="1" si="56"/>
        <v>142.66582863561513</v>
      </c>
      <c r="G385">
        <f t="shared" ca="1" si="57"/>
        <v>46.354937703100298</v>
      </c>
      <c r="H385">
        <f t="shared" ca="1" si="52"/>
        <v>150.00772949999947</v>
      </c>
      <c r="I385">
        <f t="shared" ca="1" si="58"/>
        <v>71.999999999999872</v>
      </c>
      <c r="K385">
        <f t="shared" ca="1" si="59"/>
        <v>-1.1084466677857563E-12</v>
      </c>
    </row>
    <row r="386" spans="1:11" x14ac:dyDescent="0.25">
      <c r="A386">
        <f t="shared" si="53"/>
        <v>0.375</v>
      </c>
      <c r="B386">
        <f t="shared" si="60"/>
        <v>-65.556410271673087</v>
      </c>
      <c r="C386">
        <f t="shared" si="54"/>
        <v>-6.3706635453075755E-15</v>
      </c>
      <c r="D386">
        <f t="shared" si="55"/>
        <v>-1</v>
      </c>
      <c r="E386">
        <f t="shared" ca="1" si="51"/>
        <v>9.7470405080457561E-14</v>
      </c>
      <c r="F386">
        <f t="shared" ca="1" si="56"/>
        <v>142.66582863561513</v>
      </c>
      <c r="G386">
        <f t="shared" ca="1" si="57"/>
        <v>46.354937703100198</v>
      </c>
      <c r="H386">
        <f t="shared" ca="1" si="52"/>
        <v>150.00772949999944</v>
      </c>
      <c r="I386">
        <f t="shared" ca="1" si="58"/>
        <v>71.999999999999915</v>
      </c>
      <c r="K386">
        <f t="shared" ca="1" si="59"/>
        <v>-9.9475983006414026E-13</v>
      </c>
    </row>
    <row r="387" spans="1:11" x14ac:dyDescent="0.25">
      <c r="A387">
        <f t="shared" si="53"/>
        <v>0.376</v>
      </c>
      <c r="B387">
        <f t="shared" si="60"/>
        <v>-2.4950355388513034E-12</v>
      </c>
      <c r="C387">
        <f t="shared" si="54"/>
        <v>0.30901699437494307</v>
      </c>
      <c r="D387">
        <f t="shared" si="55"/>
        <v>-0.95105651629515497</v>
      </c>
      <c r="E387">
        <f t="shared" ca="1" si="51"/>
        <v>1.0291126774366557E-13</v>
      </c>
      <c r="F387">
        <f t="shared" ca="1" si="56"/>
        <v>142.66582863561516</v>
      </c>
      <c r="G387">
        <f t="shared" ca="1" si="57"/>
        <v>46.354937703100099</v>
      </c>
      <c r="H387">
        <f t="shared" ca="1" si="52"/>
        <v>150.00772949999944</v>
      </c>
      <c r="I387">
        <f t="shared" ca="1" si="58"/>
        <v>71.999999999999943</v>
      </c>
      <c r="K387">
        <f t="shared" ca="1" si="59"/>
        <v>-7.9580786405131221E-13</v>
      </c>
    </row>
    <row r="388" spans="1:11" x14ac:dyDescent="0.25">
      <c r="A388">
        <f t="shared" si="53"/>
        <v>0.377</v>
      </c>
      <c r="B388">
        <f t="shared" si="60"/>
        <v>65.556410271674082</v>
      </c>
      <c r="C388">
        <f t="shared" si="54"/>
        <v>0.58778525229247081</v>
      </c>
      <c r="D388">
        <f t="shared" si="55"/>
        <v>-0.80901699437494912</v>
      </c>
      <c r="E388">
        <f t="shared" ca="1" si="51"/>
        <v>9.8475254617369496E-14</v>
      </c>
      <c r="F388">
        <f t="shared" ca="1" si="56"/>
        <v>142.66582863561521</v>
      </c>
      <c r="G388">
        <f t="shared" ca="1" si="57"/>
        <v>46.35493770310002</v>
      </c>
      <c r="H388">
        <f t="shared" ca="1" si="52"/>
        <v>150.00772949999947</v>
      </c>
      <c r="I388">
        <f t="shared" ca="1" si="58"/>
        <v>71.999999999999986</v>
      </c>
      <c r="K388">
        <f t="shared" ca="1" si="59"/>
        <v>-5.4001247917767614E-13</v>
      </c>
    </row>
    <row r="389" spans="1:11" x14ac:dyDescent="0.25">
      <c r="A389">
        <f t="shared" si="53"/>
        <v>0.378</v>
      </c>
      <c r="B389">
        <f t="shared" si="60"/>
        <v>124.69570234758531</v>
      </c>
      <c r="C389">
        <f t="shared" si="54"/>
        <v>0.80901699437494679</v>
      </c>
      <c r="D389">
        <f t="shared" si="55"/>
        <v>-0.58778525229247403</v>
      </c>
      <c r="E389">
        <f t="shared" ca="1" si="51"/>
        <v>8.3402511563690492E-14</v>
      </c>
      <c r="F389">
        <f t="shared" ca="1" si="56"/>
        <v>142.66582863561527</v>
      </c>
      <c r="G389">
        <f t="shared" ca="1" si="57"/>
        <v>46.354937703099971</v>
      </c>
      <c r="H389">
        <f t="shared" ca="1" si="52"/>
        <v>150.0077294999995</v>
      </c>
      <c r="I389">
        <f t="shared" ca="1" si="58"/>
        <v>72</v>
      </c>
      <c r="K389">
        <f t="shared" ca="1" si="59"/>
        <v>-5.4001247917767614E-13</v>
      </c>
    </row>
    <row r="390" spans="1:11" x14ac:dyDescent="0.25">
      <c r="A390">
        <f t="shared" si="53"/>
        <v>0.379</v>
      </c>
      <c r="B390">
        <f t="shared" si="60"/>
        <v>171.62891027167421</v>
      </c>
      <c r="C390">
        <f t="shared" si="54"/>
        <v>0.95105651629515375</v>
      </c>
      <c r="D390">
        <f t="shared" si="55"/>
        <v>-0.30901699437494679</v>
      </c>
      <c r="E390">
        <f t="shared" ca="1" si="51"/>
        <v>6.2300671288539882E-14</v>
      </c>
      <c r="F390">
        <f t="shared" ca="1" si="56"/>
        <v>142.66582863561533</v>
      </c>
      <c r="G390">
        <f t="shared" ca="1" si="57"/>
        <v>46.354937703099949</v>
      </c>
      <c r="H390">
        <f t="shared" ca="1" si="52"/>
        <v>150.00772949999956</v>
      </c>
      <c r="I390">
        <f t="shared" ca="1" si="58"/>
        <v>72.000000000000028</v>
      </c>
      <c r="K390">
        <f t="shared" ca="1" si="59"/>
        <v>-3.694822225952521E-13</v>
      </c>
    </row>
    <row r="391" spans="1:11" x14ac:dyDescent="0.25">
      <c r="A391">
        <f t="shared" si="53"/>
        <v>0.38</v>
      </c>
      <c r="B391">
        <f t="shared" si="60"/>
        <v>201.76188464943505</v>
      </c>
      <c r="C391">
        <f t="shared" si="54"/>
        <v>1</v>
      </c>
      <c r="D391">
        <f t="shared" si="55"/>
        <v>2.4498632289482458E-15</v>
      </c>
      <c r="E391">
        <f t="shared" ca="1" si="51"/>
        <v>3.2155185181181876E-14</v>
      </c>
      <c r="F391">
        <f t="shared" ca="1" si="56"/>
        <v>142.66582863561536</v>
      </c>
      <c r="G391">
        <f t="shared" ca="1" si="57"/>
        <v>46.354937703099949</v>
      </c>
      <c r="H391">
        <f t="shared" ca="1" si="52"/>
        <v>150.00772949999958</v>
      </c>
      <c r="I391">
        <f t="shared" ca="1" si="58"/>
        <v>72.000000000000028</v>
      </c>
      <c r="K391">
        <f t="shared" ca="1" si="59"/>
        <v>-3.4106051316484809E-13</v>
      </c>
    </row>
    <row r="392" spans="1:11" x14ac:dyDescent="0.25">
      <c r="A392">
        <f t="shared" si="53"/>
        <v>0.38100000000000001</v>
      </c>
      <c r="B392">
        <f t="shared" si="60"/>
        <v>212.14500000000001</v>
      </c>
      <c r="C392">
        <f t="shared" si="54"/>
        <v>0.95105651629515231</v>
      </c>
      <c r="D392">
        <f t="shared" si="55"/>
        <v>0.30901699437495145</v>
      </c>
      <c r="E392">
        <f t="shared" ca="1" si="51"/>
        <v>0</v>
      </c>
      <c r="F392">
        <f t="shared" ca="1" si="56"/>
        <v>142.66582863561536</v>
      </c>
      <c r="G392">
        <f t="shared" ca="1" si="57"/>
        <v>46.354937703099949</v>
      </c>
      <c r="H392">
        <f t="shared" ca="1" si="52"/>
        <v>150.00772949999958</v>
      </c>
      <c r="I392">
        <f t="shared" ca="1" si="58"/>
        <v>72.000000000000028</v>
      </c>
      <c r="K392">
        <f t="shared" ca="1" si="59"/>
        <v>-4.2632564145606011E-13</v>
      </c>
    </row>
    <row r="393" spans="1:11" x14ac:dyDescent="0.25">
      <c r="A393">
        <f t="shared" si="53"/>
        <v>0.38200000000000001</v>
      </c>
      <c r="B393">
        <f t="shared" si="60"/>
        <v>201.76188464943544</v>
      </c>
      <c r="C393">
        <f t="shared" si="54"/>
        <v>0.8090169943749439</v>
      </c>
      <c r="D393">
        <f t="shared" si="55"/>
        <v>0.58778525229247791</v>
      </c>
      <c r="E393">
        <f t="shared" ca="1" si="51"/>
        <v>-3.2155185181181876E-14</v>
      </c>
      <c r="F393">
        <f t="shared" ca="1" si="56"/>
        <v>142.66582863561533</v>
      </c>
      <c r="G393">
        <f t="shared" ca="1" si="57"/>
        <v>46.354937703099928</v>
      </c>
      <c r="H393">
        <f t="shared" ca="1" si="52"/>
        <v>150.00772949999956</v>
      </c>
      <c r="I393">
        <f t="shared" ca="1" si="58"/>
        <v>72.000000000000028</v>
      </c>
      <c r="K393">
        <f t="shared" ca="1" si="59"/>
        <v>-4.2632564145606011E-13</v>
      </c>
    </row>
    <row r="394" spans="1:11" x14ac:dyDescent="0.25">
      <c r="A394">
        <f t="shared" si="53"/>
        <v>0.38300000000000001</v>
      </c>
      <c r="B394">
        <f t="shared" si="60"/>
        <v>171.62891027167137</v>
      </c>
      <c r="C394">
        <f t="shared" si="54"/>
        <v>0.58778525229246692</v>
      </c>
      <c r="D394">
        <f t="shared" si="55"/>
        <v>0.809016994374952</v>
      </c>
      <c r="E394">
        <f t="shared" ca="1" si="51"/>
        <v>-6.2300671288539882E-14</v>
      </c>
      <c r="F394">
        <f t="shared" ca="1" si="56"/>
        <v>142.6658286356153</v>
      </c>
      <c r="G394">
        <f t="shared" ca="1" si="57"/>
        <v>46.354937703099878</v>
      </c>
      <c r="H394">
        <f t="shared" ca="1" si="52"/>
        <v>150.0077294999995</v>
      </c>
      <c r="I394">
        <f t="shared" ca="1" si="58"/>
        <v>72.000000000000057</v>
      </c>
      <c r="K394">
        <f t="shared" ca="1" si="59"/>
        <v>-5.4001247917767614E-13</v>
      </c>
    </row>
    <row r="395" spans="1:11" x14ac:dyDescent="0.25">
      <c r="A395">
        <f t="shared" si="53"/>
        <v>0.38400000000000001</v>
      </c>
      <c r="B395">
        <f t="shared" si="60"/>
        <v>124.69570234758632</v>
      </c>
      <c r="C395">
        <f t="shared" si="54"/>
        <v>0.3090169943749384</v>
      </c>
      <c r="D395">
        <f t="shared" si="55"/>
        <v>0.95105651629515653</v>
      </c>
      <c r="E395">
        <f t="shared" ref="E395:E458" ca="1" si="61">(1.4142/$B$2)*(B395-IF((ROW($A395)-ROW($A$11))&lt;$B$2,0,OFFSET($B395,-$B$2,0)))</f>
        <v>-8.3402511563690492E-14</v>
      </c>
      <c r="F395">
        <f t="shared" ca="1" si="56"/>
        <v>142.66582863561527</v>
      </c>
      <c r="G395">
        <f t="shared" ca="1" si="57"/>
        <v>46.3549377030998</v>
      </c>
      <c r="H395">
        <f t="shared" ref="H395:H458" ca="1" si="62">IF(F395="","",SQRT(F395^2+G395^2))</f>
        <v>150.00772949999944</v>
      </c>
      <c r="I395">
        <f t="shared" ca="1" si="58"/>
        <v>72.000000000000057</v>
      </c>
      <c r="K395">
        <f t="shared" ca="1" si="59"/>
        <v>-5.6843418860808015E-13</v>
      </c>
    </row>
    <row r="396" spans="1:11" x14ac:dyDescent="0.25">
      <c r="A396">
        <f t="shared" ref="A396:A459" si="63">(ROW($A396)-ROW($A$11))*$B$4+$B$5</f>
        <v>0.38500000000000001</v>
      </c>
      <c r="B396">
        <f t="shared" si="60"/>
        <v>65.556410271675261</v>
      </c>
      <c r="C396">
        <f t="shared" ref="C396:C459" si="64">COS($A396*$C$1)</f>
        <v>2.9404647119979366E-15</v>
      </c>
      <c r="D396">
        <f t="shared" ref="D396:D459" si="65">SIN($A396*$C$1)</f>
        <v>1</v>
      </c>
      <c r="E396">
        <f t="shared" ca="1" si="61"/>
        <v>3.0748395829505167E-13</v>
      </c>
      <c r="F396">
        <f t="shared" ref="F396:F459" ca="1" si="66">F395+$E396*COS($A396*$C$1)</f>
        <v>142.66582863561527</v>
      </c>
      <c r="G396">
        <f t="shared" ref="G396:G459" ca="1" si="67">G395+$E396*SIN($A396*$C$1)</f>
        <v>46.354937703100106</v>
      </c>
      <c r="H396">
        <f t="shared" ca="1" si="62"/>
        <v>150.00772949999953</v>
      </c>
      <c r="I396">
        <f t="shared" ref="I396:I459" ca="1" si="68">IF(F396="","",ATAN2(G396,F396)*180/PI())</f>
        <v>71.999999999999957</v>
      </c>
      <c r="K396">
        <f t="shared" ca="1" si="59"/>
        <v>-4.5474735088646412E-13</v>
      </c>
    </row>
    <row r="397" spans="1:11" x14ac:dyDescent="0.25">
      <c r="A397">
        <f t="shared" si="63"/>
        <v>0.38600000000000001</v>
      </c>
      <c r="B397">
        <f t="shared" si="60"/>
        <v>-1.2474257661976989E-12</v>
      </c>
      <c r="C397">
        <f t="shared" si="64"/>
        <v>-0.30901699437494629</v>
      </c>
      <c r="D397">
        <f t="shared" si="65"/>
        <v>0.95105651629515398</v>
      </c>
      <c r="E397">
        <f t="shared" ca="1" si="61"/>
        <v>-1.0291126774366557E-13</v>
      </c>
      <c r="F397">
        <f t="shared" ca="1" si="66"/>
        <v>142.6658286356153</v>
      </c>
      <c r="G397">
        <f t="shared" ca="1" si="67"/>
        <v>46.354937703100006</v>
      </c>
      <c r="H397">
        <f t="shared" ca="1" si="62"/>
        <v>150.00772949999956</v>
      </c>
      <c r="I397">
        <f t="shared" ca="1" si="68"/>
        <v>72</v>
      </c>
      <c r="K397">
        <f t="shared" ca="1" si="59"/>
        <v>-2.5579538487363607E-13</v>
      </c>
    </row>
    <row r="398" spans="1:11" x14ac:dyDescent="0.25">
      <c r="A398">
        <f t="shared" si="63"/>
        <v>0.38700000000000001</v>
      </c>
      <c r="B398">
        <f t="shared" si="60"/>
        <v>-65.556410271671893</v>
      </c>
      <c r="C398">
        <f t="shared" si="64"/>
        <v>-0.58778525229247358</v>
      </c>
      <c r="D398">
        <f t="shared" si="65"/>
        <v>0.80901699437494712</v>
      </c>
      <c r="E398">
        <f t="shared" ca="1" si="61"/>
        <v>-9.7470405080457561E-14</v>
      </c>
      <c r="F398">
        <f t="shared" ca="1" si="66"/>
        <v>142.66582863561536</v>
      </c>
      <c r="G398">
        <f t="shared" ca="1" si="67"/>
        <v>46.354937703099928</v>
      </c>
      <c r="H398">
        <f t="shared" ca="1" si="62"/>
        <v>150.00772949999958</v>
      </c>
      <c r="I398">
        <f t="shared" ca="1" si="68"/>
        <v>72.000000000000043</v>
      </c>
      <c r="K398">
        <f t="shared" ca="1" si="59"/>
        <v>0</v>
      </c>
    </row>
    <row r="399" spans="1:11" x14ac:dyDescent="0.25">
      <c r="A399">
        <f t="shared" si="63"/>
        <v>0.38800000000000001</v>
      </c>
      <c r="B399">
        <f t="shared" si="60"/>
        <v>-124.69570234758832</v>
      </c>
      <c r="C399">
        <f t="shared" si="64"/>
        <v>-0.80901699437494878</v>
      </c>
      <c r="D399">
        <f t="shared" si="65"/>
        <v>0.58778525229247125</v>
      </c>
      <c r="E399">
        <f t="shared" ca="1" si="61"/>
        <v>-8.3402511563690492E-14</v>
      </c>
      <c r="F399">
        <f t="shared" ca="1" si="66"/>
        <v>142.66582863561541</v>
      </c>
      <c r="G399">
        <f t="shared" ca="1" si="67"/>
        <v>46.354937703099878</v>
      </c>
      <c r="H399">
        <f t="shared" ca="1" si="62"/>
        <v>150.00772949999961</v>
      </c>
      <c r="I399">
        <f t="shared" ca="1" si="68"/>
        <v>72.000000000000057</v>
      </c>
      <c r="K399">
        <f t="shared" ca="1" si="59"/>
        <v>2.2737367544323206E-13</v>
      </c>
    </row>
    <row r="400" spans="1:11" x14ac:dyDescent="0.25">
      <c r="A400">
        <f t="shared" si="63"/>
        <v>0.38900000000000001</v>
      </c>
      <c r="B400">
        <f t="shared" si="60"/>
        <v>-171.62891027167285</v>
      </c>
      <c r="C400">
        <f t="shared" si="64"/>
        <v>-0.95105651629515486</v>
      </c>
      <c r="D400">
        <f t="shared" si="65"/>
        <v>0.30901699437494351</v>
      </c>
      <c r="E400">
        <f t="shared" ca="1" si="61"/>
        <v>-6.0290972214716014E-14</v>
      </c>
      <c r="F400">
        <f t="shared" ca="1" si="66"/>
        <v>142.66582863561547</v>
      </c>
      <c r="G400">
        <f t="shared" ca="1" si="67"/>
        <v>46.354937703099857</v>
      </c>
      <c r="H400">
        <f t="shared" ca="1" si="62"/>
        <v>150.00772949999964</v>
      </c>
      <c r="I400">
        <f t="shared" ca="1" si="68"/>
        <v>72.000000000000071</v>
      </c>
      <c r="K400">
        <f t="shared" ca="1" si="59"/>
        <v>2.5579538487363607E-13</v>
      </c>
    </row>
    <row r="401" spans="1:11" x14ac:dyDescent="0.25">
      <c r="A401">
        <f t="shared" si="63"/>
        <v>0.39</v>
      </c>
      <c r="B401">
        <f t="shared" si="60"/>
        <v>-201.76188464943621</v>
      </c>
      <c r="C401">
        <f t="shared" si="64"/>
        <v>-1</v>
      </c>
      <c r="D401">
        <f t="shared" si="65"/>
        <v>-5.8800620622578847E-15</v>
      </c>
      <c r="E401">
        <f t="shared" ca="1" si="61"/>
        <v>-3.2155185181181876E-14</v>
      </c>
      <c r="F401">
        <f t="shared" ca="1" si="66"/>
        <v>142.6658286356155</v>
      </c>
      <c r="G401">
        <f t="shared" ca="1" si="67"/>
        <v>46.354937703099857</v>
      </c>
      <c r="H401">
        <f t="shared" ca="1" si="62"/>
        <v>150.00772949999967</v>
      </c>
      <c r="I401">
        <f t="shared" ca="1" si="68"/>
        <v>72.000000000000071</v>
      </c>
      <c r="K401">
        <f t="shared" ca="1" si="59"/>
        <v>2.8421709430404007E-13</v>
      </c>
    </row>
    <row r="402" spans="1:11" x14ac:dyDescent="0.25">
      <c r="A402">
        <f t="shared" si="63"/>
        <v>0.39100000000000001</v>
      </c>
      <c r="B402">
        <f t="shared" si="60"/>
        <v>-212.14500000000001</v>
      </c>
      <c r="C402">
        <f t="shared" si="64"/>
        <v>-0.9510565162951512</v>
      </c>
      <c r="D402">
        <f t="shared" si="65"/>
        <v>-0.30901699437495467</v>
      </c>
      <c r="E402">
        <f t="shared" ca="1" si="61"/>
        <v>0</v>
      </c>
      <c r="F402">
        <f t="shared" ca="1" si="66"/>
        <v>142.6658286356155</v>
      </c>
      <c r="G402">
        <f t="shared" ca="1" si="67"/>
        <v>46.354937703099857</v>
      </c>
      <c r="H402">
        <f t="shared" ca="1" si="62"/>
        <v>150.00772949999967</v>
      </c>
      <c r="I402">
        <f t="shared" ca="1" si="68"/>
        <v>72.000000000000071</v>
      </c>
      <c r="K402">
        <f t="shared" ca="1" si="59"/>
        <v>3.1263880373444408E-13</v>
      </c>
    </row>
    <row r="403" spans="1:11" x14ac:dyDescent="0.25">
      <c r="A403">
        <f t="shared" si="63"/>
        <v>0.39200000000000002</v>
      </c>
      <c r="B403">
        <f t="shared" si="60"/>
        <v>-201.76188464943431</v>
      </c>
      <c r="C403">
        <f t="shared" si="64"/>
        <v>-0.8090169943749419</v>
      </c>
      <c r="D403">
        <f t="shared" si="65"/>
        <v>-0.58778525229248069</v>
      </c>
      <c r="E403">
        <f t="shared" ca="1" si="61"/>
        <v>3.0145486107358007E-14</v>
      </c>
      <c r="F403">
        <f t="shared" ca="1" si="66"/>
        <v>142.66582863561547</v>
      </c>
      <c r="G403">
        <f t="shared" ca="1" si="67"/>
        <v>46.354937703099843</v>
      </c>
      <c r="H403">
        <f t="shared" ca="1" si="62"/>
        <v>150.00772949999964</v>
      </c>
      <c r="I403">
        <f t="shared" ca="1" si="68"/>
        <v>72.000000000000071</v>
      </c>
      <c r="K403">
        <f t="shared" ca="1" si="59"/>
        <v>3.1263880373444408E-13</v>
      </c>
    </row>
    <row r="404" spans="1:11" x14ac:dyDescent="0.25">
      <c r="A404">
        <f t="shared" si="63"/>
        <v>0.39300000000000002</v>
      </c>
      <c r="B404">
        <f t="shared" si="60"/>
        <v>-171.62891027167271</v>
      </c>
      <c r="C404">
        <f t="shared" si="64"/>
        <v>-0.58778525229246414</v>
      </c>
      <c r="D404">
        <f t="shared" si="65"/>
        <v>-0.809016994374954</v>
      </c>
      <c r="E404">
        <f t="shared" ca="1" si="61"/>
        <v>6.2300671288539882E-14</v>
      </c>
      <c r="F404">
        <f t="shared" ca="1" si="66"/>
        <v>142.66582863561544</v>
      </c>
      <c r="G404">
        <f t="shared" ca="1" si="67"/>
        <v>46.354937703099793</v>
      </c>
      <c r="H404">
        <f t="shared" ca="1" si="62"/>
        <v>150.00772949999961</v>
      </c>
      <c r="I404">
        <f t="shared" ca="1" si="68"/>
        <v>72.000000000000085</v>
      </c>
      <c r="K404">
        <f t="shared" ca="1" si="59"/>
        <v>3.1263880373444408E-13</v>
      </c>
    </row>
    <row r="405" spans="1:11" x14ac:dyDescent="0.25">
      <c r="A405">
        <f t="shared" si="63"/>
        <v>0.39400000000000002</v>
      </c>
      <c r="B405">
        <f t="shared" si="60"/>
        <v>-124.69570234758328</v>
      </c>
      <c r="C405">
        <f t="shared" si="64"/>
        <v>-0.30901699437493513</v>
      </c>
      <c r="D405">
        <f t="shared" si="65"/>
        <v>-0.95105651629515753</v>
      </c>
      <c r="E405">
        <f t="shared" ca="1" si="61"/>
        <v>8.3402511563690492E-14</v>
      </c>
      <c r="F405">
        <f t="shared" ca="1" si="66"/>
        <v>142.66582863561541</v>
      </c>
      <c r="G405">
        <f t="shared" ca="1" si="67"/>
        <v>46.354937703099715</v>
      </c>
      <c r="H405">
        <f t="shared" ca="1" si="62"/>
        <v>150.00772949999956</v>
      </c>
      <c r="I405">
        <f t="shared" ca="1" si="68"/>
        <v>72.000000000000114</v>
      </c>
      <c r="K405">
        <f t="shared" ca="1" si="59"/>
        <v>2.8421709430404007E-13</v>
      </c>
    </row>
    <row r="406" spans="1:11" x14ac:dyDescent="0.25">
      <c r="A406">
        <f t="shared" si="63"/>
        <v>0.39500000000000002</v>
      </c>
      <c r="B406">
        <f t="shared" si="60"/>
        <v>-65.556410271671695</v>
      </c>
      <c r="C406">
        <f t="shared" si="64"/>
        <v>4.8973412131170235E-16</v>
      </c>
      <c r="D406">
        <f t="shared" si="65"/>
        <v>-1</v>
      </c>
      <c r="E406">
        <f t="shared" ca="1" si="61"/>
        <v>9.8475254617369496E-14</v>
      </c>
      <c r="F406">
        <f t="shared" ca="1" si="66"/>
        <v>142.66582863561541</v>
      </c>
      <c r="G406">
        <f t="shared" ca="1" si="67"/>
        <v>46.354937703099615</v>
      </c>
      <c r="H406">
        <f t="shared" ca="1" si="62"/>
        <v>150.00772949999953</v>
      </c>
      <c r="I406">
        <f t="shared" ca="1" si="68"/>
        <v>72.000000000000156</v>
      </c>
      <c r="K406">
        <f t="shared" ca="1" si="59"/>
        <v>2.5579538487363607E-13</v>
      </c>
    </row>
    <row r="407" spans="1:11" x14ac:dyDescent="0.25">
      <c r="A407">
        <f t="shared" si="63"/>
        <v>0.39600000000000002</v>
      </c>
      <c r="B407">
        <f t="shared" si="60"/>
        <v>-1.0396364758663568E-12</v>
      </c>
      <c r="C407">
        <f t="shared" si="64"/>
        <v>0.30901699437494956</v>
      </c>
      <c r="D407">
        <f t="shared" si="65"/>
        <v>-0.95105651629515287</v>
      </c>
      <c r="E407">
        <f t="shared" ca="1" si="61"/>
        <v>1.0291126774366557E-13</v>
      </c>
      <c r="F407">
        <f t="shared" ca="1" si="66"/>
        <v>142.66582863561544</v>
      </c>
      <c r="G407">
        <f t="shared" ca="1" si="67"/>
        <v>46.354937703099516</v>
      </c>
      <c r="H407">
        <f t="shared" ca="1" si="62"/>
        <v>150.00772949999953</v>
      </c>
      <c r="I407">
        <f t="shared" ca="1" si="68"/>
        <v>72.000000000000185</v>
      </c>
      <c r="K407">
        <f t="shared" ca="1" si="59"/>
        <v>2.2737367544323206E-13</v>
      </c>
    </row>
    <row r="408" spans="1:11" x14ac:dyDescent="0.25">
      <c r="A408">
        <f t="shared" si="63"/>
        <v>0.39700000000000002</v>
      </c>
      <c r="B408">
        <f t="shared" si="60"/>
        <v>65.55641027167546</v>
      </c>
      <c r="C408">
        <f t="shared" si="64"/>
        <v>0.58778525229247636</v>
      </c>
      <c r="D408">
        <f t="shared" si="65"/>
        <v>-0.80901699437494501</v>
      </c>
      <c r="E408">
        <f t="shared" ca="1" si="61"/>
        <v>9.7470405080457561E-14</v>
      </c>
      <c r="F408">
        <f t="shared" ca="1" si="66"/>
        <v>142.6658286356155</v>
      </c>
      <c r="G408">
        <f t="shared" ca="1" si="67"/>
        <v>46.354937703099438</v>
      </c>
      <c r="H408">
        <f t="shared" ca="1" si="62"/>
        <v>150.00772949999956</v>
      </c>
      <c r="I408">
        <f t="shared" ca="1" si="68"/>
        <v>72.000000000000227</v>
      </c>
      <c r="K408">
        <f t="shared" ca="1" si="59"/>
        <v>2.2737367544323206E-13</v>
      </c>
    </row>
    <row r="409" spans="1:11" x14ac:dyDescent="0.25">
      <c r="A409">
        <f t="shared" si="63"/>
        <v>0.39800000000000002</v>
      </c>
      <c r="B409">
        <f t="shared" si="60"/>
        <v>124.69570234758649</v>
      </c>
      <c r="C409">
        <f t="shared" si="64"/>
        <v>0.80901699437495078</v>
      </c>
      <c r="D409">
        <f t="shared" si="65"/>
        <v>-0.58778525229246847</v>
      </c>
      <c r="E409">
        <f t="shared" ca="1" si="61"/>
        <v>8.3402511563690492E-14</v>
      </c>
      <c r="F409">
        <f t="shared" ca="1" si="66"/>
        <v>142.66582863561555</v>
      </c>
      <c r="G409">
        <f t="shared" ca="1" si="67"/>
        <v>46.354937703099388</v>
      </c>
      <c r="H409">
        <f t="shared" ca="1" si="62"/>
        <v>150.00772949999958</v>
      </c>
      <c r="I409">
        <f t="shared" ca="1" si="68"/>
        <v>72.000000000000256</v>
      </c>
      <c r="K409">
        <f t="shared" ca="1" si="59"/>
        <v>2.2737367544323206E-13</v>
      </c>
    </row>
    <row r="410" spans="1:11" x14ac:dyDescent="0.25">
      <c r="A410">
        <f t="shared" si="63"/>
        <v>0.39900000000000002</v>
      </c>
      <c r="B410">
        <f t="shared" si="60"/>
        <v>171.62891027167504</v>
      </c>
      <c r="C410">
        <f t="shared" si="64"/>
        <v>0.95105651629515586</v>
      </c>
      <c r="D410">
        <f t="shared" si="65"/>
        <v>-0.30901699437494023</v>
      </c>
      <c r="E410">
        <f t="shared" ca="1" si="61"/>
        <v>5.8281273140892145E-14</v>
      </c>
      <c r="F410">
        <f t="shared" ca="1" si="66"/>
        <v>142.66582863561561</v>
      </c>
      <c r="G410">
        <f t="shared" ca="1" si="67"/>
        <v>46.354937703099367</v>
      </c>
      <c r="H410">
        <f t="shared" ca="1" si="62"/>
        <v>150.00772949999964</v>
      </c>
      <c r="I410">
        <f t="shared" ca="1" si="68"/>
        <v>72.00000000000027</v>
      </c>
      <c r="K410">
        <f t="shared" ca="1" si="59"/>
        <v>2.5579538487363607E-13</v>
      </c>
    </row>
    <row r="411" spans="1:11" x14ac:dyDescent="0.25">
      <c r="A411">
        <f t="shared" si="63"/>
        <v>0.4</v>
      </c>
      <c r="B411">
        <f t="shared" si="60"/>
        <v>201.7618846494355</v>
      </c>
      <c r="C411">
        <f t="shared" si="64"/>
        <v>1</v>
      </c>
      <c r="D411">
        <f t="shared" si="65"/>
        <v>9.3102608955675237E-15</v>
      </c>
      <c r="E411">
        <f t="shared" ca="1" si="61"/>
        <v>3.2155185181181876E-14</v>
      </c>
      <c r="F411">
        <f t="shared" ca="1" si="66"/>
        <v>142.66582863561564</v>
      </c>
      <c r="G411">
        <f t="shared" ca="1" si="67"/>
        <v>46.354937703099367</v>
      </c>
      <c r="H411">
        <f t="shared" ca="1" si="62"/>
        <v>150.00772949999967</v>
      </c>
      <c r="I411">
        <f t="shared" ca="1" si="68"/>
        <v>72.00000000000027</v>
      </c>
      <c r="K411">
        <f t="shared" ca="1" si="59"/>
        <v>2.8421709430404007E-13</v>
      </c>
    </row>
    <row r="412" spans="1:11" x14ac:dyDescent="0.25">
      <c r="A412">
        <f t="shared" si="63"/>
        <v>0.40100000000000002</v>
      </c>
      <c r="B412">
        <f t="shared" si="60"/>
        <v>212.14500000000001</v>
      </c>
      <c r="C412">
        <f t="shared" si="64"/>
        <v>0.9510565162951502</v>
      </c>
      <c r="D412">
        <f t="shared" si="65"/>
        <v>0.30901699437495794</v>
      </c>
      <c r="E412">
        <f t="shared" ca="1" si="61"/>
        <v>0</v>
      </c>
      <c r="F412">
        <f t="shared" ca="1" si="66"/>
        <v>142.66582863561564</v>
      </c>
      <c r="G412">
        <f t="shared" ca="1" si="67"/>
        <v>46.354937703099367</v>
      </c>
      <c r="H412">
        <f t="shared" ca="1" si="62"/>
        <v>150.00772949999967</v>
      </c>
      <c r="I412">
        <f t="shared" ca="1" si="68"/>
        <v>72.00000000000027</v>
      </c>
      <c r="K412">
        <f t="shared" ca="1" si="59"/>
        <v>3.1263880373444408E-13</v>
      </c>
    </row>
    <row r="413" spans="1:11" x14ac:dyDescent="0.25">
      <c r="A413">
        <f t="shared" si="63"/>
        <v>0.40200000000000002</v>
      </c>
      <c r="B413">
        <f t="shared" si="60"/>
        <v>201.76188464943499</v>
      </c>
      <c r="C413">
        <f t="shared" si="64"/>
        <v>0.8090169943749399</v>
      </c>
      <c r="D413">
        <f t="shared" si="65"/>
        <v>0.58778525229248346</v>
      </c>
      <c r="E413">
        <f t="shared" ca="1" si="61"/>
        <v>-3.2155185181181876E-14</v>
      </c>
      <c r="F413">
        <f t="shared" ca="1" si="66"/>
        <v>142.66582863561561</v>
      </c>
      <c r="G413">
        <f t="shared" ca="1" si="67"/>
        <v>46.354937703099345</v>
      </c>
      <c r="H413">
        <f t="shared" ca="1" si="62"/>
        <v>150.00772949999964</v>
      </c>
      <c r="I413">
        <f t="shared" ca="1" si="68"/>
        <v>72.00000000000027</v>
      </c>
      <c r="K413">
        <f t="shared" ca="1" si="59"/>
        <v>3.1263880373444408E-13</v>
      </c>
    </row>
    <row r="414" spans="1:11" x14ac:dyDescent="0.25">
      <c r="A414">
        <f t="shared" si="63"/>
        <v>0.40300000000000002</v>
      </c>
      <c r="B414">
        <f t="shared" si="60"/>
        <v>171.62891027167052</v>
      </c>
      <c r="C414">
        <f t="shared" si="64"/>
        <v>0.58778525229246137</v>
      </c>
      <c r="D414">
        <f t="shared" si="65"/>
        <v>0.809016994374956</v>
      </c>
      <c r="E414">
        <f t="shared" ca="1" si="61"/>
        <v>-6.0290972214716014E-14</v>
      </c>
      <c r="F414">
        <f t="shared" ca="1" si="66"/>
        <v>142.66582863561558</v>
      </c>
      <c r="G414">
        <f t="shared" ca="1" si="67"/>
        <v>46.354937703099296</v>
      </c>
      <c r="H414">
        <f t="shared" ca="1" si="62"/>
        <v>150.00772949999958</v>
      </c>
      <c r="I414">
        <f t="shared" ca="1" si="68"/>
        <v>72.000000000000284</v>
      </c>
      <c r="K414">
        <f t="shared" ca="1" si="59"/>
        <v>3.1263880373444408E-13</v>
      </c>
    </row>
    <row r="415" spans="1:11" x14ac:dyDescent="0.25">
      <c r="A415">
        <f t="shared" si="63"/>
        <v>0.40400000000000003</v>
      </c>
      <c r="B415">
        <f t="shared" si="60"/>
        <v>124.69570234758514</v>
      </c>
      <c r="C415">
        <f t="shared" si="64"/>
        <v>0.3090169943749454</v>
      </c>
      <c r="D415">
        <f t="shared" si="65"/>
        <v>0.9510565162951542</v>
      </c>
      <c r="E415">
        <f t="shared" ca="1" si="61"/>
        <v>-8.3402511563690492E-14</v>
      </c>
      <c r="F415">
        <f t="shared" ca="1" si="66"/>
        <v>142.66582863561555</v>
      </c>
      <c r="G415">
        <f t="shared" ca="1" si="67"/>
        <v>46.354937703099218</v>
      </c>
      <c r="H415">
        <f t="shared" ca="1" si="62"/>
        <v>150.00772949999956</v>
      </c>
      <c r="I415">
        <f t="shared" ca="1" si="68"/>
        <v>72.000000000000313</v>
      </c>
      <c r="K415">
        <f t="shared" ref="K415:K473" ca="1" si="69">F415-F396</f>
        <v>2.8421709430404007E-13</v>
      </c>
    </row>
    <row r="416" spans="1:11" x14ac:dyDescent="0.25">
      <c r="A416">
        <f t="shared" si="63"/>
        <v>0.40500000000000003</v>
      </c>
      <c r="B416">
        <f t="shared" si="60"/>
        <v>65.556410271673883</v>
      </c>
      <c r="C416">
        <f t="shared" si="64"/>
        <v>-3.9199329546213413E-15</v>
      </c>
      <c r="D416">
        <f t="shared" si="65"/>
        <v>1</v>
      </c>
      <c r="E416">
        <f t="shared" ca="1" si="61"/>
        <v>-9.7470405080457561E-14</v>
      </c>
      <c r="F416">
        <f t="shared" ca="1" si="66"/>
        <v>142.66582863561555</v>
      </c>
      <c r="G416">
        <f t="shared" ca="1" si="67"/>
        <v>46.354937703099118</v>
      </c>
      <c r="H416">
        <f t="shared" ca="1" si="62"/>
        <v>150.0077294999995</v>
      </c>
      <c r="I416">
        <f t="shared" ca="1" si="68"/>
        <v>72.000000000000355</v>
      </c>
      <c r="K416">
        <f t="shared" ca="1" si="69"/>
        <v>2.5579538487363607E-13</v>
      </c>
    </row>
    <row r="417" spans="1:11" x14ac:dyDescent="0.25">
      <c r="A417">
        <f t="shared" si="63"/>
        <v>0.40600000000000003</v>
      </c>
      <c r="B417">
        <f t="shared" si="60"/>
        <v>-2.702824829182646E-12</v>
      </c>
      <c r="C417">
        <f t="shared" si="64"/>
        <v>-0.30901699437495284</v>
      </c>
      <c r="D417">
        <f t="shared" si="65"/>
        <v>0.95105651629515187</v>
      </c>
      <c r="E417">
        <f t="shared" ca="1" si="61"/>
        <v>-1.0291126774366561E-13</v>
      </c>
      <c r="F417">
        <f t="shared" ca="1" si="66"/>
        <v>142.66582863561558</v>
      </c>
      <c r="G417">
        <f t="shared" ca="1" si="67"/>
        <v>46.354937703099019</v>
      </c>
      <c r="H417">
        <f t="shared" ca="1" si="62"/>
        <v>150.0077294999995</v>
      </c>
      <c r="I417">
        <f t="shared" ca="1" si="68"/>
        <v>72.000000000000398</v>
      </c>
      <c r="K417">
        <f t="shared" ca="1" si="69"/>
        <v>2.2737367544323206E-13</v>
      </c>
    </row>
    <row r="418" spans="1:11" x14ac:dyDescent="0.25">
      <c r="A418">
        <f t="shared" si="63"/>
        <v>0.40700000000000003</v>
      </c>
      <c r="B418">
        <f t="shared" si="60"/>
        <v>-65.556410271673286</v>
      </c>
      <c r="C418">
        <f t="shared" si="64"/>
        <v>-0.58778525229247913</v>
      </c>
      <c r="D418">
        <f t="shared" si="65"/>
        <v>0.80901699437494301</v>
      </c>
      <c r="E418">
        <f t="shared" ca="1" si="61"/>
        <v>-9.8475254617369496E-14</v>
      </c>
      <c r="F418">
        <f t="shared" ca="1" si="66"/>
        <v>142.66582863561564</v>
      </c>
      <c r="G418">
        <f t="shared" ca="1" si="67"/>
        <v>46.35493770309894</v>
      </c>
      <c r="H418">
        <f t="shared" ca="1" si="62"/>
        <v>150.00772949999953</v>
      </c>
      <c r="I418">
        <f t="shared" ca="1" si="68"/>
        <v>72.000000000000412</v>
      </c>
      <c r="K418">
        <f t="shared" ca="1" si="69"/>
        <v>2.2737367544323206E-13</v>
      </c>
    </row>
    <row r="419" spans="1:11" x14ac:dyDescent="0.25">
      <c r="A419">
        <f t="shared" si="63"/>
        <v>0.40800000000000003</v>
      </c>
      <c r="B419">
        <f t="shared" si="60"/>
        <v>-124.6957023475895</v>
      </c>
      <c r="C419">
        <f t="shared" si="64"/>
        <v>-0.80901699437495289</v>
      </c>
      <c r="D419">
        <f t="shared" si="65"/>
        <v>0.5877852522924657</v>
      </c>
      <c r="E419">
        <f t="shared" ca="1" si="61"/>
        <v>-8.3402511563690492E-14</v>
      </c>
      <c r="F419">
        <f t="shared" ca="1" si="66"/>
        <v>142.6658286356157</v>
      </c>
      <c r="G419">
        <f t="shared" ca="1" si="67"/>
        <v>46.354937703098891</v>
      </c>
      <c r="H419">
        <f t="shared" ca="1" si="62"/>
        <v>150.00772949999958</v>
      </c>
      <c r="I419">
        <f t="shared" ca="1" si="68"/>
        <v>72.000000000000441</v>
      </c>
      <c r="K419">
        <f t="shared" ca="1" si="69"/>
        <v>2.2737367544323206E-13</v>
      </c>
    </row>
    <row r="420" spans="1:11" x14ac:dyDescent="0.25">
      <c r="A420">
        <f t="shared" si="63"/>
        <v>0.40900000000000003</v>
      </c>
      <c r="B420">
        <f t="shared" si="60"/>
        <v>-171.6289102716737</v>
      </c>
      <c r="C420">
        <f t="shared" si="64"/>
        <v>-0.95105651629515253</v>
      </c>
      <c r="D420">
        <f t="shared" si="65"/>
        <v>0.3090169943749505</v>
      </c>
      <c r="E420">
        <f t="shared" ca="1" si="61"/>
        <v>-6.0290972214716014E-14</v>
      </c>
      <c r="F420">
        <f t="shared" ca="1" si="66"/>
        <v>142.66582863561575</v>
      </c>
      <c r="G420">
        <f t="shared" ca="1" si="67"/>
        <v>46.354937703098869</v>
      </c>
      <c r="H420">
        <f t="shared" ca="1" si="62"/>
        <v>150.00772949999961</v>
      </c>
      <c r="I420">
        <f t="shared" ca="1" si="68"/>
        <v>72.000000000000469</v>
      </c>
      <c r="K420">
        <f t="shared" ca="1" si="69"/>
        <v>2.5579538487363607E-13</v>
      </c>
    </row>
    <row r="421" spans="1:11" x14ac:dyDescent="0.25">
      <c r="A421">
        <f t="shared" si="63"/>
        <v>0.41000000000000003</v>
      </c>
      <c r="B421">
        <f t="shared" ref="B421:B473" si="70">1.5*$B$6*SIN((A421*$C$1)+PI()/2.5)</f>
        <v>-201.76188464943664</v>
      </c>
      <c r="C421">
        <f t="shared" si="64"/>
        <v>-1</v>
      </c>
      <c r="D421">
        <f t="shared" si="65"/>
        <v>-1.2740459728877163E-14</v>
      </c>
      <c r="E421">
        <f t="shared" ca="1" si="61"/>
        <v>-3.0145486107358007E-14</v>
      </c>
      <c r="F421">
        <f t="shared" ca="1" si="66"/>
        <v>142.66582863561578</v>
      </c>
      <c r="G421">
        <f t="shared" ca="1" si="67"/>
        <v>46.354937703098869</v>
      </c>
      <c r="H421">
        <f t="shared" ca="1" si="62"/>
        <v>150.00772949999964</v>
      </c>
      <c r="I421">
        <f t="shared" ca="1" si="68"/>
        <v>72.000000000000469</v>
      </c>
      <c r="K421">
        <f t="shared" ca="1" si="69"/>
        <v>2.8421709430404007E-13</v>
      </c>
    </row>
    <row r="422" spans="1:11" x14ac:dyDescent="0.25">
      <c r="A422">
        <f t="shared" si="63"/>
        <v>0.41100000000000003</v>
      </c>
      <c r="B422">
        <f t="shared" si="70"/>
        <v>-212.14500000000001</v>
      </c>
      <c r="C422">
        <f t="shared" si="64"/>
        <v>-0.95105651629515353</v>
      </c>
      <c r="D422">
        <f t="shared" si="65"/>
        <v>-0.30901699437494773</v>
      </c>
      <c r="E422">
        <f t="shared" ca="1" si="61"/>
        <v>0</v>
      </c>
      <c r="F422">
        <f t="shared" ca="1" si="66"/>
        <v>142.66582863561578</v>
      </c>
      <c r="G422">
        <f t="shared" ca="1" si="67"/>
        <v>46.354937703098869</v>
      </c>
      <c r="H422">
        <f t="shared" ca="1" si="62"/>
        <v>150.00772949999964</v>
      </c>
      <c r="I422">
        <f t="shared" ca="1" si="68"/>
        <v>72.000000000000469</v>
      </c>
      <c r="K422">
        <f t="shared" ca="1" si="69"/>
        <v>3.1263880373444408E-13</v>
      </c>
    </row>
    <row r="423" spans="1:11" x14ac:dyDescent="0.25">
      <c r="A423">
        <f t="shared" si="63"/>
        <v>0.41200000000000003</v>
      </c>
      <c r="B423">
        <f t="shared" si="70"/>
        <v>-201.76188464943382</v>
      </c>
      <c r="C423">
        <f t="shared" si="64"/>
        <v>-0.8090169943749379</v>
      </c>
      <c r="D423">
        <f t="shared" si="65"/>
        <v>-0.58778525229248624</v>
      </c>
      <c r="E423">
        <f t="shared" ca="1" si="61"/>
        <v>3.4164884255005744E-14</v>
      </c>
      <c r="F423">
        <f t="shared" ca="1" si="66"/>
        <v>142.66582863561575</v>
      </c>
      <c r="G423">
        <f t="shared" ca="1" si="67"/>
        <v>46.354937703098848</v>
      </c>
      <c r="H423">
        <f t="shared" ca="1" si="62"/>
        <v>150.00772949999961</v>
      </c>
      <c r="I423">
        <f t="shared" ca="1" si="68"/>
        <v>72.000000000000469</v>
      </c>
      <c r="K423">
        <f t="shared" ca="1" si="69"/>
        <v>3.1263880373444408E-13</v>
      </c>
    </row>
    <row r="424" spans="1:11" x14ac:dyDescent="0.25">
      <c r="A424">
        <f t="shared" si="63"/>
        <v>0.41300000000000003</v>
      </c>
      <c r="B424">
        <f t="shared" si="70"/>
        <v>-171.62891027167186</v>
      </c>
      <c r="C424">
        <f t="shared" si="64"/>
        <v>-0.58778525229247003</v>
      </c>
      <c r="D424">
        <f t="shared" si="65"/>
        <v>-0.80901699437494967</v>
      </c>
      <c r="E424">
        <f t="shared" ca="1" si="61"/>
        <v>6.0290972214716014E-14</v>
      </c>
      <c r="F424">
        <f t="shared" ca="1" si="66"/>
        <v>142.66582863561572</v>
      </c>
      <c r="G424">
        <f t="shared" ca="1" si="67"/>
        <v>46.354937703098798</v>
      </c>
      <c r="H424">
        <f t="shared" ca="1" si="62"/>
        <v>150.00772949999958</v>
      </c>
      <c r="I424">
        <f t="shared" ca="1" si="68"/>
        <v>72.000000000000483</v>
      </c>
      <c r="K424">
        <f t="shared" ca="1" si="69"/>
        <v>3.1263880373444408E-13</v>
      </c>
    </row>
    <row r="425" spans="1:11" x14ac:dyDescent="0.25">
      <c r="A425">
        <f t="shared" si="63"/>
        <v>0.41400000000000003</v>
      </c>
      <c r="B425">
        <f t="shared" si="70"/>
        <v>-124.6957023475821</v>
      </c>
      <c r="C425">
        <f t="shared" si="64"/>
        <v>-0.30901699437492858</v>
      </c>
      <c r="D425">
        <f t="shared" si="65"/>
        <v>-0.95105651629515964</v>
      </c>
      <c r="E425">
        <f t="shared" ca="1" si="61"/>
        <v>8.3402511563690492E-14</v>
      </c>
      <c r="F425">
        <f t="shared" ca="1" si="66"/>
        <v>142.6658286356157</v>
      </c>
      <c r="G425">
        <f t="shared" ca="1" si="67"/>
        <v>46.35493770309872</v>
      </c>
      <c r="H425">
        <f t="shared" ca="1" si="62"/>
        <v>150.00772949999953</v>
      </c>
      <c r="I425">
        <f t="shared" ca="1" si="68"/>
        <v>72.000000000000512</v>
      </c>
      <c r="K425">
        <f t="shared" ca="1" si="69"/>
        <v>2.8421709430404007E-13</v>
      </c>
    </row>
    <row r="426" spans="1:11" x14ac:dyDescent="0.25">
      <c r="A426">
        <f t="shared" si="63"/>
        <v>0.41500000000000004</v>
      </c>
      <c r="B426">
        <f t="shared" si="70"/>
        <v>-65.556410271670316</v>
      </c>
      <c r="C426">
        <f t="shared" si="64"/>
        <v>7.3501317879309802E-15</v>
      </c>
      <c r="D426">
        <f t="shared" si="65"/>
        <v>-1</v>
      </c>
      <c r="E426">
        <f t="shared" ca="1" si="61"/>
        <v>9.7470405080457561E-14</v>
      </c>
      <c r="F426">
        <f t="shared" ca="1" si="66"/>
        <v>142.6658286356157</v>
      </c>
      <c r="G426">
        <f t="shared" ca="1" si="67"/>
        <v>46.354937703098621</v>
      </c>
      <c r="H426">
        <f t="shared" ca="1" si="62"/>
        <v>150.0077294999995</v>
      </c>
      <c r="I426">
        <f t="shared" ca="1" si="68"/>
        <v>72.00000000000054</v>
      </c>
      <c r="K426">
        <f t="shared" ca="1" si="69"/>
        <v>2.5579538487363607E-13</v>
      </c>
    </row>
    <row r="427" spans="1:11" x14ac:dyDescent="0.25">
      <c r="A427">
        <f t="shared" si="63"/>
        <v>0.41600000000000004</v>
      </c>
      <c r="B427">
        <f t="shared" si="70"/>
        <v>6.4452861342316487E-12</v>
      </c>
      <c r="C427">
        <f t="shared" si="64"/>
        <v>0.3090169943749696</v>
      </c>
      <c r="D427">
        <f t="shared" si="65"/>
        <v>-0.95105651629514631</v>
      </c>
      <c r="E427">
        <f t="shared" ca="1" si="61"/>
        <v>5.2925887776002995E-13</v>
      </c>
      <c r="F427">
        <f t="shared" ca="1" si="66"/>
        <v>142.66582863561587</v>
      </c>
      <c r="G427">
        <f t="shared" ca="1" si="67"/>
        <v>46.354937703098116</v>
      </c>
      <c r="H427">
        <f t="shared" ca="1" si="62"/>
        <v>150.0077294999995</v>
      </c>
      <c r="I427">
        <f t="shared" ca="1" si="68"/>
        <v>72.000000000000753</v>
      </c>
      <c r="K427">
        <f t="shared" ca="1" si="69"/>
        <v>3.694822225952521E-13</v>
      </c>
    </row>
    <row r="428" spans="1:11" x14ac:dyDescent="0.25">
      <c r="A428">
        <f t="shared" si="63"/>
        <v>0.41699999999999998</v>
      </c>
      <c r="B428">
        <f t="shared" si="70"/>
        <v>65.556410271671112</v>
      </c>
      <c r="C428">
        <f t="shared" si="64"/>
        <v>0.58778525229245893</v>
      </c>
      <c r="D428">
        <f t="shared" si="65"/>
        <v>-0.80901699437495778</v>
      </c>
      <c r="E428">
        <f t="shared" ca="1" si="61"/>
        <v>-3.0748395829505167E-13</v>
      </c>
      <c r="F428">
        <f t="shared" ca="1" si="66"/>
        <v>142.6658286356157</v>
      </c>
      <c r="G428">
        <f t="shared" ca="1" si="67"/>
        <v>46.354937703098365</v>
      </c>
      <c r="H428">
        <f t="shared" ca="1" si="62"/>
        <v>150.00772949999941</v>
      </c>
      <c r="I428">
        <f t="shared" ca="1" si="68"/>
        <v>72.000000000000639</v>
      </c>
      <c r="K428">
        <f t="shared" ca="1" si="69"/>
        <v>0</v>
      </c>
    </row>
    <row r="429" spans="1:11" x14ac:dyDescent="0.25">
      <c r="A429">
        <f t="shared" si="63"/>
        <v>0.41799999999999998</v>
      </c>
      <c r="B429">
        <f t="shared" si="70"/>
        <v>124.69570234758766</v>
      </c>
      <c r="C429">
        <f t="shared" si="64"/>
        <v>0.80901699437494645</v>
      </c>
      <c r="D429">
        <f t="shared" si="65"/>
        <v>-0.58778525229247436</v>
      </c>
      <c r="E429">
        <f t="shared" ca="1" si="61"/>
        <v>8.2397662026778558E-14</v>
      </c>
      <c r="F429">
        <f t="shared" ca="1" si="66"/>
        <v>142.66582863561575</v>
      </c>
      <c r="G429">
        <f t="shared" ca="1" si="67"/>
        <v>46.354937703098315</v>
      </c>
      <c r="H429">
        <f t="shared" ca="1" si="62"/>
        <v>150.00772949999944</v>
      </c>
      <c r="I429">
        <f t="shared" ca="1" si="68"/>
        <v>72.000000000000654</v>
      </c>
      <c r="K429">
        <f t="shared" ca="1" si="69"/>
        <v>0</v>
      </c>
    </row>
    <row r="430" spans="1:11" x14ac:dyDescent="0.25">
      <c r="A430">
        <f t="shared" si="63"/>
        <v>0.41899999999999998</v>
      </c>
      <c r="B430">
        <f t="shared" si="70"/>
        <v>171.62891027167237</v>
      </c>
      <c r="C430">
        <f t="shared" si="64"/>
        <v>0.9510565162951492</v>
      </c>
      <c r="D430">
        <f t="shared" si="65"/>
        <v>-0.30901699437496077</v>
      </c>
      <c r="E430">
        <f t="shared" ca="1" si="61"/>
        <v>-1.8891171293944352E-13</v>
      </c>
      <c r="F430">
        <f t="shared" ca="1" si="66"/>
        <v>142.66582863561558</v>
      </c>
      <c r="G430">
        <f t="shared" ca="1" si="67"/>
        <v>46.354937703098372</v>
      </c>
      <c r="H430">
        <f t="shared" ca="1" si="62"/>
        <v>150.0077294999993</v>
      </c>
      <c r="I430">
        <f t="shared" ca="1" si="68"/>
        <v>72.000000000000625</v>
      </c>
      <c r="K430">
        <f t="shared" ca="1" si="69"/>
        <v>0</v>
      </c>
    </row>
    <row r="431" spans="1:11" x14ac:dyDescent="0.25">
      <c r="A431">
        <f t="shared" si="63"/>
        <v>0.42</v>
      </c>
      <c r="B431">
        <f t="shared" si="70"/>
        <v>201.76188464943596</v>
      </c>
      <c r="C431">
        <f t="shared" si="64"/>
        <v>1</v>
      </c>
      <c r="D431">
        <f t="shared" si="65"/>
        <v>1.9598038469847978E-15</v>
      </c>
      <c r="E431">
        <f t="shared" ca="1" si="61"/>
        <v>3.2155185181181876E-14</v>
      </c>
      <c r="F431">
        <f t="shared" ca="1" si="66"/>
        <v>142.66582863561561</v>
      </c>
      <c r="G431">
        <f t="shared" ca="1" si="67"/>
        <v>46.354937703098372</v>
      </c>
      <c r="H431">
        <f t="shared" ca="1" si="62"/>
        <v>150.00772949999933</v>
      </c>
      <c r="I431">
        <f t="shared" ca="1" si="68"/>
        <v>72.000000000000625</v>
      </c>
      <c r="K431">
        <f t="shared" ca="1" si="69"/>
        <v>0</v>
      </c>
    </row>
    <row r="432" spans="1:11" x14ac:dyDescent="0.25">
      <c r="A432">
        <f t="shared" si="63"/>
        <v>0.42099999999999999</v>
      </c>
      <c r="B432">
        <f t="shared" si="70"/>
        <v>212.14500000000001</v>
      </c>
      <c r="C432">
        <f t="shared" si="64"/>
        <v>0.95105651629515686</v>
      </c>
      <c r="D432">
        <f t="shared" si="65"/>
        <v>0.30901699437493746</v>
      </c>
      <c r="E432">
        <f t="shared" ca="1" si="61"/>
        <v>0</v>
      </c>
      <c r="F432">
        <f t="shared" ca="1" si="66"/>
        <v>142.66582863561561</v>
      </c>
      <c r="G432">
        <f t="shared" ca="1" si="67"/>
        <v>46.354937703098372</v>
      </c>
      <c r="H432">
        <f t="shared" ca="1" si="62"/>
        <v>150.00772949999933</v>
      </c>
      <c r="I432">
        <f t="shared" ca="1" si="68"/>
        <v>72.000000000000625</v>
      </c>
      <c r="K432">
        <f t="shared" ca="1" si="69"/>
        <v>0</v>
      </c>
    </row>
    <row r="433" spans="1:11" x14ac:dyDescent="0.25">
      <c r="A433">
        <f t="shared" si="63"/>
        <v>0.42199999999999999</v>
      </c>
      <c r="B433">
        <f t="shared" si="70"/>
        <v>201.76188464943453</v>
      </c>
      <c r="C433">
        <f t="shared" si="64"/>
        <v>0.80901699437494423</v>
      </c>
      <c r="D433">
        <f t="shared" si="65"/>
        <v>0.58778525229247758</v>
      </c>
      <c r="E433">
        <f t="shared" ca="1" si="61"/>
        <v>-3.2155185181181876E-14</v>
      </c>
      <c r="F433">
        <f t="shared" ca="1" si="66"/>
        <v>142.66582863561558</v>
      </c>
      <c r="G433">
        <f t="shared" ca="1" si="67"/>
        <v>46.354937703098351</v>
      </c>
      <c r="H433">
        <f t="shared" ca="1" si="62"/>
        <v>150.0077294999993</v>
      </c>
      <c r="I433">
        <f t="shared" ca="1" si="68"/>
        <v>72.000000000000639</v>
      </c>
      <c r="K433">
        <f t="shared" ca="1" si="69"/>
        <v>0</v>
      </c>
    </row>
    <row r="434" spans="1:11" x14ac:dyDescent="0.25">
      <c r="A434">
        <f t="shared" si="63"/>
        <v>0.42299999999999999</v>
      </c>
      <c r="B434">
        <f t="shared" si="70"/>
        <v>171.62891027167322</v>
      </c>
      <c r="C434">
        <f t="shared" si="64"/>
        <v>0.5877852522924788</v>
      </c>
      <c r="D434">
        <f t="shared" si="65"/>
        <v>0.80901699437494334</v>
      </c>
      <c r="E434">
        <f t="shared" ca="1" si="61"/>
        <v>1.9092141201326738E-13</v>
      </c>
      <c r="F434">
        <f t="shared" ca="1" si="66"/>
        <v>142.6658286356157</v>
      </c>
      <c r="G434">
        <f t="shared" ca="1" si="67"/>
        <v>46.354937703098507</v>
      </c>
      <c r="H434">
        <f t="shared" ca="1" si="62"/>
        <v>150.00772949999947</v>
      </c>
      <c r="I434">
        <f t="shared" ca="1" si="68"/>
        <v>72.000000000000583</v>
      </c>
      <c r="K434">
        <f t="shared" ca="1" si="69"/>
        <v>0</v>
      </c>
    </row>
    <row r="435" spans="1:11" x14ac:dyDescent="0.25">
      <c r="A435">
        <f t="shared" si="63"/>
        <v>0.42399999999999999</v>
      </c>
      <c r="B435">
        <f t="shared" si="70"/>
        <v>124.69570234758396</v>
      </c>
      <c r="C435">
        <f t="shared" si="64"/>
        <v>0.30901699437493885</v>
      </c>
      <c r="D435">
        <f t="shared" si="65"/>
        <v>0.95105651629515631</v>
      </c>
      <c r="E435">
        <f t="shared" ca="1" si="61"/>
        <v>-8.3402511563690492E-14</v>
      </c>
      <c r="F435">
        <f t="shared" ca="1" si="66"/>
        <v>142.66582863561567</v>
      </c>
      <c r="G435">
        <f t="shared" ca="1" si="67"/>
        <v>46.354937703098429</v>
      </c>
      <c r="H435">
        <f t="shared" ca="1" si="62"/>
        <v>150.00772949999941</v>
      </c>
      <c r="I435">
        <f t="shared" ca="1" si="68"/>
        <v>72.000000000000611</v>
      </c>
      <c r="K435">
        <f t="shared" ca="1" si="69"/>
        <v>0</v>
      </c>
    </row>
    <row r="436" spans="1:11" x14ac:dyDescent="0.25">
      <c r="A436">
        <f t="shared" si="63"/>
        <v>0.42499999999999999</v>
      </c>
      <c r="B436">
        <f t="shared" si="70"/>
        <v>65.55641027167249</v>
      </c>
      <c r="C436">
        <f t="shared" si="64"/>
        <v>3.4305240939613846E-15</v>
      </c>
      <c r="D436">
        <f t="shared" si="65"/>
        <v>1</v>
      </c>
      <c r="E436">
        <f t="shared" ca="1" si="61"/>
        <v>-9.8475254617369496E-14</v>
      </c>
      <c r="F436">
        <f t="shared" ca="1" si="66"/>
        <v>142.66582863561567</v>
      </c>
      <c r="G436">
        <f t="shared" ca="1" si="67"/>
        <v>46.354937703098329</v>
      </c>
      <c r="H436">
        <f t="shared" ca="1" si="62"/>
        <v>150.00772949999939</v>
      </c>
      <c r="I436">
        <f t="shared" ca="1" si="68"/>
        <v>72.000000000000654</v>
      </c>
      <c r="K436">
        <f t="shared" ca="1" si="69"/>
        <v>0</v>
      </c>
    </row>
    <row r="437" spans="1:11" x14ac:dyDescent="0.25">
      <c r="A437">
        <f t="shared" si="63"/>
        <v>0.42599999999999999</v>
      </c>
      <c r="B437">
        <f t="shared" si="70"/>
        <v>1.8712996549454658E-12</v>
      </c>
      <c r="C437">
        <f t="shared" si="64"/>
        <v>-0.3090169943749323</v>
      </c>
      <c r="D437">
        <f t="shared" si="65"/>
        <v>0.95105651629515853</v>
      </c>
      <c r="E437">
        <f t="shared" ca="1" si="61"/>
        <v>3.2343634227269874E-13</v>
      </c>
      <c r="F437">
        <f t="shared" ca="1" si="66"/>
        <v>142.66582863561555</v>
      </c>
      <c r="G437">
        <f t="shared" ca="1" si="67"/>
        <v>46.354937703098635</v>
      </c>
      <c r="H437">
        <f t="shared" ca="1" si="62"/>
        <v>150.00772949999936</v>
      </c>
      <c r="I437">
        <f t="shared" ca="1" si="68"/>
        <v>72.000000000000526</v>
      </c>
      <c r="K437">
        <f t="shared" ca="1" si="69"/>
        <v>0</v>
      </c>
    </row>
    <row r="438" spans="1:11" x14ac:dyDescent="0.25">
      <c r="A438">
        <f t="shared" si="63"/>
        <v>0.42699999999999999</v>
      </c>
      <c r="B438">
        <f t="shared" si="70"/>
        <v>-65.556410271674665</v>
      </c>
      <c r="C438">
        <f t="shared" si="64"/>
        <v>-0.58778525229247325</v>
      </c>
      <c r="D438">
        <f t="shared" si="65"/>
        <v>0.80901699437494734</v>
      </c>
      <c r="E438">
        <f t="shared" ca="1" si="61"/>
        <v>-9.7470405080457561E-14</v>
      </c>
      <c r="F438">
        <f t="shared" ca="1" si="66"/>
        <v>142.66582863561561</v>
      </c>
      <c r="G438">
        <f t="shared" ca="1" si="67"/>
        <v>46.354937703098557</v>
      </c>
      <c r="H438">
        <f t="shared" ca="1" si="62"/>
        <v>150.00772949999939</v>
      </c>
      <c r="I438">
        <f t="shared" ca="1" si="68"/>
        <v>72.000000000000554</v>
      </c>
      <c r="K438">
        <f t="shared" ca="1" si="69"/>
        <v>0</v>
      </c>
    </row>
    <row r="439" spans="1:11" x14ac:dyDescent="0.25">
      <c r="A439">
        <f t="shared" si="63"/>
        <v>0.42799999999999999</v>
      </c>
      <c r="B439">
        <f t="shared" si="70"/>
        <v>-124.69570234758581</v>
      </c>
      <c r="C439">
        <f t="shared" si="64"/>
        <v>-0.80901699437494012</v>
      </c>
      <c r="D439">
        <f t="shared" si="65"/>
        <v>0.58778525229248313</v>
      </c>
      <c r="E439">
        <f t="shared" ca="1" si="61"/>
        <v>2.6126087959710274E-13</v>
      </c>
      <c r="F439">
        <f t="shared" ca="1" si="66"/>
        <v>142.66582863561541</v>
      </c>
      <c r="G439">
        <f t="shared" ca="1" si="67"/>
        <v>46.354937703098713</v>
      </c>
      <c r="H439">
        <f t="shared" ca="1" si="62"/>
        <v>150.00772949999924</v>
      </c>
      <c r="I439">
        <f t="shared" ca="1" si="68"/>
        <v>72.000000000000483</v>
      </c>
      <c r="K439">
        <f t="shared" ca="1" si="69"/>
        <v>-3.4106051316484809E-13</v>
      </c>
    </row>
    <row r="440" spans="1:11" x14ac:dyDescent="0.25">
      <c r="A440">
        <f t="shared" si="63"/>
        <v>0.42899999999999999</v>
      </c>
      <c r="B440">
        <f t="shared" si="70"/>
        <v>-171.62891027167456</v>
      </c>
      <c r="C440">
        <f t="shared" si="64"/>
        <v>-0.95105651629515464</v>
      </c>
      <c r="D440">
        <f t="shared" si="65"/>
        <v>0.30901699437494395</v>
      </c>
      <c r="E440">
        <f t="shared" ca="1" si="61"/>
        <v>-6.0290972214716014E-14</v>
      </c>
      <c r="F440">
        <f t="shared" ca="1" si="66"/>
        <v>142.66582863561547</v>
      </c>
      <c r="G440">
        <f t="shared" ca="1" si="67"/>
        <v>46.354937703098692</v>
      </c>
      <c r="H440">
        <f t="shared" ca="1" si="62"/>
        <v>150.0077294999993</v>
      </c>
      <c r="I440">
        <f t="shared" ca="1" si="68"/>
        <v>72.000000000000497</v>
      </c>
      <c r="K440">
        <f t="shared" ca="1" si="69"/>
        <v>-3.1263880373444408E-13</v>
      </c>
    </row>
    <row r="441" spans="1:11" x14ac:dyDescent="0.25">
      <c r="A441">
        <f t="shared" si="63"/>
        <v>0.43</v>
      </c>
      <c r="B441">
        <f t="shared" si="70"/>
        <v>-201.76188464943525</v>
      </c>
      <c r="C441">
        <f t="shared" si="64"/>
        <v>-1</v>
      </c>
      <c r="D441">
        <f t="shared" si="65"/>
        <v>8.820852034907567E-15</v>
      </c>
      <c r="E441">
        <f t="shared" ca="1" si="61"/>
        <v>9.8475254617369496E-14</v>
      </c>
      <c r="F441">
        <f t="shared" ca="1" si="66"/>
        <v>142.66582863561538</v>
      </c>
      <c r="G441">
        <f t="shared" ca="1" si="67"/>
        <v>46.354937703098692</v>
      </c>
      <c r="H441">
        <f t="shared" ca="1" si="62"/>
        <v>150.00772949999921</v>
      </c>
      <c r="I441">
        <f t="shared" ca="1" si="68"/>
        <v>72.000000000000483</v>
      </c>
      <c r="K441">
        <f t="shared" ca="1" si="69"/>
        <v>-3.979039320256561E-13</v>
      </c>
    </row>
    <row r="442" spans="1:11" x14ac:dyDescent="0.25">
      <c r="A442">
        <f t="shared" si="63"/>
        <v>0.43099999999999999</v>
      </c>
      <c r="B442">
        <f t="shared" si="70"/>
        <v>-212.14500000000001</v>
      </c>
      <c r="C442">
        <f t="shared" si="64"/>
        <v>-0.95105651629515131</v>
      </c>
      <c r="D442">
        <f t="shared" si="65"/>
        <v>-0.30901699437495422</v>
      </c>
      <c r="E442">
        <f t="shared" ca="1" si="61"/>
        <v>0</v>
      </c>
      <c r="F442">
        <f t="shared" ca="1" si="66"/>
        <v>142.66582863561538</v>
      </c>
      <c r="G442">
        <f t="shared" ca="1" si="67"/>
        <v>46.354937703098692</v>
      </c>
      <c r="H442">
        <f t="shared" ca="1" si="62"/>
        <v>150.00772949999921</v>
      </c>
      <c r="I442">
        <f t="shared" ca="1" si="68"/>
        <v>72.000000000000483</v>
      </c>
      <c r="K442">
        <f t="shared" ca="1" si="69"/>
        <v>-3.694822225952521E-13</v>
      </c>
    </row>
    <row r="443" spans="1:11" x14ac:dyDescent="0.25">
      <c r="A443">
        <f t="shared" si="63"/>
        <v>0.432</v>
      </c>
      <c r="B443">
        <f t="shared" si="70"/>
        <v>-201.76188464943525</v>
      </c>
      <c r="C443">
        <f t="shared" si="64"/>
        <v>-0.80901699437495056</v>
      </c>
      <c r="D443">
        <f t="shared" si="65"/>
        <v>-0.58778525229246881</v>
      </c>
      <c r="E443">
        <f t="shared" ca="1" si="61"/>
        <v>-1.0048495369119336E-13</v>
      </c>
      <c r="F443">
        <f t="shared" ca="1" si="66"/>
        <v>142.66582863561547</v>
      </c>
      <c r="G443">
        <f t="shared" ca="1" si="67"/>
        <v>46.354937703098749</v>
      </c>
      <c r="H443">
        <f t="shared" ca="1" si="62"/>
        <v>150.00772949999933</v>
      </c>
      <c r="I443">
        <f t="shared" ca="1" si="68"/>
        <v>72.000000000000469</v>
      </c>
      <c r="K443">
        <f t="shared" ca="1" si="69"/>
        <v>-2.5579538487363607E-13</v>
      </c>
    </row>
    <row r="444" spans="1:11" x14ac:dyDescent="0.25">
      <c r="A444">
        <f t="shared" si="63"/>
        <v>0.433</v>
      </c>
      <c r="B444">
        <f t="shared" si="70"/>
        <v>-171.62891027167103</v>
      </c>
      <c r="C444">
        <f t="shared" si="64"/>
        <v>-0.58778525229246448</v>
      </c>
      <c r="D444">
        <f t="shared" si="65"/>
        <v>-0.80901699437495367</v>
      </c>
      <c r="E444">
        <f t="shared" ca="1" si="61"/>
        <v>5.8281273140892145E-14</v>
      </c>
      <c r="F444">
        <f t="shared" ca="1" si="66"/>
        <v>142.66582863561544</v>
      </c>
      <c r="G444">
        <f t="shared" ca="1" si="67"/>
        <v>46.354937703098699</v>
      </c>
      <c r="H444">
        <f t="shared" ca="1" si="62"/>
        <v>150.00772949999927</v>
      </c>
      <c r="I444">
        <f t="shared" ca="1" si="68"/>
        <v>72.000000000000483</v>
      </c>
      <c r="K444">
        <f t="shared" ca="1" si="69"/>
        <v>-2.5579538487363607E-13</v>
      </c>
    </row>
    <row r="445" spans="1:11" x14ac:dyDescent="0.25">
      <c r="A445">
        <f t="shared" si="63"/>
        <v>0.434</v>
      </c>
      <c r="B445">
        <f t="shared" si="70"/>
        <v>-124.69570234758581</v>
      </c>
      <c r="C445">
        <f t="shared" si="64"/>
        <v>-0.30901699437494912</v>
      </c>
      <c r="D445">
        <f t="shared" si="65"/>
        <v>-0.95105651629515298</v>
      </c>
      <c r="E445">
        <f t="shared" ca="1" si="61"/>
        <v>-2.6226572913401465E-13</v>
      </c>
      <c r="F445">
        <f t="shared" ca="1" si="66"/>
        <v>142.66582863561553</v>
      </c>
      <c r="G445">
        <f t="shared" ca="1" si="67"/>
        <v>46.354937703098948</v>
      </c>
      <c r="H445">
        <f t="shared" ca="1" si="62"/>
        <v>150.00772949999944</v>
      </c>
      <c r="I445">
        <f t="shared" ca="1" si="68"/>
        <v>72.000000000000412</v>
      </c>
      <c r="K445">
        <f t="shared" ca="1" si="69"/>
        <v>0</v>
      </c>
    </row>
    <row r="446" spans="1:11" x14ac:dyDescent="0.25">
      <c r="A446">
        <f t="shared" si="63"/>
        <v>0.435</v>
      </c>
      <c r="B446">
        <f t="shared" si="70"/>
        <v>-65.556410271668938</v>
      </c>
      <c r="C446">
        <f t="shared" si="64"/>
        <v>1.4210529454550258E-14</v>
      </c>
      <c r="D446">
        <f t="shared" si="65"/>
        <v>-1</v>
      </c>
      <c r="E446">
        <f t="shared" ca="1" si="61"/>
        <v>9.7470405080457561E-14</v>
      </c>
      <c r="F446">
        <f t="shared" ca="1" si="66"/>
        <v>142.66582863561553</v>
      </c>
      <c r="G446">
        <f t="shared" ca="1" si="67"/>
        <v>46.354937703098848</v>
      </c>
      <c r="H446">
        <f t="shared" ca="1" si="62"/>
        <v>150.00772949999941</v>
      </c>
      <c r="I446">
        <f t="shared" ca="1" si="68"/>
        <v>72.000000000000441</v>
      </c>
      <c r="K446">
        <f t="shared" ca="1" si="69"/>
        <v>-3.4106051316484809E-13</v>
      </c>
    </row>
    <row r="447" spans="1:11" x14ac:dyDescent="0.25">
      <c r="A447">
        <f t="shared" si="63"/>
        <v>0.436</v>
      </c>
      <c r="B447">
        <f t="shared" si="70"/>
        <v>1.8711616501035365E-12</v>
      </c>
      <c r="C447">
        <f t="shared" si="64"/>
        <v>0.30901699437494912</v>
      </c>
      <c r="D447">
        <f t="shared" si="65"/>
        <v>-0.95105651629515298</v>
      </c>
      <c r="E447">
        <f t="shared" ca="1" si="61"/>
        <v>-3.2343634227269879E-13</v>
      </c>
      <c r="F447">
        <f t="shared" ca="1" si="66"/>
        <v>142.66582863561541</v>
      </c>
      <c r="G447">
        <f t="shared" ca="1" si="67"/>
        <v>46.354937703099154</v>
      </c>
      <c r="H447">
        <f t="shared" ca="1" si="62"/>
        <v>150.00772949999939</v>
      </c>
      <c r="I447">
        <f t="shared" ca="1" si="68"/>
        <v>72.000000000000313</v>
      </c>
      <c r="K447">
        <f t="shared" ca="1" si="69"/>
        <v>-2.8421709430404007E-13</v>
      </c>
    </row>
    <row r="448" spans="1:11" x14ac:dyDescent="0.25">
      <c r="A448">
        <f t="shared" si="63"/>
        <v>0.437</v>
      </c>
      <c r="B448">
        <f t="shared" si="70"/>
        <v>65.55641027167249</v>
      </c>
      <c r="C448">
        <f t="shared" si="64"/>
        <v>0.58778525229246448</v>
      </c>
      <c r="D448">
        <f t="shared" si="65"/>
        <v>-0.80901699437495367</v>
      </c>
      <c r="E448">
        <f t="shared" ca="1" si="61"/>
        <v>9.7470405080457561E-14</v>
      </c>
      <c r="F448">
        <f t="shared" ca="1" si="66"/>
        <v>142.66582863561547</v>
      </c>
      <c r="G448">
        <f t="shared" ca="1" si="67"/>
        <v>46.354937703099075</v>
      </c>
      <c r="H448">
        <f t="shared" ca="1" si="62"/>
        <v>150.00772949999941</v>
      </c>
      <c r="I448">
        <f t="shared" ca="1" si="68"/>
        <v>72.000000000000355</v>
      </c>
      <c r="K448">
        <f t="shared" ca="1" si="69"/>
        <v>-2.8421709430404007E-13</v>
      </c>
    </row>
    <row r="449" spans="1:11" x14ac:dyDescent="0.25">
      <c r="A449">
        <f t="shared" si="63"/>
        <v>0.438</v>
      </c>
      <c r="B449">
        <f t="shared" si="70"/>
        <v>124.69570234758883</v>
      </c>
      <c r="C449">
        <f t="shared" si="64"/>
        <v>0.80901699437495056</v>
      </c>
      <c r="D449">
        <f t="shared" si="65"/>
        <v>-0.58778525229246881</v>
      </c>
      <c r="E449">
        <f t="shared" ca="1" si="61"/>
        <v>8.3402511563690492E-14</v>
      </c>
      <c r="F449">
        <f t="shared" ca="1" si="66"/>
        <v>142.66582863561553</v>
      </c>
      <c r="G449">
        <f t="shared" ca="1" si="67"/>
        <v>46.354937703099026</v>
      </c>
      <c r="H449">
        <f t="shared" ca="1" si="62"/>
        <v>150.00772949999947</v>
      </c>
      <c r="I449">
        <f t="shared" ca="1" si="68"/>
        <v>72.000000000000384</v>
      </c>
      <c r="K449">
        <f t="shared" ca="1" si="69"/>
        <v>0</v>
      </c>
    </row>
    <row r="450" spans="1:11" x14ac:dyDescent="0.25">
      <c r="A450">
        <f t="shared" si="63"/>
        <v>0.439</v>
      </c>
      <c r="B450">
        <f t="shared" si="70"/>
        <v>171.62891027167322</v>
      </c>
      <c r="C450">
        <f t="shared" si="64"/>
        <v>0.95105651629515131</v>
      </c>
      <c r="D450">
        <f t="shared" si="65"/>
        <v>-0.30901699437495422</v>
      </c>
      <c r="E450">
        <f t="shared" ca="1" si="61"/>
        <v>6.0290972214716014E-14</v>
      </c>
      <c r="F450">
        <f t="shared" ca="1" si="66"/>
        <v>142.66582863561558</v>
      </c>
      <c r="G450">
        <f t="shared" ca="1" si="67"/>
        <v>46.354937703099004</v>
      </c>
      <c r="H450">
        <f t="shared" ca="1" si="62"/>
        <v>150.0077294999995</v>
      </c>
      <c r="I450">
        <f t="shared" ca="1" si="68"/>
        <v>72.000000000000398</v>
      </c>
      <c r="K450">
        <f t="shared" ca="1" si="69"/>
        <v>0</v>
      </c>
    </row>
    <row r="451" spans="1:11" x14ac:dyDescent="0.25">
      <c r="A451">
        <f t="shared" si="63"/>
        <v>0.44</v>
      </c>
      <c r="B451">
        <f t="shared" si="70"/>
        <v>201.76188464943641</v>
      </c>
      <c r="C451">
        <f t="shared" si="64"/>
        <v>1</v>
      </c>
      <c r="D451">
        <f t="shared" si="65"/>
        <v>8.8202015136040757E-15</v>
      </c>
      <c r="E451">
        <f t="shared" ca="1" si="61"/>
        <v>3.2155185181181876E-14</v>
      </c>
      <c r="F451">
        <f t="shared" ca="1" si="66"/>
        <v>142.66582863561561</v>
      </c>
      <c r="G451">
        <f t="shared" ca="1" si="67"/>
        <v>46.354937703099004</v>
      </c>
      <c r="H451">
        <f t="shared" ca="1" si="62"/>
        <v>150.00772949999953</v>
      </c>
      <c r="I451">
        <f t="shared" ca="1" si="68"/>
        <v>72.000000000000398</v>
      </c>
      <c r="K451">
        <f t="shared" ca="1" si="69"/>
        <v>0</v>
      </c>
    </row>
    <row r="452" spans="1:11" x14ac:dyDescent="0.25">
      <c r="A452">
        <f t="shared" si="63"/>
        <v>0.441</v>
      </c>
      <c r="B452">
        <f t="shared" si="70"/>
        <v>212.14500000000001</v>
      </c>
      <c r="C452">
        <f t="shared" si="64"/>
        <v>0.95105651629515464</v>
      </c>
      <c r="D452">
        <f t="shared" si="65"/>
        <v>0.30901699437494395</v>
      </c>
      <c r="E452">
        <f t="shared" ca="1" si="61"/>
        <v>0</v>
      </c>
      <c r="F452">
        <f t="shared" ca="1" si="66"/>
        <v>142.66582863561561</v>
      </c>
      <c r="G452">
        <f t="shared" ca="1" si="67"/>
        <v>46.354937703099004</v>
      </c>
      <c r="H452">
        <f t="shared" ca="1" si="62"/>
        <v>150.00772949999953</v>
      </c>
      <c r="I452">
        <f t="shared" ca="1" si="68"/>
        <v>72.000000000000398</v>
      </c>
      <c r="K452">
        <f t="shared" ca="1" si="69"/>
        <v>0</v>
      </c>
    </row>
    <row r="453" spans="1:11" x14ac:dyDescent="0.25">
      <c r="A453">
        <f t="shared" si="63"/>
        <v>0.442</v>
      </c>
      <c r="B453">
        <f t="shared" si="70"/>
        <v>201.76188464943408</v>
      </c>
      <c r="C453">
        <f t="shared" si="64"/>
        <v>0.80901699437494012</v>
      </c>
      <c r="D453">
        <f t="shared" si="65"/>
        <v>0.58778525229248313</v>
      </c>
      <c r="E453">
        <f t="shared" ca="1" si="61"/>
        <v>-3.2155185181181876E-14</v>
      </c>
      <c r="F453">
        <f t="shared" ca="1" si="66"/>
        <v>142.66582863561558</v>
      </c>
      <c r="G453">
        <f t="shared" ca="1" si="67"/>
        <v>46.354937703098983</v>
      </c>
      <c r="H453">
        <f t="shared" ca="1" si="62"/>
        <v>150.0077294999995</v>
      </c>
      <c r="I453">
        <f t="shared" ca="1" si="68"/>
        <v>72.000000000000412</v>
      </c>
      <c r="K453">
        <f t="shared" ca="1" si="69"/>
        <v>0</v>
      </c>
    </row>
    <row r="454" spans="1:11" x14ac:dyDescent="0.25">
      <c r="A454">
        <f t="shared" si="63"/>
        <v>0.443</v>
      </c>
      <c r="B454">
        <f t="shared" si="70"/>
        <v>171.62891027167237</v>
      </c>
      <c r="C454">
        <f t="shared" si="64"/>
        <v>0.58778525229247325</v>
      </c>
      <c r="D454">
        <f t="shared" si="65"/>
        <v>0.80901699437494734</v>
      </c>
      <c r="E454">
        <f t="shared" ca="1" si="61"/>
        <v>-6.0290972214716014E-14</v>
      </c>
      <c r="F454">
        <f t="shared" ca="1" si="66"/>
        <v>142.66582863561555</v>
      </c>
      <c r="G454">
        <f t="shared" ca="1" si="67"/>
        <v>46.354937703098933</v>
      </c>
      <c r="H454">
        <f t="shared" ca="1" si="62"/>
        <v>150.00772949999947</v>
      </c>
      <c r="I454">
        <f t="shared" ca="1" si="68"/>
        <v>72.000000000000412</v>
      </c>
      <c r="K454">
        <f t="shared" ca="1" si="69"/>
        <v>0</v>
      </c>
    </row>
    <row r="455" spans="1:11" x14ac:dyDescent="0.25">
      <c r="A455">
        <f t="shared" si="63"/>
        <v>0.44400000000000001</v>
      </c>
      <c r="B455">
        <f t="shared" si="70"/>
        <v>124.69570234758278</v>
      </c>
      <c r="C455">
        <f t="shared" si="64"/>
        <v>0.30901699437493235</v>
      </c>
      <c r="D455">
        <f t="shared" si="65"/>
        <v>0.95105651629515853</v>
      </c>
      <c r="E455">
        <f t="shared" ca="1" si="61"/>
        <v>-8.3402511563690492E-14</v>
      </c>
      <c r="F455">
        <f t="shared" ca="1" si="66"/>
        <v>142.66582863561553</v>
      </c>
      <c r="G455">
        <f t="shared" ca="1" si="67"/>
        <v>46.354937703098855</v>
      </c>
      <c r="H455">
        <f t="shared" ca="1" si="62"/>
        <v>150.00772949999941</v>
      </c>
      <c r="I455">
        <f t="shared" ca="1" si="68"/>
        <v>72.000000000000441</v>
      </c>
      <c r="K455">
        <f t="shared" ca="1" si="69"/>
        <v>0</v>
      </c>
    </row>
    <row r="456" spans="1:11" x14ac:dyDescent="0.25">
      <c r="A456">
        <f t="shared" si="63"/>
        <v>0.44500000000000001</v>
      </c>
      <c r="B456">
        <f t="shared" si="70"/>
        <v>65.556410271671112</v>
      </c>
      <c r="C456">
        <f t="shared" si="64"/>
        <v>-3.4298735726578933E-15</v>
      </c>
      <c r="D456">
        <f t="shared" si="65"/>
        <v>1</v>
      </c>
      <c r="E456">
        <f t="shared" ca="1" si="61"/>
        <v>-9.7470405080457561E-14</v>
      </c>
      <c r="F456">
        <f t="shared" ca="1" si="66"/>
        <v>142.66582863561553</v>
      </c>
      <c r="G456">
        <f t="shared" ca="1" si="67"/>
        <v>46.354937703098756</v>
      </c>
      <c r="H456">
        <f t="shared" ca="1" si="62"/>
        <v>150.00772949999939</v>
      </c>
      <c r="I456">
        <f t="shared" ca="1" si="68"/>
        <v>72.000000000000483</v>
      </c>
      <c r="K456">
        <f t="shared" ca="1" si="69"/>
        <v>0</v>
      </c>
    </row>
    <row r="457" spans="1:11" x14ac:dyDescent="0.25">
      <c r="A457">
        <f t="shared" si="63"/>
        <v>0.44600000000000001</v>
      </c>
      <c r="B457">
        <f t="shared" si="70"/>
        <v>4.1590059196051911E-13</v>
      </c>
      <c r="C457">
        <f t="shared" si="64"/>
        <v>-0.30901699437493885</v>
      </c>
      <c r="D457">
        <f t="shared" si="65"/>
        <v>0.95105651629515631</v>
      </c>
      <c r="E457">
        <f t="shared" ca="1" si="61"/>
        <v>-1.0291126774366557E-13</v>
      </c>
      <c r="F457">
        <f t="shared" ca="1" si="66"/>
        <v>142.66582863561555</v>
      </c>
      <c r="G457">
        <f t="shared" ca="1" si="67"/>
        <v>46.354937703098656</v>
      </c>
      <c r="H457">
        <f t="shared" ca="1" si="62"/>
        <v>150.00772949999936</v>
      </c>
      <c r="I457">
        <f t="shared" ca="1" si="68"/>
        <v>72.000000000000526</v>
      </c>
      <c r="K457">
        <f t="shared" ca="1" si="69"/>
        <v>0</v>
      </c>
    </row>
    <row r="458" spans="1:11" x14ac:dyDescent="0.25">
      <c r="A458">
        <f t="shared" si="63"/>
        <v>0.44700000000000001</v>
      </c>
      <c r="B458">
        <f t="shared" si="70"/>
        <v>-65.556410271676057</v>
      </c>
      <c r="C458">
        <f t="shared" si="64"/>
        <v>-0.5877852522924788</v>
      </c>
      <c r="D458">
        <f t="shared" si="65"/>
        <v>0.80901699437494334</v>
      </c>
      <c r="E458">
        <f t="shared" ca="1" si="61"/>
        <v>-9.8475254617369496E-14</v>
      </c>
      <c r="F458">
        <f t="shared" ca="1" si="66"/>
        <v>142.66582863561561</v>
      </c>
      <c r="G458">
        <f t="shared" ca="1" si="67"/>
        <v>46.354937703098578</v>
      </c>
      <c r="H458">
        <f t="shared" ca="1" si="62"/>
        <v>150.00772949999939</v>
      </c>
      <c r="I458">
        <f t="shared" ca="1" si="68"/>
        <v>72.00000000000054</v>
      </c>
      <c r="K458">
        <f t="shared" ca="1" si="69"/>
        <v>0</v>
      </c>
    </row>
    <row r="459" spans="1:11" x14ac:dyDescent="0.25">
      <c r="A459">
        <f t="shared" si="63"/>
        <v>0.44800000000000001</v>
      </c>
      <c r="B459">
        <f t="shared" si="70"/>
        <v>-124.69570234758697</v>
      </c>
      <c r="C459">
        <f t="shared" si="64"/>
        <v>-0.80901699437494423</v>
      </c>
      <c r="D459">
        <f t="shared" si="65"/>
        <v>0.58778525229247758</v>
      </c>
      <c r="E459">
        <f t="shared" ref="E459:E511" ca="1" si="71">(1.4142/$B$2)*(B459-IF((ROW($A459)-ROW($A$11))&lt;$B$2,0,OFFSET($B459,-$B$2,0)))</f>
        <v>-8.2397662026778558E-14</v>
      </c>
      <c r="F459">
        <f t="shared" ca="1" si="66"/>
        <v>142.66582863561567</v>
      </c>
      <c r="G459">
        <f t="shared" ca="1" si="67"/>
        <v>46.354937703098528</v>
      </c>
      <c r="H459">
        <f t="shared" ref="H459:H511" ca="1" si="72">IF(F459="","",SQRT(F459^2+G459^2))</f>
        <v>150.00772949999944</v>
      </c>
      <c r="I459">
        <f t="shared" ca="1" si="68"/>
        <v>72.000000000000568</v>
      </c>
      <c r="K459">
        <f t="shared" ca="1" si="69"/>
        <v>0</v>
      </c>
    </row>
    <row r="460" spans="1:11" x14ac:dyDescent="0.25">
      <c r="A460">
        <f t="shared" ref="A460:A473" si="73">(ROW($A460)-ROW($A$11))*$B$4+$B$5</f>
        <v>0.44900000000000001</v>
      </c>
      <c r="B460">
        <f t="shared" si="70"/>
        <v>-171.62891027167544</v>
      </c>
      <c r="C460">
        <f t="shared" ref="C460:C473" si="74">COS($A460*$C$1)</f>
        <v>-0.95105651629515686</v>
      </c>
      <c r="D460">
        <f t="shared" ref="D460:D473" si="75">SIN($A460*$C$1)</f>
        <v>0.30901699437493746</v>
      </c>
      <c r="E460">
        <f t="shared" ca="1" si="71"/>
        <v>-6.2300671288539882E-14</v>
      </c>
      <c r="F460">
        <f t="shared" ref="F460:F473" ca="1" si="76">F459+$E460*COS($A460*$C$1)</f>
        <v>142.66582863561572</v>
      </c>
      <c r="G460">
        <f t="shared" ref="G460:G473" ca="1" si="77">G459+$E460*SIN($A460*$C$1)</f>
        <v>46.354937703098507</v>
      </c>
      <c r="H460">
        <f t="shared" ca="1" si="72"/>
        <v>150.0077294999995</v>
      </c>
      <c r="I460">
        <f t="shared" ref="I460:I512" ca="1" si="78">IF(F460="","",ATAN2(G460,F460)*180/PI())</f>
        <v>72.000000000000597</v>
      </c>
      <c r="K460">
        <f t="shared" ca="1" si="69"/>
        <v>3.4106051316484809E-13</v>
      </c>
    </row>
    <row r="461" spans="1:11" x14ac:dyDescent="0.25">
      <c r="A461">
        <f t="shared" si="73"/>
        <v>0.45</v>
      </c>
      <c r="B461">
        <f t="shared" si="70"/>
        <v>-201.7618846494357</v>
      </c>
      <c r="C461">
        <f t="shared" si="74"/>
        <v>-1</v>
      </c>
      <c r="D461">
        <f t="shared" si="75"/>
        <v>1.9604543682882891E-15</v>
      </c>
      <c r="E461">
        <f t="shared" ca="1" si="71"/>
        <v>-3.2155185181181876E-14</v>
      </c>
      <c r="F461">
        <f t="shared" ca="1" si="76"/>
        <v>142.66582863561575</v>
      </c>
      <c r="G461">
        <f t="shared" ca="1" si="77"/>
        <v>46.354937703098507</v>
      </c>
      <c r="H461">
        <f t="shared" ca="1" si="72"/>
        <v>150.0077294999995</v>
      </c>
      <c r="I461">
        <f t="shared" ca="1" si="78"/>
        <v>72.000000000000597</v>
      </c>
      <c r="K461">
        <f t="shared" ca="1" si="69"/>
        <v>3.694822225952521E-13</v>
      </c>
    </row>
    <row r="462" spans="1:11" x14ac:dyDescent="0.25">
      <c r="A462">
        <f t="shared" si="73"/>
        <v>0.45100000000000001</v>
      </c>
      <c r="B462">
        <f t="shared" si="70"/>
        <v>-212.14500000000001</v>
      </c>
      <c r="C462">
        <f t="shared" si="74"/>
        <v>-0.9510565162951492</v>
      </c>
      <c r="D462">
        <f t="shared" si="75"/>
        <v>-0.30901699437496077</v>
      </c>
      <c r="E462">
        <f t="shared" ca="1" si="71"/>
        <v>0</v>
      </c>
      <c r="F462">
        <f t="shared" ca="1" si="76"/>
        <v>142.66582863561575</v>
      </c>
      <c r="G462">
        <f t="shared" ca="1" si="77"/>
        <v>46.354937703098507</v>
      </c>
      <c r="H462">
        <f t="shared" ca="1" si="72"/>
        <v>150.0077294999995</v>
      </c>
      <c r="I462">
        <f t="shared" ca="1" si="78"/>
        <v>72.000000000000597</v>
      </c>
      <c r="K462">
        <f t="shared" ca="1" si="69"/>
        <v>2.8421709430404007E-13</v>
      </c>
    </row>
    <row r="463" spans="1:11" x14ac:dyDescent="0.25">
      <c r="A463">
        <f t="shared" si="73"/>
        <v>0.45200000000000001</v>
      </c>
      <c r="B463">
        <f t="shared" si="70"/>
        <v>-201.76188464943479</v>
      </c>
      <c r="C463">
        <f t="shared" si="74"/>
        <v>-0.80901699437494645</v>
      </c>
      <c r="D463">
        <f t="shared" si="75"/>
        <v>-0.58778525229247436</v>
      </c>
      <c r="E463">
        <f t="shared" ca="1" si="71"/>
        <v>3.2155185181181876E-14</v>
      </c>
      <c r="F463">
        <f t="shared" ca="1" si="76"/>
        <v>142.66582863561572</v>
      </c>
      <c r="G463">
        <f t="shared" ca="1" si="77"/>
        <v>46.354937703098486</v>
      </c>
      <c r="H463">
        <f t="shared" ca="1" si="72"/>
        <v>150.00772949999947</v>
      </c>
      <c r="I463">
        <f t="shared" ca="1" si="78"/>
        <v>72.000000000000597</v>
      </c>
      <c r="K463">
        <f t="shared" ca="1" si="69"/>
        <v>2.8421709430404007E-13</v>
      </c>
    </row>
    <row r="464" spans="1:11" x14ac:dyDescent="0.25">
      <c r="A464">
        <f t="shared" si="73"/>
        <v>0.45300000000000001</v>
      </c>
      <c r="B464">
        <f t="shared" si="70"/>
        <v>-171.62891027167018</v>
      </c>
      <c r="C464">
        <f t="shared" si="74"/>
        <v>-0.58778525229245893</v>
      </c>
      <c r="D464">
        <f t="shared" si="75"/>
        <v>-0.80901699437495778</v>
      </c>
      <c r="E464">
        <f t="shared" ca="1" si="71"/>
        <v>6.0290972214716014E-14</v>
      </c>
      <c r="F464">
        <f t="shared" ca="1" si="76"/>
        <v>142.6658286356157</v>
      </c>
      <c r="G464">
        <f t="shared" ca="1" si="77"/>
        <v>46.354937703098436</v>
      </c>
      <c r="H464">
        <f t="shared" ca="1" si="72"/>
        <v>150.00772949999944</v>
      </c>
      <c r="I464">
        <f t="shared" ca="1" si="78"/>
        <v>72.000000000000611</v>
      </c>
      <c r="K464">
        <f t="shared" ca="1" si="69"/>
        <v>0</v>
      </c>
    </row>
    <row r="465" spans="1:11" x14ac:dyDescent="0.25">
      <c r="A465">
        <f t="shared" si="73"/>
        <v>0.45400000000000001</v>
      </c>
      <c r="B465">
        <f t="shared" si="70"/>
        <v>-124.69570234758463</v>
      </c>
      <c r="C465">
        <f t="shared" si="74"/>
        <v>-0.30901699437494257</v>
      </c>
      <c r="D465">
        <f t="shared" si="75"/>
        <v>-0.9510565162951552</v>
      </c>
      <c r="E465">
        <f t="shared" ca="1" si="71"/>
        <v>8.3402511563690492E-14</v>
      </c>
      <c r="F465">
        <f t="shared" ca="1" si="76"/>
        <v>142.66582863561567</v>
      </c>
      <c r="G465">
        <f t="shared" ca="1" si="77"/>
        <v>46.354937703098358</v>
      </c>
      <c r="H465">
        <f t="shared" ca="1" si="72"/>
        <v>150.00772949999939</v>
      </c>
      <c r="I465">
        <f t="shared" ca="1" si="78"/>
        <v>72.000000000000639</v>
      </c>
      <c r="K465">
        <f t="shared" ca="1" si="69"/>
        <v>0</v>
      </c>
    </row>
    <row r="466" spans="1:11" x14ac:dyDescent="0.25">
      <c r="A466">
        <f t="shared" si="73"/>
        <v>0.45500000000000002</v>
      </c>
      <c r="B466">
        <f t="shared" si="70"/>
        <v>-65.556410271673286</v>
      </c>
      <c r="C466">
        <f t="shared" si="74"/>
        <v>-7.3507823092344715E-15</v>
      </c>
      <c r="D466">
        <f t="shared" si="75"/>
        <v>-1</v>
      </c>
      <c r="E466">
        <f t="shared" ca="1" si="71"/>
        <v>-3.0748395829505167E-13</v>
      </c>
      <c r="F466">
        <f t="shared" ca="1" si="76"/>
        <v>142.66582863561567</v>
      </c>
      <c r="G466">
        <f t="shared" ca="1" si="77"/>
        <v>46.354937703098663</v>
      </c>
      <c r="H466">
        <f t="shared" ca="1" si="72"/>
        <v>150.0077294999995</v>
      </c>
      <c r="I466">
        <f t="shared" ca="1" si="78"/>
        <v>72.00000000000054</v>
      </c>
      <c r="K466">
        <f t="shared" ca="1" si="69"/>
        <v>2.5579538487363607E-13</v>
      </c>
    </row>
    <row r="467" spans="1:11" x14ac:dyDescent="0.25">
      <c r="A467">
        <f t="shared" si="73"/>
        <v>0.45600000000000002</v>
      </c>
      <c r="B467">
        <f t="shared" si="70"/>
        <v>3.3265607130884836E-12</v>
      </c>
      <c r="C467">
        <f t="shared" si="74"/>
        <v>0.30901699437495561</v>
      </c>
      <c r="D467">
        <f t="shared" si="75"/>
        <v>-0.95105651629515087</v>
      </c>
      <c r="E467">
        <f t="shared" ca="1" si="71"/>
        <v>1.0291126774366561E-13</v>
      </c>
      <c r="F467">
        <f t="shared" ca="1" si="76"/>
        <v>142.6658286356157</v>
      </c>
      <c r="G467">
        <f t="shared" ca="1" si="77"/>
        <v>46.354937703098564</v>
      </c>
      <c r="H467">
        <f t="shared" ca="1" si="72"/>
        <v>150.00772949999947</v>
      </c>
      <c r="I467">
        <f t="shared" ca="1" si="78"/>
        <v>72.000000000000568</v>
      </c>
      <c r="K467">
        <f t="shared" ca="1" si="69"/>
        <v>2.2737367544323206E-13</v>
      </c>
    </row>
    <row r="468" spans="1:11" x14ac:dyDescent="0.25">
      <c r="A468">
        <f t="shared" si="73"/>
        <v>0.45700000000000002</v>
      </c>
      <c r="B468">
        <f t="shared" si="70"/>
        <v>65.556410271673883</v>
      </c>
      <c r="C468">
        <f t="shared" si="74"/>
        <v>0.58778525229247003</v>
      </c>
      <c r="D468">
        <f t="shared" si="75"/>
        <v>-0.80901699437494967</v>
      </c>
      <c r="E468">
        <f t="shared" ca="1" si="71"/>
        <v>9.8475254617369496E-14</v>
      </c>
      <c r="F468">
        <f t="shared" ca="1" si="76"/>
        <v>142.66582863561575</v>
      </c>
      <c r="G468">
        <f t="shared" ca="1" si="77"/>
        <v>46.354937703098486</v>
      </c>
      <c r="H468">
        <f t="shared" ca="1" si="72"/>
        <v>150.0077294999995</v>
      </c>
      <c r="I468">
        <f t="shared" ca="1" si="78"/>
        <v>72.000000000000597</v>
      </c>
      <c r="K468">
        <f t="shared" ca="1" si="69"/>
        <v>2.2737367544323206E-13</v>
      </c>
    </row>
    <row r="469" spans="1:11" x14ac:dyDescent="0.25">
      <c r="A469">
        <f t="shared" si="73"/>
        <v>0.45800000000000002</v>
      </c>
      <c r="B469">
        <f t="shared" si="70"/>
        <v>124.69570234759001</v>
      </c>
      <c r="C469">
        <f t="shared" si="74"/>
        <v>0.80901699437495456</v>
      </c>
      <c r="D469">
        <f t="shared" si="75"/>
        <v>-0.58778525229246326</v>
      </c>
      <c r="E469">
        <f t="shared" ca="1" si="71"/>
        <v>8.3402511563690492E-14</v>
      </c>
      <c r="F469">
        <f t="shared" ca="1" si="76"/>
        <v>142.66582863561581</v>
      </c>
      <c r="G469">
        <f t="shared" ca="1" si="77"/>
        <v>46.354937703098436</v>
      </c>
      <c r="H469">
        <f t="shared" ca="1" si="72"/>
        <v>150.00772949999956</v>
      </c>
      <c r="I469">
        <f t="shared" ca="1" si="78"/>
        <v>72.000000000000625</v>
      </c>
      <c r="K469">
        <f t="shared" ca="1" si="69"/>
        <v>2.2737367544323206E-13</v>
      </c>
    </row>
    <row r="470" spans="1:11" x14ac:dyDescent="0.25">
      <c r="A470">
        <f t="shared" si="73"/>
        <v>0.45900000000000002</v>
      </c>
      <c r="B470">
        <f t="shared" si="70"/>
        <v>171.62891027167407</v>
      </c>
      <c r="C470">
        <f t="shared" si="74"/>
        <v>0.95105651629515353</v>
      </c>
      <c r="D470">
        <f t="shared" si="75"/>
        <v>-0.30901699437494773</v>
      </c>
      <c r="E470">
        <f t="shared" ca="1" si="71"/>
        <v>6.0290972214716014E-14</v>
      </c>
      <c r="F470">
        <f t="shared" ca="1" si="76"/>
        <v>142.66582863561587</v>
      </c>
      <c r="G470">
        <f t="shared" ca="1" si="77"/>
        <v>46.354937703098415</v>
      </c>
      <c r="H470">
        <f t="shared" ca="1" si="72"/>
        <v>150.00772949999958</v>
      </c>
      <c r="I470">
        <f t="shared" ca="1" si="78"/>
        <v>72.000000000000654</v>
      </c>
      <c r="K470">
        <f t="shared" ca="1" si="69"/>
        <v>2.5579538487363607E-13</v>
      </c>
    </row>
    <row r="471" spans="1:11" x14ac:dyDescent="0.25">
      <c r="A471">
        <f t="shared" si="73"/>
        <v>0.46</v>
      </c>
      <c r="B471">
        <f t="shared" si="70"/>
        <v>201.76188464943687</v>
      </c>
      <c r="C471">
        <f t="shared" si="74"/>
        <v>1</v>
      </c>
      <c r="D471">
        <f t="shared" si="75"/>
        <v>1.5680599180223354E-14</v>
      </c>
      <c r="E471">
        <f t="shared" ca="1" si="71"/>
        <v>3.2155185181181876E-14</v>
      </c>
      <c r="F471">
        <f t="shared" ca="1" si="76"/>
        <v>142.6658286356159</v>
      </c>
      <c r="G471">
        <f t="shared" ca="1" si="77"/>
        <v>46.354937703098415</v>
      </c>
      <c r="H471">
        <f t="shared" ca="1" si="72"/>
        <v>150.00772949999961</v>
      </c>
      <c r="I471">
        <f t="shared" ca="1" si="78"/>
        <v>72.000000000000654</v>
      </c>
      <c r="K471">
        <f t="shared" ca="1" si="69"/>
        <v>2.8421709430404007E-13</v>
      </c>
    </row>
    <row r="472" spans="1:11" x14ac:dyDescent="0.25">
      <c r="A472">
        <f t="shared" si="73"/>
        <v>0.46100000000000002</v>
      </c>
      <c r="B472">
        <f t="shared" si="70"/>
        <v>212.14500000000001</v>
      </c>
      <c r="C472">
        <f t="shared" si="74"/>
        <v>0.95105651629515253</v>
      </c>
      <c r="D472">
        <f t="shared" si="75"/>
        <v>0.3090169943749505</v>
      </c>
      <c r="E472">
        <f t="shared" ca="1" si="71"/>
        <v>0</v>
      </c>
      <c r="F472">
        <f t="shared" ca="1" si="76"/>
        <v>142.6658286356159</v>
      </c>
      <c r="G472">
        <f t="shared" ca="1" si="77"/>
        <v>46.354937703098415</v>
      </c>
      <c r="H472">
        <f t="shared" ca="1" si="72"/>
        <v>150.00772949999961</v>
      </c>
      <c r="I472">
        <f t="shared" ca="1" si="78"/>
        <v>72.000000000000654</v>
      </c>
      <c r="K472">
        <f t="shared" ca="1" si="69"/>
        <v>3.1263880373444408E-13</v>
      </c>
    </row>
    <row r="473" spans="1:11" x14ac:dyDescent="0.25">
      <c r="A473">
        <f t="shared" si="73"/>
        <v>0.46200000000000002</v>
      </c>
      <c r="B473">
        <f t="shared" si="70"/>
        <v>201.76188464943363</v>
      </c>
      <c r="C473">
        <f t="shared" si="74"/>
        <v>0.80901699437493613</v>
      </c>
      <c r="D473">
        <f t="shared" si="75"/>
        <v>0.58778525229248868</v>
      </c>
      <c r="E473">
        <f t="shared" ca="1" si="71"/>
        <v>-3.2155185181181876E-14</v>
      </c>
      <c r="F473">
        <f t="shared" ca="1" si="76"/>
        <v>142.66582863561587</v>
      </c>
      <c r="G473">
        <f t="shared" ca="1" si="77"/>
        <v>46.354937703098393</v>
      </c>
      <c r="H473">
        <f t="shared" ca="1" si="72"/>
        <v>150.00772949999958</v>
      </c>
      <c r="I473">
        <f t="shared" ca="1" si="78"/>
        <v>72.000000000000654</v>
      </c>
      <c r="K473">
        <f t="shared" ca="1" si="69"/>
        <v>3.1263880373444408E-13</v>
      </c>
    </row>
  </sheetData>
  <pageMargins left="0.511811024" right="0.511811024" top="0.78740157499999996" bottom="0.78740157499999996" header="0.31496062000000002" footer="0.31496062000000002"/>
  <headerFooter>
    <oddFooter>&amp;R_x000D_&amp;1#&amp;"Aptos"&amp;10&amp;K000000 Classificação: Direcionado</oddFooter>
  </headerFooter>
  <drawing r:id="rId1"/>
</worksheet>
</file>

<file path=docMetadata/LabelInfo.xml><?xml version="1.0" encoding="utf-8"?>
<clbl:labelList xmlns:clbl="http://schemas.microsoft.com/office/2020/mipLabelMetadata">
  <clbl:label id="{723fd9ce-6d6d-415e-88a7-385d6d41dc16}" enabled="1" method="Privileged" siteId="{97ce2340-9c1d-45b1-a835-7ea811b6fe9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DFT</vt:lpstr>
      <vt:lpstr>DFT Recurs</vt:lpstr>
      <vt:lpstr>DFT Recurs (2)</vt:lpstr>
    </vt:vector>
  </TitlesOfParts>
  <Company>CEMIG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EZEQUIEL RABELO DE AGUIAR</dc:creator>
  <cp:lastModifiedBy>EZEQUIEL RABELO DE AGUIAR</cp:lastModifiedBy>
  <dcterms:created xsi:type="dcterms:W3CDTF">2026-05-27T11:33:00Z</dcterms:created>
  <dcterms:modified xsi:type="dcterms:W3CDTF">2026-05-27T19:57:42Z</dcterms:modified>
</cp:coreProperties>
</file>