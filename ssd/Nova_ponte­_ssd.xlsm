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0B937B6B-E6A8-4318-B250-FA03601F8863}" xr6:coauthVersionLast="47" xr6:coauthVersionMax="47" xr10:uidLastSave="{00000000-0000-0000-0000-000000000000}"/>
  <bookViews>
    <workbookView xWindow="20370" yWindow="-120" windowWidth="19440" windowHeight="14880" activeTab="4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IEDs" sheetId="21" r:id="rId5"/>
    <sheet name="Alocacao" sheetId="3" r:id="rId6"/>
    <sheet name="LD-Mestre-UAC" sheetId="31" r:id="rId7"/>
    <sheet name="LD-Mestre-Prot" sheetId="29" r:id="rId8"/>
    <sheet name="LD-Mestre-MU" sheetId="30" r:id="rId9"/>
    <sheet name="LD-IFL-C_LT" sheetId="17" r:id="rId10"/>
    <sheet name="LD-VTR-C_TP" sheetId="23" r:id="rId11"/>
    <sheet name="LD-VTR-E_TP" sheetId="6" r:id="rId12"/>
    <sheet name="LD-LIN-P_LC" sheetId="22" r:id="rId13"/>
    <sheet name="LD-LIN-C_LC" sheetId="8" r:id="rId14"/>
    <sheet name="LD-CTR-E_TC" sheetId="10" r:id="rId15"/>
    <sheet name="LD-CTR-E_TC_OP" sheetId="32" r:id="rId16"/>
    <sheet name="LD-CBR-C_DJ_B" sheetId="18" r:id="rId17"/>
    <sheet name="LD-CBR-C_DJ" sheetId="11" r:id="rId18"/>
    <sheet name="LD-CBR-E_DJ" sheetId="12" r:id="rId19"/>
    <sheet name="LD-CBR-P_BARRA" sheetId="13" r:id="rId20"/>
    <sheet name="LD-CBR-P_50BF" sheetId="14" r:id="rId21"/>
    <sheet name="LD-DIS-C_SEC" sheetId="15" r:id="rId22"/>
    <sheet name="LD-DIS-E_SEC" sheetId="16" r:id="rId23"/>
    <sheet name="LD-DIS-P_BARRA_A" sheetId="19" r:id="rId24"/>
    <sheet name="LD-CTR-P_BARRA_A" sheetId="9" r:id="rId25"/>
    <sheet name="LD-CBR-P_BARRA_A" sheetId="20" r:id="rId26"/>
    <sheet name="Tipos-LN" sheetId="25" r:id="rId27"/>
    <sheet name="Tipos-DO" sheetId="26" r:id="rId28"/>
    <sheet name="Tipos-struct" sheetId="27" r:id="rId29"/>
    <sheet name="Tipos-enum" sheetId="28" r:id="rId30"/>
  </sheets>
  <functionGroups builtInGroupCount="19"/>
  <definedNames>
    <definedName name="_xleta.MATC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9" i="21" l="1"/>
  <c r="P69" i="21"/>
  <c r="O70" i="21"/>
  <c r="P70" i="21"/>
  <c r="O71" i="21"/>
  <c r="P71" i="21"/>
  <c r="O72" i="21"/>
  <c r="P72" i="21"/>
  <c r="O73" i="21"/>
  <c r="P73" i="21"/>
  <c r="O74" i="21"/>
  <c r="P74" i="21"/>
  <c r="O75" i="21"/>
  <c r="P75" i="21"/>
  <c r="O76" i="21"/>
  <c r="P76" i="21"/>
  <c r="O77" i="21"/>
  <c r="P77" i="21"/>
  <c r="O78" i="21"/>
  <c r="P78" i="21"/>
  <c r="O79" i="21"/>
  <c r="P79" i="21"/>
  <c r="O80" i="21"/>
  <c r="P80" i="21"/>
  <c r="O81" i="21"/>
  <c r="P81" i="21"/>
  <c r="O82" i="21"/>
  <c r="P82" i="21"/>
  <c r="O83" i="21"/>
  <c r="P83" i="21"/>
  <c r="O84" i="21"/>
  <c r="P84" i="21"/>
  <c r="O85" i="21"/>
  <c r="P85" i="21"/>
  <c r="O86" i="21"/>
  <c r="P86" i="21"/>
  <c r="O87" i="21"/>
  <c r="P87" i="21"/>
  <c r="O88" i="21"/>
  <c r="P88" i="21"/>
  <c r="O89" i="21"/>
  <c r="P89" i="21"/>
  <c r="O90" i="21"/>
  <c r="P90" i="21"/>
  <c r="O91" i="21"/>
  <c r="P91" i="21"/>
  <c r="O92" i="21"/>
  <c r="P92" i="21"/>
  <c r="O93" i="21"/>
  <c r="P93" i="21"/>
  <c r="O94" i="21"/>
  <c r="P94" i="21"/>
  <c r="O95" i="21"/>
  <c r="P95" i="21"/>
  <c r="O96" i="21"/>
  <c r="P96" i="21"/>
  <c r="O97" i="21"/>
  <c r="P97" i="21"/>
  <c r="O98" i="21"/>
  <c r="P98" i="21"/>
  <c r="O99" i="21"/>
  <c r="P99" i="21"/>
  <c r="O100" i="21"/>
  <c r="P100" i="21"/>
  <c r="O101" i="21"/>
  <c r="P101" i="21"/>
  <c r="O102" i="21"/>
  <c r="P102" i="21"/>
  <c r="O103" i="21"/>
  <c r="P103" i="21"/>
  <c r="O104" i="21"/>
  <c r="P104" i="21"/>
  <c r="O105" i="21"/>
  <c r="P105" i="21"/>
  <c r="O106" i="21"/>
  <c r="P106" i="21"/>
  <c r="N3" i="21" a="1"/>
  <c r="N3" i="21" s="1"/>
  <c r="V3" i="21" a="1"/>
  <c r="V3" i="21" s="1"/>
  <c r="K46" i="21"/>
  <c r="K45" i="21"/>
  <c r="K44" i="21"/>
  <c r="K43" i="21"/>
  <c r="K42" i="21"/>
  <c r="K41" i="21"/>
  <c r="K40" i="21"/>
  <c r="K3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3" i="21"/>
  <c r="P68" i="21" l="1"/>
  <c r="O68" i="21"/>
  <c r="P67" i="21"/>
  <c r="O67" i="21"/>
  <c r="P65" i="21"/>
  <c r="P57" i="21"/>
  <c r="P45" i="21"/>
  <c r="P37" i="21"/>
  <c r="P29" i="21"/>
  <c r="P21" i="21"/>
  <c r="P17" i="21"/>
  <c r="P9" i="21"/>
  <c r="O61" i="21"/>
  <c r="O49" i="21"/>
  <c r="O41" i="21"/>
  <c r="O33" i="21"/>
  <c r="O29" i="21"/>
  <c r="O25" i="21"/>
  <c r="O17" i="21"/>
  <c r="O13" i="21"/>
  <c r="P64" i="21"/>
  <c r="P52" i="21"/>
  <c r="P44" i="21"/>
  <c r="P32" i="21"/>
  <c r="P24" i="21"/>
  <c r="P20" i="21"/>
  <c r="P8" i="21"/>
  <c r="O64" i="21"/>
  <c r="O60" i="21"/>
  <c r="O52" i="21"/>
  <c r="O40" i="21"/>
  <c r="O36" i="21"/>
  <c r="O32" i="21"/>
  <c r="O28" i="21"/>
  <c r="O24" i="21"/>
  <c r="O20" i="21"/>
  <c r="O16" i="21"/>
  <c r="O12" i="21"/>
  <c r="O8" i="21"/>
  <c r="O5" i="21"/>
  <c r="P63" i="21"/>
  <c r="P59" i="21"/>
  <c r="P55" i="21"/>
  <c r="P51" i="21"/>
  <c r="P47" i="21"/>
  <c r="P43" i="21"/>
  <c r="P39" i="21"/>
  <c r="P35" i="21"/>
  <c r="P31" i="21"/>
  <c r="P27" i="21"/>
  <c r="P23" i="21"/>
  <c r="P19" i="21"/>
  <c r="P15" i="21"/>
  <c r="P11" i="21"/>
  <c r="P7" i="21"/>
  <c r="O48" i="21"/>
  <c r="P5" i="21"/>
  <c r="O63" i="21"/>
  <c r="O59" i="21"/>
  <c r="O55" i="21"/>
  <c r="O51" i="21"/>
  <c r="O47" i="21"/>
  <c r="O43" i="21"/>
  <c r="O39" i="21"/>
  <c r="O35" i="21"/>
  <c r="O31" i="21"/>
  <c r="O27" i="21"/>
  <c r="O23" i="21"/>
  <c r="O19" i="21"/>
  <c r="O15" i="21"/>
  <c r="O11" i="21"/>
  <c r="O7" i="21"/>
  <c r="P60" i="21"/>
  <c r="P40" i="21"/>
  <c r="P16" i="21"/>
  <c r="O44" i="21"/>
  <c r="P66" i="21"/>
  <c r="P62" i="21"/>
  <c r="P58" i="21"/>
  <c r="P54" i="21"/>
  <c r="P50" i="21"/>
  <c r="P46" i="21"/>
  <c r="P42" i="21"/>
  <c r="P38" i="21"/>
  <c r="P34" i="21"/>
  <c r="P30" i="21"/>
  <c r="P26" i="21"/>
  <c r="P22" i="21"/>
  <c r="P18" i="21"/>
  <c r="P14" i="21"/>
  <c r="P10" i="21"/>
  <c r="P6" i="21"/>
  <c r="P61" i="21"/>
  <c r="P53" i="21"/>
  <c r="P49" i="21"/>
  <c r="P41" i="21"/>
  <c r="P33" i="21"/>
  <c r="P25" i="21"/>
  <c r="P13" i="21"/>
  <c r="O65" i="21"/>
  <c r="O57" i="21"/>
  <c r="O53" i="21"/>
  <c r="O45" i="21"/>
  <c r="O37" i="21"/>
  <c r="O21" i="21"/>
  <c r="O9" i="21"/>
  <c r="P56" i="21"/>
  <c r="P48" i="21"/>
  <c r="P36" i="21"/>
  <c r="P28" i="21"/>
  <c r="P12" i="21"/>
  <c r="O56" i="21"/>
  <c r="O66" i="21"/>
  <c r="O62" i="21"/>
  <c r="O58" i="21"/>
  <c r="O54" i="21"/>
  <c r="O50" i="21"/>
  <c r="O46" i="21"/>
  <c r="O42" i="21"/>
  <c r="O38" i="21"/>
  <c r="O34" i="21"/>
  <c r="O30" i="21"/>
  <c r="O26" i="21"/>
  <c r="O22" i="21"/>
  <c r="O18" i="21"/>
  <c r="O14" i="21"/>
  <c r="O10" i="21"/>
  <c r="O6" i="21"/>
  <c r="W8" i="21"/>
  <c r="W9" i="21"/>
  <c r="W10" i="21"/>
  <c r="W11" i="21"/>
  <c r="W5" i="21"/>
  <c r="W12" i="21"/>
  <c r="W6" i="21"/>
  <c r="W7" i="21"/>
  <c r="W13" i="21"/>
  <c r="H95" i="26"/>
  <c r="H96" i="26"/>
  <c r="H97" i="26"/>
  <c r="H98" i="26"/>
  <c r="I3" i="3" a="1"/>
  <c r="I3" i="3" s="1"/>
  <c r="T21" i="21" l="1"/>
  <c r="T29" i="21"/>
  <c r="T37" i="21"/>
  <c r="T45" i="21"/>
  <c r="T53" i="21"/>
  <c r="T61" i="21"/>
  <c r="T69" i="21"/>
  <c r="T77" i="21"/>
  <c r="T85" i="21"/>
  <c r="T93" i="21"/>
  <c r="T101" i="21"/>
  <c r="T22" i="21"/>
  <c r="T30" i="21"/>
  <c r="T38" i="21"/>
  <c r="T46" i="21"/>
  <c r="T54" i="21"/>
  <c r="T62" i="21"/>
  <c r="T70" i="21"/>
  <c r="T78" i="21"/>
  <c r="T86" i="21"/>
  <c r="T94" i="21"/>
  <c r="T102" i="21"/>
  <c r="T15" i="21"/>
  <c r="T23" i="21"/>
  <c r="T31" i="21"/>
  <c r="T39" i="21"/>
  <c r="T47" i="21"/>
  <c r="T55" i="21"/>
  <c r="T63" i="21"/>
  <c r="T71" i="21"/>
  <c r="T79" i="21"/>
  <c r="T87" i="21"/>
  <c r="T95" i="21"/>
  <c r="T103" i="21"/>
  <c r="T16" i="21"/>
  <c r="T24" i="21"/>
  <c r="T32" i="21"/>
  <c r="T40" i="21"/>
  <c r="T48" i="21"/>
  <c r="T56" i="21"/>
  <c r="T64" i="21"/>
  <c r="T72" i="21"/>
  <c r="T80" i="21"/>
  <c r="T88" i="21"/>
  <c r="T96" i="21"/>
  <c r="T104" i="21"/>
  <c r="T17" i="21"/>
  <c r="T25" i="21"/>
  <c r="T33" i="21"/>
  <c r="T41" i="21"/>
  <c r="T49" i="21"/>
  <c r="T57" i="21"/>
  <c r="T65" i="21"/>
  <c r="T73" i="21"/>
  <c r="T81" i="21"/>
  <c r="T89" i="21"/>
  <c r="T97" i="21"/>
  <c r="T105" i="21"/>
  <c r="T18" i="21"/>
  <c r="T26" i="21"/>
  <c r="T34" i="21"/>
  <c r="T42" i="21"/>
  <c r="T50" i="21"/>
  <c r="T58" i="21"/>
  <c r="T66" i="21"/>
  <c r="T74" i="21"/>
  <c r="T82" i="21"/>
  <c r="T90" i="21"/>
  <c r="T98" i="21"/>
  <c r="T106" i="21"/>
  <c r="T19" i="21"/>
  <c r="T27" i="21"/>
  <c r="T35" i="21"/>
  <c r="T43" i="21"/>
  <c r="T51" i="21"/>
  <c r="T59" i="21"/>
  <c r="T67" i="21"/>
  <c r="T75" i="21"/>
  <c r="T83" i="21"/>
  <c r="T91" i="21"/>
  <c r="T99" i="21"/>
  <c r="T20" i="21"/>
  <c r="T28" i="21"/>
  <c r="T36" i="21"/>
  <c r="T44" i="21"/>
  <c r="T52" i="21"/>
  <c r="T60" i="21"/>
  <c r="T68" i="21"/>
  <c r="T76" i="21"/>
  <c r="T84" i="21"/>
  <c r="T92" i="21"/>
  <c r="T100" i="21"/>
  <c r="R22" i="21"/>
  <c r="R30" i="21"/>
  <c r="R38" i="21"/>
  <c r="R46" i="21"/>
  <c r="R54" i="21"/>
  <c r="R62" i="21"/>
  <c r="R70" i="21"/>
  <c r="R78" i="21"/>
  <c r="R86" i="21"/>
  <c r="R94" i="21"/>
  <c r="R102" i="21"/>
  <c r="R20" i="21"/>
  <c r="R76" i="21"/>
  <c r="R15" i="21"/>
  <c r="R23" i="21"/>
  <c r="R31" i="21"/>
  <c r="R39" i="21"/>
  <c r="R47" i="21"/>
  <c r="R55" i="21"/>
  <c r="R63" i="21"/>
  <c r="R71" i="21"/>
  <c r="R79" i="21"/>
  <c r="R87" i="21"/>
  <c r="R95" i="21"/>
  <c r="R103" i="21"/>
  <c r="R60" i="21"/>
  <c r="R92" i="21"/>
  <c r="R16" i="21"/>
  <c r="R24" i="21"/>
  <c r="R32" i="21"/>
  <c r="R40" i="21"/>
  <c r="R48" i="21"/>
  <c r="R56" i="21"/>
  <c r="R64" i="21"/>
  <c r="R72" i="21"/>
  <c r="R80" i="21"/>
  <c r="R88" i="21"/>
  <c r="R96" i="21"/>
  <c r="R104" i="21"/>
  <c r="R36" i="21"/>
  <c r="R17" i="21"/>
  <c r="R25" i="21"/>
  <c r="R33" i="21"/>
  <c r="R41" i="21"/>
  <c r="R49" i="21"/>
  <c r="R57" i="21"/>
  <c r="R65" i="21"/>
  <c r="R73" i="21"/>
  <c r="R81" i="21"/>
  <c r="R89" i="21"/>
  <c r="R97" i="21"/>
  <c r="R105" i="21"/>
  <c r="R52" i="21"/>
  <c r="R100" i="21"/>
  <c r="R18" i="21"/>
  <c r="R26" i="21"/>
  <c r="R34" i="21"/>
  <c r="R42" i="21"/>
  <c r="R50" i="21"/>
  <c r="R58" i="21"/>
  <c r="R66" i="21"/>
  <c r="R74" i="21"/>
  <c r="R82" i="21"/>
  <c r="R90" i="21"/>
  <c r="R98" i="21"/>
  <c r="R106" i="21"/>
  <c r="R28" i="21"/>
  <c r="R19" i="21"/>
  <c r="R27" i="21"/>
  <c r="R35" i="21"/>
  <c r="R43" i="21"/>
  <c r="R51" i="21"/>
  <c r="R59" i="21"/>
  <c r="R67" i="21"/>
  <c r="R75" i="21"/>
  <c r="R83" i="21"/>
  <c r="R91" i="21"/>
  <c r="R99" i="21"/>
  <c r="R68" i="21"/>
  <c r="R21" i="21"/>
  <c r="R29" i="21"/>
  <c r="R37" i="21"/>
  <c r="R45" i="21"/>
  <c r="R53" i="21"/>
  <c r="R61" i="21"/>
  <c r="R69" i="21"/>
  <c r="R77" i="21"/>
  <c r="R85" i="21"/>
  <c r="R93" i="21"/>
  <c r="R101" i="21"/>
  <c r="R44" i="21"/>
  <c r="R84" i="21"/>
  <c r="S4" i="21" a="1"/>
  <c r="T13" i="21" s="1"/>
  <c r="Q4" i="21" a="1"/>
  <c r="R13" i="21" s="1"/>
  <c r="R14" i="21" l="1"/>
  <c r="T14" i="21"/>
  <c r="S4" i="21"/>
  <c r="T4" i="21" s="1"/>
  <c r="T5" i="21"/>
  <c r="T6" i="21"/>
  <c r="T7" i="21"/>
  <c r="T8" i="21"/>
  <c r="T9" i="21"/>
  <c r="T10" i="21"/>
  <c r="T11" i="21"/>
  <c r="T12" i="21"/>
  <c r="Q4" i="21"/>
  <c r="R5" i="21"/>
  <c r="R6" i="21"/>
  <c r="R7" i="21"/>
  <c r="R8" i="21"/>
  <c r="R9" i="21"/>
  <c r="R10" i="21"/>
  <c r="R11" i="21"/>
  <c r="R12" i="21"/>
  <c r="R4" i="2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<sst xmlns="http://schemas.openxmlformats.org/spreadsheetml/2006/main" count="7758" uniqueCount="1276">
  <si>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</si>
  <si>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</si>
  <si>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</si>
  <si>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</si>
  <si>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</si>
  <si>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</si>
  <si>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</si>
  <si>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</si>
  <si>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</si>
  <si>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</si>
  <si>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</si>
  <si>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</si>
  <si>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</si>
  <si>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</si>
  <si>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</si>
  <si>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</si>
  <si>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</si>
  <si>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</si>
  <si>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</si>
  <si>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</si>
  <si>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</si>
  <si>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</si>
  <si>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</si>
  <si>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</si>
  <si>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</si>
  <si>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</si>
  <si>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</si>
  <si>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</si>
  <si>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</si>
  <si>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</si>
  <si>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</si>
  <si>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</si>
  <si>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</si>
  <si>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</si>
  <si>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</si>
  <si>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</si>
  <si>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</si>
  <si>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</si>
  <si>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</si>
  <si>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</si>
  <si>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</si>
  <si>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</si>
  <si>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</si>
  <si>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</si>
  <si>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</si>
  <si>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</si>
  <si>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</si>
  <si>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</si>
  <si>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</si>
  <si>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</si>
  <si>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</si>
  <si>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</si>
  <si>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</si>
  <si>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</si>
  <si>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</si>
  <si>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</si>
  <si>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</si>
  <si>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</si>
  <si>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</si>
  <si>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</si>
  <si>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</si>
  <si>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</si>
  <si>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</si>
  <si>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</si>
  <si>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</si>
  <si>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</si>
  <si>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</si>
  <si>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</si>
  <si>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</si>
  <si>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</si>
  <si>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</si>
  <si>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</si>
  <si>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</si>
  <si>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</si>
  <si>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</si>
  <si>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</si>
  <si>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</si>
  <si>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</si>
  <si>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</si>
  <si>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</si>
  <si>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</si>
  <si>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</si>
  <si>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</si>
  <si>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</si>
  <si>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</si>
  <si>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</si>
  <si>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</si>
  <si>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</si>
  <si>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</si>
  <si>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</si>
  <si>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</si>
  <si>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</si>
  <si>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</si>
  <si>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</si>
  <si>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</si>
  <si>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</si>
  <si>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</si>
  <si>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</si>
  <si>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</si>
  <si>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</si>
  <si>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</si>
  <si>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</si>
  <si>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</si>
  <si>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</si>
  <si>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</si>
  <si>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</si>
  <si>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</si>
  <si>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</si>
  <si>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</si>
  <si>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</si>
  <si>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</si>
  <si>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</si>
  <si>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</si>
  <si>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</si>
  <si>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</si>
  <si>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</si>
  <si>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</si>
  <si>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</si>
  <si>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</si>
  <si>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</si>
  <si>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</si>
  <si>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</si>
  <si>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</si>
  <si>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</si>
  <si>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</si>
  <si>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</si>
  <si>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</si>
  <si>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</si>
  <si>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</si>
  <si>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</si>
  <si>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</si>
  <si>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</si>
  <si>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</si>
  <si>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</si>
  <si>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</si>
  <si>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</si>
  <si>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</si>
  <si>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</si>
  <si>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</si>
  <si>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</si>
  <si>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</si>
  <si>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</si>
  <si>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</si>
  <si>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</si>
  <si>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</si>
  <si>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</si>
  <si>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</si>
  <si>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</si>
  <si>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</si>
  <si>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</si>
  <si>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</si>
  <si>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</si>
  <si>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</si>
  <si>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</si>
  <si>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</si>
  <si>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</si>
  <si>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</si>
  <si>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</si>
  <si>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</si>
  <si>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</si>
  <si>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</si>
  <si>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</si>
  <si>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</si>
  <si>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</si>
  <si>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</si>
  <si>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</si>
  <si>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</si>
  <si>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</si>
  <si>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</si>
  <si>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</si>
  <si>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</si>
  <si>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</si>
  <si>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</si>
  <si>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</si>
  <si>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</si>
  <si>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</si>
  <si>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</si>
  <si>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</si>
  <si>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</si>
  <si>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</si>
  <si>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</si>
  <si>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</si>
  <si>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</si>
  <si>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</si>
  <si>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</si>
  <si>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</si>
  <si>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</si>
  <si>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</si>
  <si>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</si>
  <si>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</si>
  <si>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</si>
  <si>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</si>
  <si>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</si>
  <si>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</si>
  <si>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</si>
  <si>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</si>
  <si>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</si>
  <si>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</si>
  <si>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</si>
  <si>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</si>
  <si>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</si>
  <si>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</si>
  <si>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</si>
  <si>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</si>
  <si>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</si>
  <si>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</si>
  <si>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</si>
  <si>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</si>
  <si>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</si>
  <si>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</si>
  <si>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</si>
  <si>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</si>
  <si>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</si>
  <si>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</si>
  <si>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</si>
  <si>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</si>
  <si>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</si>
  <si>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</si>
  <si>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</si>
  <si>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</si>
  <si>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</si>
  <si>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</si>
  <si>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</si>
  <si>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</si>
  <si>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</si>
  <si>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</si>
  <si>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</si>
  <si>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</si>
  <si>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</si>
  <si>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</si>
  <si>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</si>
  <si>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</si>
  <si>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</si>
  <si>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</si>
  <si>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</si>
  <si>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</si>
  <si>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</si>
  <si>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</si>
  <si>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</si>
  <si>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</si>
  <si>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</si>
  <si>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</si>
  <si>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</si>
  <si>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</si>
  <si>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</si>
  <si>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</si>
  <si>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</si>
  <si>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</si>
  <si>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</si>
  <si>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</si>
  <si>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</si>
  <si>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</si>
  <si>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</si>
  <si>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</si>
  <si>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</si>
  <si>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</si>
  <si>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</si>
  <si>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</si>
  <si>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</si>
  <si>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</si>
  <si>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</si>
  <si>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</si>
  <si>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</si>
  <si>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</si>
  <si>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</si>
  <si>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</si>
  <si>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</si>
  <si>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</si>
  <si>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</si>
  <si>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</si>
  <si>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</si>
  <si>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</si>
  <si>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</si>
  <si>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</si>
  <si>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</si>
  <si>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</si>
  <si>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</si>
  <si>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</si>
  <si>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</si>
  <si>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</si>
  <si>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</si>
  <si>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</si>
  <si>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</si>
  <si>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</si>
  <si>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</si>
  <si>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</si>
  <si>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</si>
  <si>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</si>
  <si>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</si>
  <si>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</si>
  <si>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</si>
  <si>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</si>
  <si>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</si>
  <si>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</si>
  <si>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</si>
  <si>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</si>
  <si>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</si>
  <si>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</si>
  <si>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</si>
  <si>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</si>
  <si>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</si>
  <si>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</si>
  <si>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</si>
  <si>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</si>
  <si>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</si>
  <si>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</si>
  <si>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</si>
  <si>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</si>
  <si>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</si>
  <si>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</si>
  <si>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</si>
  <si>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</si>
  <si>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</si>
  <si>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</si>
  <si>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</si>
  <si>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</si>
  <si>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</si>
  <si>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</si>
  <si>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</si>
  <si>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</si>
  <si>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</si>
  <si>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</si>
  <si>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</si>
  <si>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</si>
  <si>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</si>
  <si>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</si>
  <si>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</si>
  <si>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</si>
  <si>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</si>
  <si>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</si>
  <si>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</si>
  <si>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</si>
  <si>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</si>
  <si>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</si>
  <si>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</si>
  <si>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</si>
  <si>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</si>
  <si>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</si>
  <si>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</si>
  <si>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</si>
  <si>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</si>
  <si>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</si>
  <si>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</si>
  <si>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</si>
  <si>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</si>
  <si>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</si>
  <si>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</si>
  <si>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</si>
  <si>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</si>
  <si>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</si>
  <si>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</si>
  <si>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</si>
  <si>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</si>
  <si>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</si>
  <si>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</si>
  <si>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</si>
  <si>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</si>
  <si>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</si>
  <si>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</si>
  <si>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</si>
  <si>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</si>
  <si>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</si>
  <si>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</si>
  <si>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</si>
  <si>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</si>
  <si>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</si>
  <si>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</si>
  <si>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</si>
  <si>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</si>
  <si>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</si>
  <si>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</si>
  <si>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</si>
  <si>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</si>
  <si>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</si>
  <si>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</si>
  <si>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</si>
  <si>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</si>
  <si>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</si>
  <si>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</si>
  <si>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</si>
  <si>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</si>
  <si>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</si>
  <si>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</si>
  <si>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</si>
  <si>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</si>
  <si>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</si>
  <si>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</si>
  <si>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</si>
  <si>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</si>
  <si>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</si>
  <si>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</si>
  <si>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</si>
  <si>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</si>
  <si>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</si>
  <si>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</si>
  <si>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</si>
  <si>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</si>
  <si>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</si>
  <si>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</si>
  <si>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</si>
  <si>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</si>
  <si>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</si>
  <si>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</si>
  <si>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</si>
  <si>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</si>
  <si>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</si>
  <si>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</si>
  <si>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</si>
  <si>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</si>
  <si>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</si>
  <si>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</si>
  <si>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</si>
  <si>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</si>
  <si>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</si>
  <si>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</si>
  <si>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</si>
  <si>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</si>
  <si>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</si>
  <si>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</si>
  <si>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</si>
  <si>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</si>
  <si>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</si>
  <si>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</si>
  <si>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</si>
  <si>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</si>
  <si>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</si>
  <si>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</si>
  <si>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</si>
  <si>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</si>
  <si>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</si>
  <si>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</si>
  <si>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</si>
  <si>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</si>
  <si>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</si>
  <si>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</si>
  <si>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</si>
  <si>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</si>
  <si>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</si>
  <si>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</si>
  <si>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</si>
  <si>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</si>
  <si>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</si>
  <si>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</si>
  <si>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</si>
  <si>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</si>
  <si>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</si>
  <si>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</si>
  <si>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</si>
  <si>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</si>
  <si>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</si>
  <si>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</si>
  <si>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</si>
  <si>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</si>
  <si>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</si>
  <si>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</si>
  <si>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</si>
  <si>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</si>
  <si>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</si>
  <si>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</si>
  <si>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</si>
  <si>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</si>
  <si>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</si>
  <si>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</si>
  <si>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</si>
  <si>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mag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</si>
  <si>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</si>
  <si>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</si>
  <si>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</si>
  <si>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</si>
  <si>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</si>
  <si>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</si>
  <si>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</si>
  <si>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</si>
  <si>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</si>
  <si>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</si>
  <si>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</si>
  <si>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</si>
  <si>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</si>
  <si>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</si>
  <si>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</si>
  <si>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</si>
  <si>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</si>
  <si>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</si>
  <si>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</si>
  <si>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</si>
  <si>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</si>
  <si>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</si>
  <si>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</si>
  <si>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AmpSv</t>
  </si>
  <si>
    <t>instMag</t>
  </si>
  <si>
    <t>sampled values</t>
  </si>
  <si>
    <t>SV</t>
  </si>
  <si>
    <t>Corrente TC proteção Vm</t>
  </si>
  <si>
    <t>AZ_P_</t>
  </si>
  <si>
    <t>Corrente TC proteção Az</t>
  </si>
  <si>
    <t>BR_P_</t>
  </si>
  <si>
    <t>Corrente TC proteção Br</t>
  </si>
  <si>
    <t>VM_M_</t>
  </si>
  <si>
    <t>Classe de medição</t>
  </si>
  <si>
    <t>Corrente TC medição Vm</t>
  </si>
  <si>
    <t>AZ_M_</t>
  </si>
  <si>
    <t>Corrente TC medição Az</t>
  </si>
  <si>
    <t>BR_M_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</si>
  <si>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</si>
  <si>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</si>
  <si>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</si>
  <si>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</si>
  <si>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</si>
  <si>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</si>
  <si>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</si>
  <si>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</si>
  <si>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</si>
  <si>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</si>
  <si>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</si>
  <si>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</si>
  <si>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</si>
  <si>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</si>
  <si>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</si>
  <si>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</si>
  <si>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</si>
  <si>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</si>
  <si>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</si>
  <si>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</si>
  <si>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</si>
  <si>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</si>
  <si>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</si>
  <si>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</si>
  <si>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</si>
  <si>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</si>
  <si>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</si>
  <si>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</si>
  <si>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</si>
  <si>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</si>
  <si>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</si>
  <si>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</si>
  <si>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</si>
  <si>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</si>
  <si>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</si>
  <si>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</si>
  <si>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</si>
  <si>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</si>
  <si>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</si>
  <si>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</si>
  <si>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</si>
  <si>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</si>
  <si>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</si>
  <si>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</si>
  <si>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</si>
  <si>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</si>
  <si>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</si>
  <si>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</si>
  <si>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</si>
  <si>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</si>
  <si>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</si>
  <si>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</si>
  <si>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</si>
  <si>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</si>
  <si>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</si>
  <si>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</si>
  <si>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</si>
  <si>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</si>
  <si>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</si>
  <si>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</si>
  <si>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</si>
  <si>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</si>
  <si>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</si>
  <si>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</si>
  <si>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</si>
  <si>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</si>
  <si>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</si>
  <si>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</si>
  <si>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</si>
  <si>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</si>
  <si>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</si>
  <si>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</si>
  <si>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</si>
  <si>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</si>
  <si>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</si>
  <si>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</si>
  <si>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</si>
  <si>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</si>
  <si>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</si>
  <si>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</si>
  <si>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</si>
  <si>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</si>
  <si>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</si>
  <si>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</si>
  <si>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</si>
  <si>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</si>
  <si>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</si>
  <si>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</si>
  <si>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</si>
  <si>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</si>
  <si>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</si>
  <si>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</si>
  <si>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</si>
  <si>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</si>
  <si>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</si>
  <si>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</si>
  <si>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</si>
  <si>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</si>
  <si>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</si>
  <si>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</si>
  <si>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</si>
  <si>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</si>
  <si>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</si>
  <si>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</si>
  <si>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</si>
  <si>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</si>
  <si>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</si>
  <si>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</si>
  <si>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</si>
  <si>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</si>
  <si>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</si>
  <si>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</si>
  <si>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</si>
  <si>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</si>
  <si>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</si>
  <si>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</si>
  <si>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</si>
  <si>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</si>
  <si>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</si>
  <si>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</si>
  <si>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</si>
  <si>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</si>
  <si>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</si>
  <si>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</si>
  <si>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</si>
  <si>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</si>
  <si>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</si>
  <si>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</si>
  <si>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</si>
  <si>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</si>
  <si>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</si>
  <si>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</si>
  <si>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</si>
  <si>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</si>
  <si>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</si>
  <si>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</si>
  <si>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</si>
  <si>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</si>
  <si>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</si>
  <si>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</si>
  <si>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</si>
  <si>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</si>
  <si>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</si>
  <si>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</si>
  <si>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</si>
  <si>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</si>
  <si>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</si>
  <si>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</si>
  <si>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</si>
  <si>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</si>
  <si>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</si>
  <si>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</si>
  <si>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</si>
  <si>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</si>
  <si>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</si>
  <si>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</si>
  <si>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</si>
  <si>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</si>
  <si>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</si>
  <si>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</si>
  <si>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</si>
  <si>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</si>
  <si>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</si>
  <si>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</si>
  <si>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</si>
  <si>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</si>
  <si>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</si>
  <si>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</si>
  <si>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</si>
  <si>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</si>
  <si>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</si>
  <si>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</si>
  <si>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</si>
  <si>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</si>
  <si>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</si>
  <si>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</si>
  <si>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</si>
  <si>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</si>
  <si>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</si>
  <si>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</si>
  <si>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</si>
  <si>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</si>
  <si>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</si>
  <si>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</si>
  <si>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</si>
  <si>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</si>
  <si>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</si>
  <si>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</si>
  <si>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</si>
  <si>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</si>
  <si>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</si>
  <si>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</si>
  <si>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</si>
  <si>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</si>
  <si>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</si>
  <si>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</si>
  <si>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</si>
  <si>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</si>
  <si>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</si>
  <si>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</si>
  <si>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</si>
  <si>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</si>
  <si>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</si>
  <si>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</si>
  <si>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</si>
  <si>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</si>
  <si>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</si>
  <si>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</si>
  <si>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</si>
  <si>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Ind2</t>
  </si>
  <si>
    <t>Ind3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</si>
  <si>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</si>
  <si>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</si>
  <si>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</si>
  <si>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</si>
  <si>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</si>
  <si>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</si>
  <si>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</si>
  <si>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</si>
  <si>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</si>
  <si>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</si>
  <si>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</si>
  <si>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</si>
  <si>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</si>
  <si>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</si>
  <si>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</si>
  <si>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</si>
  <si>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</si>
  <si>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</si>
  <si>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</si>
  <si>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</si>
  <si>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</si>
  <si>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</si>
  <si>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</si>
  <si>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</si>
  <si>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</si>
  <si>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</si>
  <si>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</si>
  <si>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</si>
  <si>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</si>
  <si>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</si>
  <si>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</si>
  <si>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</si>
  <si>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</si>
  <si>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</si>
  <si>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</si>
  <si>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</si>
  <si>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</si>
  <si>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</si>
  <si>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</si>
  <si>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</si>
  <si>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</si>
  <si>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</si>
  <si>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</si>
  <si>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</si>
  <si>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</si>
  <si>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</si>
  <si>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</si>
  <si>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</si>
  <si>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</si>
  <si>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</si>
  <si>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</si>
  <si>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</si>
  <si>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</si>
  <si>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</si>
  <si>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</si>
  <si>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</si>
  <si>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</si>
  <si>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</si>
  <si>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</si>
  <si>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</si>
  <si>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</si>
  <si>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</si>
  <si>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</si>
  <si>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</si>
  <si>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</si>
  <si>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</si>
  <si>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</si>
  <si>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</si>
  <si>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</si>
  <si>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</si>
  <si>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</si>
  <si>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</si>
  <si>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</si>
  <si>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</si>
  <si>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</si>
  <si>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</si>
  <si>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</si>
  <si>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</si>
  <si>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</si>
  <si>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</si>
  <si>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</si>
  <si>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</si>
  <si>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</si>
  <si>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</si>
  <si>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</si>
  <si>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</si>
  <si>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</si>
  <si>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</si>
  <si>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</si>
  <si>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</si>
  <si>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</si>
  <si>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</si>
  <si>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</si>
  <si>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</si>
  <si>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</si>
  <si>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</si>
  <si>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</si>
  <si>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</si>
  <si>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</si>
  <si>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</si>
  <si>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</si>
  <si>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</si>
  <si>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</si>
  <si>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</si>
  <si>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</si>
  <si>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</si>
  <si>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</si>
  <si>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</si>
  <si>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</si>
  <si>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</si>
  <si>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</si>
  <si>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</si>
  <si>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</si>
  <si>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</si>
  <si>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</si>
  <si>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</si>
  <si>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</si>
  <si>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</si>
  <si>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</si>
  <si>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</si>
  <si>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</si>
  <si>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</si>
  <si>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</si>
  <si>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</si>
  <si>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</si>
  <si>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</si>
  <si>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</si>
  <si>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</si>
  <si>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</si>
  <si>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</si>
  <si>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</si>
  <si>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</si>
  <si>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</si>
  <si>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</si>
  <si>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</si>
  <si>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</si>
  <si>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</si>
  <si>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</si>
  <si>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</si>
  <si>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</si>
  <si>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</si>
  <si>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</si>
  <si>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</si>
  <si>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</si>
  <si>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</si>
  <si>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</si>
  <si>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</si>
  <si>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</si>
  <si>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</si>
  <si>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</si>
  <si>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</si>
  <si>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</si>
  <si>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</si>
  <si>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</si>
  <si>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</si>
  <si>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</si>
  <si>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</si>
  <si>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</si>
  <si>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</si>
  <si>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</si>
  <si>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</si>
  <si>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</si>
  <si>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</si>
  <si>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</si>
  <si>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</si>
  <si>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</si>
  <si>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</si>
  <si>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</si>
  <si>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</si>
  <si>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</si>
  <si>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</si>
  <si>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</si>
  <si>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</si>
  <si>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</si>
  <si>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</si>
  <si>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</si>
  <si>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</si>
  <si>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</si>
  <si>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</si>
  <si>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</si>
  <si>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</si>
  <si>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</si>
  <si>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</si>
  <si>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</si>
  <si>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</si>
  <si>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</si>
  <si>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</si>
  <si>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</si>
  <si>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</si>
  <si>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</si>
  <si>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</si>
  <si>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</si>
  <si>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</si>
  <si>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</si>
  <si>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</si>
  <si>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</si>
  <si>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</si>
  <si>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</si>
  <si>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</si>
  <si>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</si>
  <si>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</si>
  <si>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</si>
  <si>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</si>
  <si>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</si>
  <si>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</si>
  <si>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</si>
  <si>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</si>
  <si>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</si>
  <si>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</si>
  <si>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</si>
  <si>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</si>
  <si>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</si>
  <si>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</si>
  <si>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</si>
  <si>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</si>
  <si>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</si>
  <si>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</si>
  <si>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</si>
  <si>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</si>
  <si>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</si>
  <si>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</si>
  <si>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</si>
  <si>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</si>
  <si>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</si>
  <si>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</si>
  <si>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</si>
  <si>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</si>
  <si>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</si>
  <si>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</si>
  <si>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</si>
  <si>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</si>
  <si>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</si>
  <si>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</si>
  <si>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</si>
  <si>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</si>
  <si>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</si>
  <si>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</si>
  <si>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</si>
  <si>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</si>
  <si>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</si>
  <si>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</si>
  <si>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</si>
  <si>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</si>
  <si>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</si>
  <si>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</si>
  <si>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</si>
  <si>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</si>
  <si>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</si>
  <si>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</si>
  <si>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</si>
  <si>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</si>
  <si>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</si>
  <si>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</si>
  <si>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</si>
  <si>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</si>
  <si>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</si>
  <si>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</si>
  <si>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</si>
  <si>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</si>
  <si>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</si>
  <si>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</si>
  <si>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</si>
  <si>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</si>
  <si>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</si>
  <si>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</si>
  <si>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</si>
  <si>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</si>
  <si>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</si>
  <si>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</si>
  <si>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</si>
  <si>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</si>
  <si>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</si>
  <si>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</si>
  <si>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</si>
  <si>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</si>
  <si>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</si>
  <si>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</si>
  <si>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</si>
  <si>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</si>
  <si>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</si>
  <si>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</si>
  <si>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</si>
  <si>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</si>
  <si>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</si>
  <si>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</si>
  <si>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</si>
  <si>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</si>
  <si>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</si>
  <si>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</si>
  <si>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</si>
  <si>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</si>
  <si>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</si>
  <si>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</si>
  <si>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</si>
  <si>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</si>
  <si>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</si>
  <si>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</si>
  <si>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</si>
  <si>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</si>
  <si>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</si>
  <si>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</si>
  <si>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</si>
  <si>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</si>
  <si>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</si>
  <si>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</si>
  <si>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</si>
  <si>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</si>
  <si>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</si>
  <si>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</si>
  <si>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</si>
  <si>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</si>
  <si>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</si>
  <si>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</si>
  <si>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</si>
  <si>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</si>
  <si>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</si>
  <si>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</si>
  <si>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</si>
  <si>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</si>
  <si>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</si>
  <si>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</si>
  <si>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</si>
  <si>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</si>
  <si>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</si>
  <si>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</si>
  <si>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</si>
  <si>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</si>
  <si>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</si>
  <si>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</si>
  <si>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</si>
  <si>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</si>
  <si>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</si>
  <si>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</si>
  <si>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</si>
  <si>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</si>
  <si>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</si>
  <si>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</si>
  <si>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</si>
  <si>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</si>
  <si>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</si>
  <si>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</si>
  <si>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</si>
  <si>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</si>
  <si>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</si>
  <si>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</si>
  <si>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</si>
  <si>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</si>
  <si>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</si>
  <si>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</si>
  <si>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</si>
  <si>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</si>
  <si>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</si>
  <si>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</si>
  <si>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</si>
  <si>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</si>
  <si>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</si>
  <si>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</si>
  <si>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</si>
  <si>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</si>
  <si>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</si>
  <si>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</si>
  <si>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</si>
  <si>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</si>
  <si>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</si>
  <si>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</si>
  <si>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</si>
  <si>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</si>
  <si>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</si>
  <si>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</si>
  <si>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</si>
  <si>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SW-E-01-A</t>
  </si>
  <si>
    <t>FO</t>
  </si>
  <si>
    <t>SW-E-01-B</t>
  </si>
  <si>
    <t>SW-E-02-A</t>
  </si>
  <si>
    <t>SW-E-02-B</t>
  </si>
  <si>
    <t>SW-E-03-A</t>
  </si>
  <si>
    <t>SW-E-03-B</t>
  </si>
  <si>
    <t>SW-P-90-A</t>
  </si>
  <si>
    <t>SW-P-90-B</t>
  </si>
  <si>
    <t>SW-E-90-A</t>
  </si>
  <si>
    <t>SW-E-90-B</t>
  </si>
  <si>
    <t>201.234.56.55</t>
  </si>
  <si>
    <t>201.234.56.56</t>
  </si>
  <si>
    <t>201.234.56.60</t>
  </si>
  <si>
    <t>201.234.56.57</t>
  </si>
  <si>
    <t>201.234.56.58</t>
  </si>
  <si>
    <t>201.234.56.59</t>
  </si>
  <si>
    <t>201.234.56.61</t>
  </si>
  <si>
    <t>201.234.56.62</t>
  </si>
  <si>
    <t>201.234.56.63</t>
  </si>
  <si>
    <t>201.234.56.64</t>
  </si>
  <si>
    <t>201.234.56.65</t>
  </si>
  <si>
    <t>201.234.56.66</t>
  </si>
  <si>
    <t>201.234.56.67</t>
  </si>
  <si>
    <t>201.234.56.68</t>
  </si>
  <si>
    <t>201.234.56.69</t>
  </si>
  <si>
    <t>201.234.56.70</t>
  </si>
  <si>
    <t>201.234.56.71</t>
  </si>
  <si>
    <t>201.234.56.72</t>
  </si>
  <si>
    <t>201.234.56.73</t>
  </si>
  <si>
    <t>201.234.56.74</t>
  </si>
  <si>
    <t>201.234.56.75</t>
  </si>
  <si>
    <t>201.234.56.76</t>
  </si>
  <si>
    <t>201.234.56.77</t>
  </si>
  <si>
    <t>10.209.126.77</t>
  </si>
  <si>
    <t>201.234.56.78</t>
  </si>
  <si>
    <t>10.209.126.78</t>
  </si>
  <si>
    <t>201.234.56.79</t>
  </si>
  <si>
    <t>10.209.126.79</t>
  </si>
  <si>
    <t>201.234.56.80</t>
  </si>
  <si>
    <t>10.209.126.80</t>
  </si>
  <si>
    <t>201.234.56.81</t>
  </si>
  <si>
    <t>10.209.126.81</t>
  </si>
  <si>
    <t>201.234.56.82</t>
  </si>
  <si>
    <t>10.209.126.82</t>
  </si>
  <si>
    <t>201.234.56.83</t>
  </si>
  <si>
    <t>10.209.126.83</t>
  </si>
  <si>
    <t>201.234.56.84</t>
  </si>
  <si>
    <t>10.209.126.84</t>
  </si>
  <si>
    <t>201.234.56.85</t>
  </si>
  <si>
    <t>10.209.126.85</t>
  </si>
  <si>
    <t>201.234.56.86</t>
  </si>
  <si>
    <t>10.209.126.86</t>
  </si>
  <si>
    <t>201.234.56.87</t>
  </si>
  <si>
    <t>10.209.126.87</t>
  </si>
  <si>
    <t>201.234.56.88</t>
  </si>
  <si>
    <t>10.209.126.88</t>
  </si>
  <si>
    <t>201.234.56.89</t>
  </si>
  <si>
    <t>10.209.126.89</t>
  </si>
  <si>
    <t>201.234.56.90</t>
  </si>
  <si>
    <t>10.209.126.90</t>
  </si>
  <si>
    <t>PP_11U4BF</t>
  </si>
  <si>
    <t>PP_14U4BF</t>
  </si>
  <si>
    <t>PS_14U4BF</t>
  </si>
  <si>
    <t>PP_8U4BF</t>
  </si>
  <si>
    <t>PS_8U4BF</t>
  </si>
  <si>
    <t>PS_11U4BF</t>
  </si>
  <si>
    <t>201.234.56.91</t>
  </si>
  <si>
    <t>10.209.126.91</t>
  </si>
  <si>
    <t>10.209.126.92</t>
  </si>
  <si>
    <t>201.234.56.92</t>
  </si>
  <si>
    <t>201.234.56.93</t>
  </si>
  <si>
    <t>10.209.126.93</t>
  </si>
  <si>
    <t>201.234.56.94</t>
  </si>
  <si>
    <t>10.209.126.95</t>
  </si>
  <si>
    <t>10.209.126.96</t>
  </si>
  <si>
    <t>10.209.126.94</t>
  </si>
  <si>
    <t>201.234.56.95</t>
  </si>
  <si>
    <t>201.234.56.96</t>
  </si>
  <si>
    <t>D</t>
  </si>
  <si>
    <t>H</t>
  </si>
  <si>
    <t>01-0C-CD-01-01-A1</t>
  </si>
  <si>
    <t>01-0C-CD-02-01-A1</t>
  </si>
  <si>
    <t>01-0C-CD-01-01-A2</t>
  </si>
  <si>
    <t>01-0C-CD-02-01-A2</t>
  </si>
  <si>
    <t>01-0C-CD-01-02-A1</t>
  </si>
  <si>
    <t>01-0C-CD-02-02-A1</t>
  </si>
  <si>
    <t>01-0C-CD-01-02-A2</t>
  </si>
  <si>
    <t>01-0C-CD-02-02-A2</t>
  </si>
  <si>
    <t>01-0C-CD-01-03-A1</t>
  </si>
  <si>
    <t>01-0C-CD-02-03-A1</t>
  </si>
  <si>
    <t>01-0C-CD-01-03-A2</t>
  </si>
  <si>
    <t>01-0C-CD-02-03-A2</t>
  </si>
  <si>
    <t>01-0C-CD-01-07-81</t>
  </si>
  <si>
    <t>01-0C-CD-02-07-81</t>
  </si>
  <si>
    <t>01-0C-CD-01-07-82</t>
  </si>
  <si>
    <t>01-0C-CD-02-07-82</t>
  </si>
  <si>
    <t>01-0C-CD-01-08-81</t>
  </si>
  <si>
    <t>01-0C-CD-02-08-81</t>
  </si>
  <si>
    <t>01-0C-CD-01-08-82</t>
  </si>
  <si>
    <t>01-0C-CD-02-08-82</t>
  </si>
  <si>
    <t>01-0C-CD-01-09-81</t>
  </si>
  <si>
    <t>01-0C-CD-02-09-81</t>
  </si>
  <si>
    <t>01-0C-CD-01-09-82</t>
  </si>
  <si>
    <t>01-0C-CD-02-09-82</t>
  </si>
  <si>
    <t>01-0C-CD-01-10-81</t>
  </si>
  <si>
    <t>01-0C-CD-02-10-81</t>
  </si>
  <si>
    <t>01-0C-CD-01-10-82</t>
  </si>
  <si>
    <t>01-0C-CD-02-10-82</t>
  </si>
  <si>
    <t>01-0C-CD-01-11-81</t>
  </si>
  <si>
    <t>01-0C-CD-02-11-81</t>
  </si>
  <si>
    <t>01-0C-CD-01-11-82</t>
  </si>
  <si>
    <t>01-0C-CD-02-11-82</t>
  </si>
  <si>
    <t>01-0C-CD-01-12-81</t>
  </si>
  <si>
    <t>01-0C-CD-02-12-81</t>
  </si>
  <si>
    <t>01-0C-CD-01-12-82</t>
  </si>
  <si>
    <t>01-0C-CD-02-12-82</t>
  </si>
  <si>
    <t>01-0C-CD-01-13-81</t>
  </si>
  <si>
    <t>01-0C-CD-02-13-81</t>
  </si>
  <si>
    <t>01-0C-CD-01-13-82</t>
  </si>
  <si>
    <t>01-0C-CD-02-13-82</t>
  </si>
  <si>
    <t>01-0C-CD-01-14-81</t>
  </si>
  <si>
    <t>01-0C-CD-02-14-81</t>
  </si>
  <si>
    <t>01-0C-CD-01-14-82</t>
  </si>
  <si>
    <t>01-0C-CD-02-14-82</t>
  </si>
  <si>
    <t>01-0C-CD-02-07-85</t>
  </si>
  <si>
    <t>01-0C-CD-02-09-85</t>
  </si>
  <si>
    <t>01-0C-CD-02-10-85</t>
  </si>
  <si>
    <t>01-0C-CD-02-12-85</t>
  </si>
  <si>
    <t>01-0C-CD-02-13-85</t>
  </si>
  <si>
    <t>01-0C-CD-02-14-85</t>
  </si>
  <si>
    <t>01-0C-CD-02-07-83</t>
  </si>
  <si>
    <t>01-0C-CD-02-07-84</t>
  </si>
  <si>
    <t>01-0C-CD-02-10-83</t>
  </si>
  <si>
    <t>01-0C-CD-02-10-84</t>
  </si>
  <si>
    <t>01-0C-CD-02-13-83</t>
  </si>
  <si>
    <t>01-0C-CD-02-13-84</t>
  </si>
  <si>
    <t>01-0C-CD-02-00-87</t>
  </si>
  <si>
    <t>01-0C-CD-02-00-88</t>
  </si>
  <si>
    <t>01-0C-CD-02-08-8A</t>
  </si>
  <si>
    <t>01-0C-CD-02-08-8B</t>
  </si>
  <si>
    <t>01-0C-CD-02-11-8A</t>
  </si>
  <si>
    <t>01-0C-CD-02-11-8B</t>
  </si>
  <si>
    <t>01-0C-CD-02-14-8A</t>
  </si>
  <si>
    <t>01-0C-CD-02-14-8B</t>
  </si>
  <si>
    <t>Mbits</t>
  </si>
  <si>
    <t>porta</t>
  </si>
  <si>
    <t>STATUS_</t>
  </si>
  <si>
    <t>ESTAC_</t>
  </si>
  <si>
    <t>Canal de comunicação ativo - Estação</t>
  </si>
  <si>
    <t>PROC_</t>
  </si>
  <si>
    <t>Canal de comunicação ativo - Processo</t>
  </si>
  <si>
    <t>GPS_</t>
  </si>
  <si>
    <t>GOOSE_</t>
  </si>
  <si>
    <t>SV_</t>
  </si>
  <si>
    <t>Indicação binária genérica 1</t>
  </si>
  <si>
    <t>Indicação binária genérica 2</t>
  </si>
  <si>
    <t>Indicação binária genérica 3</t>
  </si>
  <si>
    <t>Ind4</t>
  </si>
  <si>
    <t>Indicação binária genérica 4</t>
  </si>
  <si>
    <t>Ind5</t>
  </si>
  <si>
    <t>Indicação binária genérica 5</t>
  </si>
  <si>
    <t>Ind6</t>
  </si>
  <si>
    <t>Indicação binária genérica 6</t>
  </si>
  <si>
    <t>Ind7</t>
  </si>
  <si>
    <t>Indicação binária genérica 7</t>
  </si>
  <si>
    <t>Ind8</t>
  </si>
  <si>
    <t>Indicação binária genérica 8</t>
  </si>
  <si>
    <t>LOCAL_</t>
  </si>
  <si>
    <t>UAC em local</t>
  </si>
  <si>
    <t>LD-Mestre</t>
  </si>
  <si>
    <t>MU</t>
  </si>
  <si>
    <t>UAC</t>
  </si>
  <si>
    <t>Prot</t>
  </si>
  <si>
    <t>NO_159</t>
  </si>
  <si>
    <t>TC_OP_9U</t>
  </si>
  <si>
    <t>S_500kV/V_9U/NO_159</t>
  </si>
  <si>
    <t>MUP_9U_TC</t>
  </si>
  <si>
    <t>MUS_9U_TC</t>
  </si>
  <si>
    <t>TC Óptico</t>
  </si>
  <si>
    <t>Saúde enrolamento TC medição Br (enrolamento aberto)</t>
  </si>
  <si>
    <t>Saúde enrolamento TC medição Az (enrolamento aberto)</t>
  </si>
  <si>
    <t>Saúde enrolamento TC medição Vm (enrolamento aberto)</t>
  </si>
  <si>
    <t>Saúde enrolamento TC proteção Br (enrolamento aberto)</t>
  </si>
  <si>
    <t>Saúde enrolamento TC proteção Az (enrolamento aberto)</t>
  </si>
  <si>
    <t>Saúde enrolamento TC proteção Vm (enrolamento aberto)</t>
  </si>
  <si>
    <t>Saúde sensor Vm</t>
  </si>
  <si>
    <t>Saúde sensor Az</t>
  </si>
  <si>
    <t>Saúde sensor Br</t>
  </si>
  <si>
    <t>E_TC_OP</t>
  </si>
  <si>
    <t>201.234.56.200</t>
  </si>
  <si>
    <t>201.234.56.201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</si>
</sst>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" xfId="0" applyFont="1" applyBorder="1"/>
    <xf numFmtId="0" fontId="0" fillId="7" borderId="1" xfId="0" applyFill="1" applyBorder="1"/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horizontal="center" vertical="center"/>
    </xf>
  </cellXfs>
  <cellStyles count="1">
    <cellStyle name="Normal" xfId="0" builtinId="0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opLeftCell="A3" workbookViewId="0">
      <selection activeCell="C9" sqref="C9:G9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40" t="s">
        <v>621</v>
      </c>
      <c r="C1" s="41"/>
      <c r="D1" s="41"/>
      <c r="E1" s="41"/>
      <c r="F1" s="41"/>
      <c r="G1" s="42"/>
    </row>
    <row r="2" spans="2:7" ht="24" x14ac:dyDescent="0.4">
      <c r="B2" s="46" t="s">
        <v>622</v>
      </c>
      <c r="C2" s="47"/>
      <c r="D2" s="47"/>
      <c r="E2" s="47"/>
      <c r="F2" s="47"/>
      <c r="G2" s="48"/>
    </row>
    <row r="3" spans="2:7" ht="36" x14ac:dyDescent="0.55000000000000004">
      <c r="B3" s="43" t="s">
        <v>644</v>
      </c>
      <c r="C3" s="44"/>
      <c r="D3" s="44"/>
      <c r="E3" s="44"/>
      <c r="F3" s="44"/>
      <c r="G3" s="45"/>
    </row>
    <row r="4" spans="2:7" x14ac:dyDescent="0.25">
      <c r="B4" s="23" t="s">
        <v>623</v>
      </c>
      <c r="C4" s="49" t="s">
        <v>624</v>
      </c>
      <c r="D4" s="50"/>
      <c r="E4" s="51"/>
      <c r="F4" s="24"/>
      <c r="G4" s="29"/>
    </row>
    <row r="5" spans="2:7" x14ac:dyDescent="0.25">
      <c r="B5" s="23" t="s">
        <v>625</v>
      </c>
      <c r="C5" s="49" t="s">
        <v>626</v>
      </c>
      <c r="D5" s="50"/>
      <c r="E5" s="51"/>
      <c r="F5" s="24"/>
      <c r="G5" s="29"/>
    </row>
    <row r="6" spans="2:7" x14ac:dyDescent="0.25">
      <c r="B6" s="23" t="s">
        <v>635</v>
      </c>
      <c r="C6" s="52" t="s">
        <v>636</v>
      </c>
      <c r="D6" s="53"/>
      <c r="E6" s="54"/>
      <c r="F6" s="25" t="s">
        <v>637</v>
      </c>
      <c r="G6" s="29" t="s">
        <v>649</v>
      </c>
    </row>
    <row r="7" spans="2:7" x14ac:dyDescent="0.25">
      <c r="B7" s="55" t="s">
        <v>642</v>
      </c>
      <c r="C7" s="55"/>
      <c r="D7" s="55"/>
      <c r="E7" s="55"/>
      <c r="F7" s="55"/>
      <c r="G7" s="55"/>
    </row>
    <row r="8" spans="2:7" x14ac:dyDescent="0.25">
      <c r="B8" s="26" t="s">
        <v>627</v>
      </c>
      <c r="C8" s="38" t="s">
        <v>648</v>
      </c>
      <c r="D8" s="38"/>
      <c r="E8" s="38"/>
      <c r="F8" s="38"/>
      <c r="G8" s="38"/>
    </row>
    <row r="9" spans="2:7" ht="37.5" customHeight="1" x14ac:dyDescent="0.25">
      <c r="B9" s="27" t="s">
        <v>628</v>
      </c>
      <c r="C9" s="56" t="s">
        <v>641</v>
      </c>
      <c r="D9" s="56"/>
      <c r="E9" s="56"/>
      <c r="F9" s="56"/>
      <c r="G9" s="56"/>
    </row>
    <row r="10" spans="2:7" ht="21" customHeight="1" x14ac:dyDescent="0.25">
      <c r="B10" s="27" t="s">
        <v>643</v>
      </c>
      <c r="C10" s="39" t="s">
        <v>645</v>
      </c>
      <c r="D10" s="39"/>
      <c r="E10" s="22" t="s">
        <v>646</v>
      </c>
      <c r="F10" s="22"/>
      <c r="G10" s="30"/>
    </row>
    <row r="11" spans="2:7" x14ac:dyDescent="0.25">
      <c r="B11" s="37" t="s">
        <v>629</v>
      </c>
      <c r="C11" s="37"/>
      <c r="D11" s="37"/>
      <c r="E11" s="37"/>
      <c r="F11" s="37"/>
      <c r="G11" s="37"/>
    </row>
    <row r="12" spans="2:7" x14ac:dyDescent="0.25">
      <c r="B12" s="28" t="s">
        <v>630</v>
      </c>
      <c r="C12" s="28" t="s">
        <v>631</v>
      </c>
      <c r="D12" s="28" t="s">
        <v>632</v>
      </c>
      <c r="E12" s="28" t="s">
        <v>342</v>
      </c>
      <c r="F12" s="28" t="s">
        <v>633</v>
      </c>
      <c r="G12" s="31" t="s">
        <v>634</v>
      </c>
    </row>
    <row r="13" spans="2:7" x14ac:dyDescent="0.25">
      <c r="B13" s="21" t="s">
        <v>647</v>
      </c>
      <c r="C13" s="21">
        <v>2</v>
      </c>
      <c r="D13" s="21" t="s">
        <v>638</v>
      </c>
      <c r="E13" s="21" t="s">
        <v>639</v>
      </c>
      <c r="F13" s="21" t="s">
        <v>640</v>
      </c>
      <c r="G13" s="32" t="s">
        <v>649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2"/>
  <sheetViews>
    <sheetView workbookViewId="0">
      <pane ySplit="1" topLeftCell="A44" activePane="bottomLeft" state="frozen"/>
      <selection pane="bottomLeft" activeCell="C73" sqref="C73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659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44</v>
      </c>
      <c r="C69" s="21" t="s">
        <v>1258</v>
      </c>
      <c r="D69" s="21" t="s">
        <v>243</v>
      </c>
    </row>
    <row r="70" spans="1:4" x14ac:dyDescent="0.25">
      <c r="A70" s="21" t="s">
        <v>0</v>
      </c>
      <c r="B70" s="21" t="s">
        <v>5</v>
      </c>
      <c r="D70" s="21" t="s">
        <v>650</v>
      </c>
    </row>
    <row r="71" spans="1:4" x14ac:dyDescent="0.25">
      <c r="A71" s="21" t="s">
        <v>0</v>
      </c>
      <c r="B71" s="21" t="s">
        <v>6</v>
      </c>
      <c r="D71" s="21" t="s">
        <v>651</v>
      </c>
    </row>
    <row r="72" spans="1:4" x14ac:dyDescent="0.25">
      <c r="A72" s="21" t="s">
        <v>0</v>
      </c>
      <c r="B72" s="21" t="s">
        <v>8</v>
      </c>
      <c r="D72" s="21" t="s">
        <v>652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8"/>
  <sheetViews>
    <sheetView zoomScale="110" zoomScaleNormal="110" workbookViewId="0">
      <pane ySplit="1" topLeftCell="A119" activePane="bottomLeft" state="frozen"/>
      <selection pane="bottomLeft" activeCell="C155" sqref="C155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1260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1259</v>
      </c>
      <c r="D155" s="21" t="s">
        <v>48</v>
      </c>
      <c r="E155" s="21" t="s">
        <v>54</v>
      </c>
      <c r="F155" s="21" t="s">
        <v>309</v>
      </c>
      <c r="G155" s="21">
        <v>180</v>
      </c>
      <c r="H155" s="21">
        <v>366</v>
      </c>
    </row>
    <row r="156" spans="1:8" x14ac:dyDescent="0.25">
      <c r="A156" s="21" t="s">
        <v>0</v>
      </c>
      <c r="B156" s="21" t="s">
        <v>44</v>
      </c>
      <c r="C156" s="21" t="s">
        <v>1259</v>
      </c>
      <c r="D156" s="21" t="s">
        <v>48</v>
      </c>
      <c r="E156" s="21" t="s">
        <v>55</v>
      </c>
      <c r="F156" s="21" t="s">
        <v>1260</v>
      </c>
      <c r="G156" s="21">
        <v>180</v>
      </c>
      <c r="H156" s="21">
        <v>366</v>
      </c>
    </row>
    <row r="157" spans="1:8" x14ac:dyDescent="0.25">
      <c r="A157" s="21" t="s">
        <v>0</v>
      </c>
      <c r="B157" s="21" t="s">
        <v>44</v>
      </c>
      <c r="C157" s="21" t="s">
        <v>184</v>
      </c>
      <c r="D157" s="21" t="s">
        <v>101</v>
      </c>
      <c r="E157" s="21" t="s">
        <v>54</v>
      </c>
      <c r="F157" s="21" t="s">
        <v>313</v>
      </c>
      <c r="G157" s="21">
        <v>138</v>
      </c>
      <c r="H157" s="21">
        <v>347</v>
      </c>
    </row>
    <row r="158" spans="1:8" x14ac:dyDescent="0.25">
      <c r="A158" s="83" t="s">
        <v>0</v>
      </c>
      <c r="B158" s="21" t="s">
        <v>44</v>
      </c>
      <c r="C158" s="21" t="s">
        <v>134</v>
      </c>
      <c r="D158" s="21" t="s">
        <v>103</v>
      </c>
      <c r="E158" s="21" t="s">
        <v>104</v>
      </c>
      <c r="F158" s="21" t="s">
        <v>313</v>
      </c>
      <c r="G158" s="21">
        <v>122</v>
      </c>
      <c r="H158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24"/>
  <sheetViews>
    <sheetView workbookViewId="0">
      <pane ySplit="2" topLeftCell="A3" activePane="bottomLeft" state="frozen"/>
      <selection pane="bottomLeft" activeCell="A20" sqref="A20:G20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8" width="9.140625" style="21"/>
    <col min="9" max="9" width="10.5703125" style="21" bestFit="1" customWidth="1"/>
  </cols>
  <sheetData>
    <row r="1" spans="1:9" x14ac:dyDescent="0.25">
      <c r="C1" s="57" t="s">
        <v>1076</v>
      </c>
      <c r="D1" s="57"/>
      <c r="E1" s="57"/>
      <c r="F1" s="57" t="s">
        <v>562</v>
      </c>
      <c r="G1" s="57"/>
      <c r="H1" s="57"/>
    </row>
    <row r="2" spans="1:9" s="1" customFormat="1" x14ac:dyDescent="0.25">
      <c r="A2" s="20" t="s">
        <v>340</v>
      </c>
      <c r="B2" s="20" t="s">
        <v>342</v>
      </c>
      <c r="C2" s="20" t="s">
        <v>1075</v>
      </c>
      <c r="D2" s="20" t="s">
        <v>1077</v>
      </c>
      <c r="E2" s="20" t="s">
        <v>564</v>
      </c>
      <c r="F2" s="20" t="s">
        <v>1075</v>
      </c>
      <c r="G2" s="20" t="s">
        <v>1077</v>
      </c>
      <c r="H2" s="20" t="s">
        <v>564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1084</v>
      </c>
      <c r="D3" s="21">
        <v>24</v>
      </c>
      <c r="F3" s="21" t="s">
        <v>1078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1078</v>
      </c>
      <c r="G4" s="21">
        <v>24</v>
      </c>
      <c r="I4" s="21" t="s">
        <v>155</v>
      </c>
    </row>
    <row r="5" spans="1:9" x14ac:dyDescent="0.25">
      <c r="A5" s="21" t="s">
        <v>54</v>
      </c>
      <c r="B5" s="21" t="s">
        <v>317</v>
      </c>
      <c r="D5" s="21">
        <v>24</v>
      </c>
      <c r="F5" s="21" t="s">
        <v>1078</v>
      </c>
      <c r="G5" s="21">
        <v>24</v>
      </c>
      <c r="I5" s="21" t="s">
        <v>1148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1079</v>
      </c>
      <c r="G6" s="21">
        <v>24</v>
      </c>
      <c r="I6" s="21" t="s">
        <v>320</v>
      </c>
    </row>
    <row r="7" spans="1:9" x14ac:dyDescent="0.25">
      <c r="A7" s="21" t="s">
        <v>55</v>
      </c>
      <c r="B7" s="21" t="s">
        <v>321</v>
      </c>
      <c r="D7" s="21">
        <v>24</v>
      </c>
      <c r="F7" s="21" t="s">
        <v>1079</v>
      </c>
      <c r="G7" s="21">
        <v>24</v>
      </c>
      <c r="I7" s="21" t="s">
        <v>157</v>
      </c>
    </row>
    <row r="8" spans="1:9" x14ac:dyDescent="0.25">
      <c r="A8" s="21" t="s">
        <v>55</v>
      </c>
      <c r="B8" s="21" t="s">
        <v>321</v>
      </c>
      <c r="D8" s="21">
        <v>24</v>
      </c>
      <c r="F8" s="21" t="s">
        <v>1079</v>
      </c>
      <c r="G8" s="21">
        <v>24</v>
      </c>
      <c r="I8" s="21" t="s">
        <v>1149</v>
      </c>
    </row>
    <row r="9" spans="1:9" x14ac:dyDescent="0.25">
      <c r="A9" s="21" t="s">
        <v>322</v>
      </c>
      <c r="B9" s="21" t="s">
        <v>324</v>
      </c>
      <c r="D9" s="21">
        <v>24</v>
      </c>
      <c r="F9" s="21" t="s">
        <v>1080</v>
      </c>
      <c r="G9" s="21">
        <v>24</v>
      </c>
      <c r="I9" s="21" t="s">
        <v>323</v>
      </c>
    </row>
    <row r="10" spans="1:9" x14ac:dyDescent="0.25">
      <c r="A10" s="21" t="s">
        <v>322</v>
      </c>
      <c r="B10" s="21" t="s">
        <v>324</v>
      </c>
      <c r="D10" s="21">
        <v>24</v>
      </c>
      <c r="F10" s="21" t="s">
        <v>1080</v>
      </c>
      <c r="G10" s="21">
        <v>24</v>
      </c>
      <c r="I10" s="21" t="s">
        <v>143</v>
      </c>
    </row>
    <row r="11" spans="1:9" x14ac:dyDescent="0.25">
      <c r="A11" s="21" t="s">
        <v>322</v>
      </c>
      <c r="B11" s="21" t="s">
        <v>324</v>
      </c>
      <c r="D11" s="21">
        <v>24</v>
      </c>
      <c r="F11" s="21" t="s">
        <v>1080</v>
      </c>
      <c r="G11" s="21">
        <v>24</v>
      </c>
      <c r="I11" s="21" t="s">
        <v>1145</v>
      </c>
    </row>
    <row r="12" spans="1:9" x14ac:dyDescent="0.25">
      <c r="A12" s="21" t="s">
        <v>325</v>
      </c>
      <c r="B12" s="21" t="s">
        <v>327</v>
      </c>
      <c r="D12" s="21">
        <v>24</v>
      </c>
      <c r="F12" s="21" t="s">
        <v>1081</v>
      </c>
      <c r="G12" s="21">
        <v>24</v>
      </c>
      <c r="I12" s="21" t="s">
        <v>326</v>
      </c>
    </row>
    <row r="13" spans="1:9" x14ac:dyDescent="0.25">
      <c r="A13" s="21" t="s">
        <v>325</v>
      </c>
      <c r="B13" s="21" t="s">
        <v>327</v>
      </c>
      <c r="D13" s="21">
        <v>24</v>
      </c>
      <c r="F13" s="21" t="s">
        <v>1081</v>
      </c>
      <c r="G13" s="21">
        <v>24</v>
      </c>
      <c r="I13" s="21" t="s">
        <v>145</v>
      </c>
    </row>
    <row r="14" spans="1:9" x14ac:dyDescent="0.25">
      <c r="A14" s="21" t="s">
        <v>325</v>
      </c>
      <c r="B14" s="21" t="s">
        <v>327</v>
      </c>
      <c r="D14" s="21">
        <v>24</v>
      </c>
      <c r="F14" s="21" t="s">
        <v>1081</v>
      </c>
      <c r="G14" s="21">
        <v>24</v>
      </c>
      <c r="I14" s="21" t="s">
        <v>1150</v>
      </c>
    </row>
    <row r="15" spans="1:9" x14ac:dyDescent="0.25">
      <c r="A15" s="21" t="s">
        <v>328</v>
      </c>
      <c r="B15" s="21" t="s">
        <v>330</v>
      </c>
      <c r="D15" s="21">
        <v>24</v>
      </c>
      <c r="F15" s="21" t="s">
        <v>1082</v>
      </c>
      <c r="G15" s="21">
        <v>24</v>
      </c>
      <c r="I15" s="21" t="s">
        <v>329</v>
      </c>
    </row>
    <row r="16" spans="1:9" x14ac:dyDescent="0.25">
      <c r="A16" s="21" t="s">
        <v>328</v>
      </c>
      <c r="B16" s="21" t="s">
        <v>330</v>
      </c>
      <c r="D16" s="21">
        <v>24</v>
      </c>
      <c r="F16" s="21" t="s">
        <v>1082</v>
      </c>
      <c r="G16" s="21">
        <v>24</v>
      </c>
      <c r="I16" s="21" t="s">
        <v>160</v>
      </c>
    </row>
    <row r="17" spans="1:9" x14ac:dyDescent="0.25">
      <c r="A17" s="21" t="s">
        <v>328</v>
      </c>
      <c r="B17" s="21" t="s">
        <v>330</v>
      </c>
      <c r="D17" s="21">
        <v>24</v>
      </c>
      <c r="F17" s="21" t="s">
        <v>1082</v>
      </c>
      <c r="G17" s="21">
        <v>24</v>
      </c>
      <c r="I17" s="21" t="s">
        <v>1146</v>
      </c>
    </row>
    <row r="18" spans="1:9" x14ac:dyDescent="0.25">
      <c r="A18" s="21" t="s">
        <v>331</v>
      </c>
      <c r="B18" s="21" t="s">
        <v>333</v>
      </c>
      <c r="D18" s="21">
        <v>24</v>
      </c>
      <c r="F18" s="21" t="s">
        <v>1083</v>
      </c>
      <c r="G18" s="21">
        <v>24</v>
      </c>
      <c r="I18" s="21" t="s">
        <v>332</v>
      </c>
    </row>
    <row r="19" spans="1:9" x14ac:dyDescent="0.25">
      <c r="A19" s="21" t="s">
        <v>331</v>
      </c>
      <c r="B19" s="21" t="s">
        <v>333</v>
      </c>
      <c r="D19" s="21">
        <v>24</v>
      </c>
      <c r="F19" s="21" t="s">
        <v>1083</v>
      </c>
      <c r="G19" s="21">
        <v>24</v>
      </c>
      <c r="I19" s="21" t="s">
        <v>613</v>
      </c>
    </row>
    <row r="20" spans="1:9" x14ac:dyDescent="0.25">
      <c r="A20" s="21" t="s">
        <v>331</v>
      </c>
      <c r="B20" s="21" t="s">
        <v>333</v>
      </c>
      <c r="D20" s="21">
        <v>24</v>
      </c>
      <c r="F20" s="21" t="s">
        <v>1083</v>
      </c>
      <c r="G20" s="21">
        <v>24</v>
      </c>
      <c r="I20" s="21" t="s">
        <v>1146</v>
      </c>
    </row>
    <row r="21" spans="1:9" x14ac:dyDescent="0.25">
      <c r="A21" s="21" t="s">
        <v>334</v>
      </c>
      <c r="B21" s="21" t="s">
        <v>335</v>
      </c>
      <c r="I21" s="21" t="s">
        <v>162</v>
      </c>
    </row>
    <row r="22" spans="1:9" x14ac:dyDescent="0.25">
      <c r="A22" s="21" t="s">
        <v>336</v>
      </c>
      <c r="B22" s="21" t="s">
        <v>337</v>
      </c>
      <c r="I22" s="21" t="s">
        <v>162</v>
      </c>
    </row>
    <row r="23" spans="1:9" x14ac:dyDescent="0.25">
      <c r="A23" s="21" t="s">
        <v>338</v>
      </c>
      <c r="B23" s="21" t="s">
        <v>339</v>
      </c>
      <c r="I23" s="21" t="s">
        <v>164</v>
      </c>
    </row>
    <row r="24" spans="1:9" x14ac:dyDescent="0.25">
      <c r="A24" s="21" t="s">
        <v>318</v>
      </c>
      <c r="B24" s="21" t="s">
        <v>319</v>
      </c>
      <c r="I24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W158"/>
  <sheetViews>
    <sheetView tabSelected="1" zoomScale="120" zoomScaleNormal="120" workbookViewId="0">
      <pane ySplit="2" topLeftCell="A87" activePane="bottomLeft" state="frozen"/>
      <selection pane="bottomLeft" activeCell="H27" sqref="H27"/>
    </sheetView>
  </sheetViews>
  <sheetFormatPr defaultRowHeight="15" x14ac:dyDescent="0.25"/>
  <cols>
    <col min="1" max="1" width="11.140625" style="8" bestFit="1" customWidth="1"/>
    <col min="2" max="2" width="10.42578125" style="8" bestFit="1" customWidth="1"/>
    <col min="3" max="3" width="9.140625" style="8"/>
    <col min="4" max="4" width="4.7109375" style="8" bestFit="1" customWidth="1"/>
    <col min="5" max="5" width="5.85546875" style="8" bestFit="1" customWidth="1"/>
    <col min="6" max="6" width="16" style="8" customWidth="1"/>
    <col min="7" max="7" width="11.42578125" style="8" customWidth="1"/>
    <col min="8" max="8" width="12.7109375" style="8" customWidth="1"/>
    <col min="9" max="9" width="11" style="21" customWidth="1"/>
    <col min="10" max="10" width="4.85546875" style="34" customWidth="1"/>
    <col min="11" max="11" width="5.28515625" style="8" customWidth="1"/>
    <col min="12" max="12" width="20.140625" style="35" customWidth="1"/>
    <col min="13" max="13" width="10.28515625" style="81" customWidth="1"/>
    <col min="14" max="14" width="13.5703125" style="81" bestFit="1" customWidth="1"/>
    <col min="15" max="15" width="11.42578125" style="81" customWidth="1"/>
    <col min="16" max="16" width="10.5703125" style="81" bestFit="1" customWidth="1"/>
    <col min="17" max="17" width="20.140625" style="81" customWidth="1"/>
    <col min="18" max="18" width="3.28515625" style="81" bestFit="1" customWidth="1"/>
    <col min="19" max="19" width="10.5703125" style="81" bestFit="1" customWidth="1"/>
    <col min="20" max="20" width="3.28515625" style="81" bestFit="1" customWidth="1"/>
  </cols>
  <sheetData>
    <row r="1" spans="1:23" x14ac:dyDescent="0.25">
      <c r="J1" s="62" t="s">
        <v>564</v>
      </c>
      <c r="K1" s="63"/>
    </row>
    <row r="2" spans="1:23" s="1" customFormat="1" x14ac:dyDescent="0.25">
      <c r="A2" s="4" t="s">
        <v>186</v>
      </c>
      <c r="B2" s="4" t="s">
        <v>1254</v>
      </c>
      <c r="C2" s="4" t="s">
        <v>1230</v>
      </c>
      <c r="D2" s="4" t="s">
        <v>138</v>
      </c>
      <c r="E2" s="4" t="s">
        <v>616</v>
      </c>
      <c r="F2" s="4" t="s">
        <v>563</v>
      </c>
      <c r="G2" s="4" t="s">
        <v>526</v>
      </c>
      <c r="H2" s="4" t="s">
        <v>647</v>
      </c>
      <c r="I2" s="20" t="s">
        <v>565</v>
      </c>
      <c r="J2" s="33" t="s">
        <v>1163</v>
      </c>
      <c r="K2" s="4" t="s">
        <v>1164</v>
      </c>
      <c r="L2" s="36" t="s">
        <v>607</v>
      </c>
      <c r="M2" s="82"/>
      <c r="N2" s="82"/>
      <c r="O2" s="82"/>
      <c r="P2" s="82"/>
      <c r="Q2" s="82"/>
      <c r="R2" s="82"/>
      <c r="S2" s="82"/>
      <c r="T2" s="82"/>
      <c r="V2"/>
      <c r="W2"/>
    </row>
    <row r="3" spans="1:23" s="1" customFormat="1" x14ac:dyDescent="0.25">
      <c r="A3" s="61" t="s">
        <v>653</v>
      </c>
      <c r="B3" s="58" t="s">
        <v>1255</v>
      </c>
      <c r="C3" s="8" t="s">
        <v>562</v>
      </c>
      <c r="D3" s="8" t="s">
        <v>1085</v>
      </c>
      <c r="E3" s="8">
        <v>100</v>
      </c>
      <c r="F3" s="8" t="s">
        <v>1095</v>
      </c>
      <c r="G3" s="8" t="s">
        <v>1078</v>
      </c>
      <c r="H3" s="8" t="s">
        <v>1079</v>
      </c>
      <c r="I3" s="21" t="s">
        <v>619</v>
      </c>
      <c r="J3" s="34">
        <v>184</v>
      </c>
      <c r="K3" s="8" t="str">
        <f>DEC2HEX(J3,3)</f>
        <v>0B8</v>
      </c>
      <c r="L3" s="35" t="s">
        <v>1165</v>
      </c>
      <c r="M3" s="81"/>
      <c r="N3" s="81" cm="1">
        <f t="array" ref="N3:N68">_xlfn.UNIQUE(F:F)</f>
        <v>0</v>
      </c>
      <c r="O3" s="81"/>
      <c r="P3" s="81"/>
      <c r="Q3" s="81"/>
      <c r="R3" s="81"/>
      <c r="S3" s="81"/>
      <c r="T3" s="81"/>
      <c r="V3" s="20" t="str" cm="1">
        <f t="array" ref="V3:V14">_xlfn.UNIQUE(J:J)</f>
        <v>VLAN</v>
      </c>
      <c r="W3" s="20"/>
    </row>
    <row r="4" spans="1:23" s="1" customFormat="1" x14ac:dyDescent="0.25">
      <c r="A4" s="61"/>
      <c r="B4" s="59"/>
      <c r="C4" s="8" t="s">
        <v>562</v>
      </c>
      <c r="D4" s="8" t="s">
        <v>1085</v>
      </c>
      <c r="E4" s="8">
        <v>100</v>
      </c>
      <c r="F4" s="8" t="s">
        <v>1095</v>
      </c>
      <c r="G4" s="8" t="s">
        <v>1078</v>
      </c>
      <c r="H4" s="8" t="s">
        <v>1079</v>
      </c>
      <c r="I4" s="21" t="s">
        <v>617</v>
      </c>
      <c r="J4" s="34">
        <v>82</v>
      </c>
      <c r="K4" s="8" t="str">
        <f t="shared" ref="K4:K61" si="0">DEC2HEX(J4,3)</f>
        <v>052</v>
      </c>
      <c r="L4" s="35" t="s">
        <v>1166</v>
      </c>
      <c r="M4" s="81"/>
      <c r="N4" s="81" t="str">
        <v>IP</v>
      </c>
      <c r="O4" s="81" t="s">
        <v>526</v>
      </c>
      <c r="P4" s="81" t="s">
        <v>647</v>
      </c>
      <c r="Q4" s="81" cm="1">
        <f t="array" aca="1" ref="Q4:Q14" ca="1">_xlfn.UNIQUE(O:O)</f>
        <v>0</v>
      </c>
      <c r="R4" s="81">
        <f ca="1">COUNTIFS(O:O,"="&amp;Q4,O:O,"SW*")</f>
        <v>0</v>
      </c>
      <c r="S4" s="81" cm="1">
        <f t="array" aca="1" ref="S4:S14" ca="1">_xlfn.UNIQUE(P:P)</f>
        <v>0</v>
      </c>
      <c r="T4" s="81">
        <f ca="1">COUNTIFS(P:P,"="&amp;S4,P:P,"SW*")</f>
        <v>0</v>
      </c>
      <c r="V4" s="20" t="str">
        <v>D</v>
      </c>
      <c r="W4" s="20" t="s">
        <v>1229</v>
      </c>
    </row>
    <row r="5" spans="1:23" s="1" customFormat="1" x14ac:dyDescent="0.25">
      <c r="A5" s="61"/>
      <c r="B5" s="60"/>
      <c r="C5" s="8" t="s">
        <v>562</v>
      </c>
      <c r="D5" s="8" t="s">
        <v>1085</v>
      </c>
      <c r="E5" s="8">
        <v>100</v>
      </c>
      <c r="F5" s="8" t="s">
        <v>1095</v>
      </c>
      <c r="G5" s="8" t="s">
        <v>1078</v>
      </c>
      <c r="H5" s="8" t="s">
        <v>1079</v>
      </c>
      <c r="I5" s="21" t="s">
        <v>618</v>
      </c>
      <c r="J5" s="34">
        <v>184</v>
      </c>
      <c r="K5" s="8" t="str">
        <f t="shared" si="0"/>
        <v>0B8</v>
      </c>
      <c r="L5" s="35" t="s">
        <v>1166</v>
      </c>
      <c r="M5" s="81"/>
      <c r="N5" s="81" t="str">
        <v>201.234.56.55</v>
      </c>
      <c r="O5" s="81" t="str">
        <f ca="1">OFFSET($G$1,_xlfn.XMATCH(N5,F:F)-1,0)</f>
        <v>SW-P-01-A</v>
      </c>
      <c r="P5" s="81" t="str">
        <f ca="1">OFFSET($G$1,_xlfn.XMATCH(N5,F:F)-1,1)</f>
        <v>SW-P-01-B</v>
      </c>
      <c r="Q5" s="81" t="str">
        <f ca="1"/>
        <v>A</v>
      </c>
      <c r="R5" s="81">
        <f t="shared" ref="R5:R68" ca="1" si="1">COUNTIFS(O:O,"="&amp;Q5,O:O,"SW*")</f>
        <v>0</v>
      </c>
      <c r="S5" s="81" t="str">
        <f ca="1"/>
        <v>B</v>
      </c>
      <c r="T5" s="81">
        <f t="shared" ref="T5:T68" ca="1" si="2">COUNTIFS(P:P,"="&amp;S5,P:P,"SW*")</f>
        <v>0</v>
      </c>
      <c r="V5" s="21">
        <v>184</v>
      </c>
      <c r="W5" s="21">
        <f>COUNTIFS(J:J,"="&amp;V5,I:I,"SV*")*5</f>
        <v>50</v>
      </c>
    </row>
    <row r="6" spans="1:23" s="1" customFormat="1" x14ac:dyDescent="0.25">
      <c r="A6" s="61" t="s">
        <v>656</v>
      </c>
      <c r="B6" s="58" t="s">
        <v>1255</v>
      </c>
      <c r="C6" s="8" t="s">
        <v>562</v>
      </c>
      <c r="D6" s="8" t="s">
        <v>1085</v>
      </c>
      <c r="E6" s="8">
        <v>100</v>
      </c>
      <c r="F6" s="8" t="s">
        <v>1096</v>
      </c>
      <c r="G6" s="8" t="s">
        <v>1078</v>
      </c>
      <c r="H6" s="8" t="s">
        <v>1079</v>
      </c>
      <c r="I6" s="21" t="s">
        <v>619</v>
      </c>
      <c r="J6" s="34">
        <v>184</v>
      </c>
      <c r="K6" s="8" t="str">
        <f t="shared" si="0"/>
        <v>0B8</v>
      </c>
      <c r="L6" s="35" t="s">
        <v>1167</v>
      </c>
      <c r="M6" s="81"/>
      <c r="N6" s="81" t="str">
        <v>201.234.56.56</v>
      </c>
      <c r="O6" s="81" t="str">
        <f ca="1">OFFSET($G$1,_xlfn.XMATCH(N6,F:F)-1,0)</f>
        <v>SW-P-01-A</v>
      </c>
      <c r="P6" s="81" t="str">
        <f ca="1">OFFSET($G$1,_xlfn.XMATCH(N6,F:F)-1,1)</f>
        <v>SW-P-01-B</v>
      </c>
      <c r="Q6" s="81" t="str">
        <f ca="1"/>
        <v>SW-P-01-A</v>
      </c>
      <c r="R6" s="81">
        <f t="shared" ca="1" si="1"/>
        <v>16</v>
      </c>
      <c r="S6" s="81" t="str">
        <f ca="1"/>
        <v>SW-P-01-B</v>
      </c>
      <c r="T6" s="81">
        <f t="shared" ca="1" si="2"/>
        <v>16</v>
      </c>
      <c r="V6" s="21">
        <v>82</v>
      </c>
      <c r="W6" s="21">
        <f>COUNTIFS(J:J,"="&amp;V6,I:I,"SV*")*5</f>
        <v>0</v>
      </c>
    </row>
    <row r="7" spans="1:23" s="1" customFormat="1" x14ac:dyDescent="0.25">
      <c r="A7" s="61"/>
      <c r="B7" s="59"/>
      <c r="C7" s="8" t="s">
        <v>562</v>
      </c>
      <c r="D7" s="8" t="s">
        <v>1085</v>
      </c>
      <c r="E7" s="8">
        <v>100</v>
      </c>
      <c r="F7" s="8" t="s">
        <v>1096</v>
      </c>
      <c r="G7" s="8" t="s">
        <v>1078</v>
      </c>
      <c r="H7" s="8" t="s">
        <v>1079</v>
      </c>
      <c r="I7" s="21" t="s">
        <v>617</v>
      </c>
      <c r="J7" s="34">
        <v>82</v>
      </c>
      <c r="K7" s="8" t="str">
        <f t="shared" si="0"/>
        <v>052</v>
      </c>
      <c r="L7" s="35" t="s">
        <v>1168</v>
      </c>
      <c r="M7" s="81"/>
      <c r="N7" s="81" t="str">
        <v>201.234.56.57</v>
      </c>
      <c r="O7" s="81" t="str">
        <f ca="1">OFFSET($G$1,_xlfn.XMATCH(N7,F:F)-1,0)</f>
        <v>SW-P-02-A</v>
      </c>
      <c r="P7" s="81" t="str">
        <f ca="1">OFFSET($G$1,_xlfn.XMATCH(N7,F:F)-1,1)</f>
        <v>SW-P-02-B</v>
      </c>
      <c r="Q7" s="81" t="str">
        <f ca="1"/>
        <v>SW-P-02-A</v>
      </c>
      <c r="R7" s="81">
        <f t="shared" ca="1" si="1"/>
        <v>14</v>
      </c>
      <c r="S7" s="81" t="str">
        <f ca="1"/>
        <v>SW-P-02-B</v>
      </c>
      <c r="T7" s="81">
        <f t="shared" ca="1" si="2"/>
        <v>14</v>
      </c>
      <c r="V7" s="21">
        <v>284</v>
      </c>
      <c r="W7" s="21">
        <f>COUNTIFS(J:J,"="&amp;V7,I:I,"SV*")*5</f>
        <v>40</v>
      </c>
    </row>
    <row r="8" spans="1:23" s="1" customFormat="1" x14ac:dyDescent="0.25">
      <c r="A8" s="61"/>
      <c r="B8" s="60"/>
      <c r="C8" s="8" t="s">
        <v>562</v>
      </c>
      <c r="D8" s="8" t="s">
        <v>1085</v>
      </c>
      <c r="E8" s="8">
        <v>100</v>
      </c>
      <c r="F8" s="8" t="s">
        <v>1096</v>
      </c>
      <c r="G8" s="8" t="s">
        <v>1078</v>
      </c>
      <c r="H8" s="8" t="s">
        <v>1079</v>
      </c>
      <c r="I8" s="21" t="s">
        <v>618</v>
      </c>
      <c r="J8" s="34">
        <v>184</v>
      </c>
      <c r="K8" s="8" t="str">
        <f t="shared" si="0"/>
        <v>0B8</v>
      </c>
      <c r="L8" s="35" t="s">
        <v>1168</v>
      </c>
      <c r="M8" s="81"/>
      <c r="N8" s="81" t="str">
        <v>201.234.56.58</v>
      </c>
      <c r="O8" s="81" t="str">
        <f ca="1">OFFSET($G$1,_xlfn.XMATCH(N8,F:F)-1,0)</f>
        <v>SW-P-02-A</v>
      </c>
      <c r="P8" s="81" t="str">
        <f ca="1">OFFSET($G$1,_xlfn.XMATCH(N8,F:F)-1,1)</f>
        <v>SW-P-02-B</v>
      </c>
      <c r="Q8" s="81" t="str">
        <f ca="1"/>
        <v>SW-P-03-A</v>
      </c>
      <c r="R8" s="81">
        <f t="shared" ca="1" si="1"/>
        <v>12</v>
      </c>
      <c r="S8" s="81" t="str">
        <f ca="1"/>
        <v>SW-P-03-B</v>
      </c>
      <c r="T8" s="81">
        <f t="shared" ca="1" si="2"/>
        <v>12</v>
      </c>
      <c r="V8" s="21">
        <v>384</v>
      </c>
      <c r="W8" s="21">
        <f>COUNTIFS(J:J,"="&amp;V8,I:I,"SV*")*5</f>
        <v>30</v>
      </c>
    </row>
    <row r="9" spans="1:23" s="1" customFormat="1" x14ac:dyDescent="0.25">
      <c r="A9" s="61" t="s">
        <v>654</v>
      </c>
      <c r="B9" s="58" t="s">
        <v>1255</v>
      </c>
      <c r="C9" s="8" t="s">
        <v>562</v>
      </c>
      <c r="D9" s="8" t="s">
        <v>1085</v>
      </c>
      <c r="E9" s="8">
        <v>100</v>
      </c>
      <c r="F9" s="8" t="s">
        <v>1098</v>
      </c>
      <c r="G9" s="8" t="s">
        <v>1080</v>
      </c>
      <c r="H9" s="8" t="s">
        <v>1081</v>
      </c>
      <c r="I9" s="21" t="s">
        <v>619</v>
      </c>
      <c r="J9" s="34">
        <v>284</v>
      </c>
      <c r="K9" s="8" t="str">
        <f t="shared" si="0"/>
        <v>11C</v>
      </c>
      <c r="L9" s="35" t="s">
        <v>1169</v>
      </c>
      <c r="M9" s="81"/>
      <c r="N9" s="81" t="str">
        <v>201.234.56.59</v>
      </c>
      <c r="O9" s="81" t="str">
        <f ca="1">OFFSET($G$1,_xlfn.XMATCH(N9,F:F)-1,0)</f>
        <v>SW-P-03-A</v>
      </c>
      <c r="P9" s="81" t="str">
        <f ca="1">OFFSET($G$1,_xlfn.XMATCH(N9,F:F)-1,1)</f>
        <v>SW-P-03-B</v>
      </c>
      <c r="Q9" s="81" t="str">
        <f ca="1"/>
        <v>SW-E-01-A</v>
      </c>
      <c r="R9" s="81">
        <f t="shared" ca="1" si="1"/>
        <v>6</v>
      </c>
      <c r="S9" s="81" t="str">
        <f ca="1"/>
        <v>SW-E-01-B</v>
      </c>
      <c r="T9" s="81">
        <f t="shared" ca="1" si="2"/>
        <v>6</v>
      </c>
      <c r="V9" s="21">
        <v>186</v>
      </c>
      <c r="W9" s="21">
        <f>COUNTIFS(J:J,"="&amp;V9,I:I,"SV*")*5</f>
        <v>10</v>
      </c>
    </row>
    <row r="10" spans="1:23" s="1" customFormat="1" x14ac:dyDescent="0.25">
      <c r="A10" s="61"/>
      <c r="B10" s="59"/>
      <c r="C10" s="8" t="s">
        <v>562</v>
      </c>
      <c r="D10" s="8" t="s">
        <v>1085</v>
      </c>
      <c r="E10" s="8">
        <v>100</v>
      </c>
      <c r="F10" s="8" t="s">
        <v>1098</v>
      </c>
      <c r="G10" s="8" t="s">
        <v>1080</v>
      </c>
      <c r="H10" s="8" t="s">
        <v>1081</v>
      </c>
      <c r="I10" s="21" t="s">
        <v>617</v>
      </c>
      <c r="J10" s="34">
        <v>82</v>
      </c>
      <c r="K10" s="8" t="str">
        <f t="shared" si="0"/>
        <v>052</v>
      </c>
      <c r="L10" s="35" t="s">
        <v>1170</v>
      </c>
      <c r="M10" s="81"/>
      <c r="N10" s="81" t="str">
        <v>201.234.56.60</v>
      </c>
      <c r="O10" s="81" t="str">
        <f ca="1">OFFSET($G$1,_xlfn.XMATCH(N10,F:F)-1,0)</f>
        <v>SW-P-03-A</v>
      </c>
      <c r="P10" s="81" t="str">
        <f ca="1">OFFSET($G$1,_xlfn.XMATCH(N10,F:F)-1,1)</f>
        <v>SW-P-03-B</v>
      </c>
      <c r="Q10" s="81" t="str">
        <f ca="1"/>
        <v>SW-E-02-A</v>
      </c>
      <c r="R10" s="81">
        <f t="shared" ca="1" si="1"/>
        <v>6</v>
      </c>
      <c r="S10" s="81" t="str">
        <f ca="1"/>
        <v>SW-E-02-B</v>
      </c>
      <c r="T10" s="81">
        <f t="shared" ca="1" si="2"/>
        <v>6</v>
      </c>
      <c r="V10" s="21">
        <v>83</v>
      </c>
      <c r="W10" s="21">
        <f>COUNTIFS(J:J,"="&amp;V10,I:I,"SV*")*5</f>
        <v>20</v>
      </c>
    </row>
    <row r="11" spans="1:23" s="1" customFormat="1" x14ac:dyDescent="0.25">
      <c r="A11" s="61"/>
      <c r="B11" s="60"/>
      <c r="C11" s="8" t="s">
        <v>562</v>
      </c>
      <c r="D11" s="8" t="s">
        <v>1085</v>
      </c>
      <c r="E11" s="8">
        <v>100</v>
      </c>
      <c r="F11" s="8" t="s">
        <v>1098</v>
      </c>
      <c r="G11" s="8" t="s">
        <v>1080</v>
      </c>
      <c r="H11" s="8" t="s">
        <v>1081</v>
      </c>
      <c r="I11" s="21" t="s">
        <v>618</v>
      </c>
      <c r="J11" s="34">
        <v>284</v>
      </c>
      <c r="K11" s="8" t="str">
        <f t="shared" si="0"/>
        <v>11C</v>
      </c>
      <c r="L11" s="35" t="s">
        <v>1170</v>
      </c>
      <c r="M11" s="81"/>
      <c r="N11" s="81" t="str">
        <v>201.234.56.61</v>
      </c>
      <c r="O11" s="81" t="str">
        <f ca="1">OFFSET($G$1,_xlfn.XMATCH(N11,F:F)-1,0)</f>
        <v>SW-P-01-A</v>
      </c>
      <c r="P11" s="81" t="str">
        <f ca="1">OFFSET($G$1,_xlfn.XMATCH(N11,F:F)-1,1)</f>
        <v>SW-P-01-B</v>
      </c>
      <c r="Q11" s="81" t="str">
        <f ca="1"/>
        <v>SW-E-03-A</v>
      </c>
      <c r="R11" s="81">
        <f t="shared" ca="1" si="1"/>
        <v>6</v>
      </c>
      <c r="S11" s="81" t="str">
        <f ca="1"/>
        <v>SW-E-03-B</v>
      </c>
      <c r="T11" s="81">
        <f t="shared" ca="1" si="2"/>
        <v>6</v>
      </c>
      <c r="V11" s="21">
        <v>97</v>
      </c>
      <c r="W11" s="21">
        <f>COUNTIFS(J:J,"="&amp;V11,I:I,"SV*")*5</f>
        <v>0</v>
      </c>
    </row>
    <row r="12" spans="1:23" s="1" customFormat="1" x14ac:dyDescent="0.25">
      <c r="A12" s="61" t="s">
        <v>657</v>
      </c>
      <c r="B12" s="58" t="s">
        <v>1255</v>
      </c>
      <c r="C12" s="8" t="s">
        <v>562</v>
      </c>
      <c r="D12" s="8" t="s">
        <v>1085</v>
      </c>
      <c r="E12" s="8">
        <v>100</v>
      </c>
      <c r="F12" s="8" t="s">
        <v>1099</v>
      </c>
      <c r="G12" s="8" t="s">
        <v>1080</v>
      </c>
      <c r="H12" s="8" t="s">
        <v>1081</v>
      </c>
      <c r="I12" s="21" t="s">
        <v>619</v>
      </c>
      <c r="J12" s="34">
        <v>284</v>
      </c>
      <c r="K12" s="8" t="str">
        <f t="shared" si="0"/>
        <v>11C</v>
      </c>
      <c r="L12" s="35" t="s">
        <v>1171</v>
      </c>
      <c r="M12" s="81"/>
      <c r="N12" s="81" t="str">
        <v>201.234.56.62</v>
      </c>
      <c r="O12" s="81" t="str">
        <f ca="1">OFFSET($G$1,_xlfn.XMATCH(N12,F:F)-1,0)</f>
        <v>SW-P-01-A</v>
      </c>
      <c r="P12" s="81" t="str">
        <f ca="1">OFFSET($G$1,_xlfn.XMATCH(N12,F:F)-1,1)</f>
        <v>SW-P-01-B</v>
      </c>
      <c r="Q12" s="81" t="str">
        <f ca="1"/>
        <v>SW-P-90-A</v>
      </c>
      <c r="R12" s="81">
        <f t="shared" ca="1" si="1"/>
        <v>2</v>
      </c>
      <c r="S12" s="81" t="str">
        <f ca="1"/>
        <v>SW-P-90-B</v>
      </c>
      <c r="T12" s="81">
        <f t="shared" ca="1" si="2"/>
        <v>2</v>
      </c>
      <c r="V12" s="21">
        <v>0</v>
      </c>
      <c r="W12" s="21">
        <f>COUNTIFS(J:J,"="&amp;V12,I:I,"SV*")*5</f>
        <v>0</v>
      </c>
    </row>
    <row r="13" spans="1:23" s="1" customFormat="1" x14ac:dyDescent="0.25">
      <c r="A13" s="61"/>
      <c r="B13" s="59"/>
      <c r="C13" s="8" t="s">
        <v>562</v>
      </c>
      <c r="D13" s="8" t="s">
        <v>1085</v>
      </c>
      <c r="E13" s="8">
        <v>100</v>
      </c>
      <c r="F13" s="8" t="s">
        <v>1099</v>
      </c>
      <c r="G13" s="8" t="s">
        <v>1080</v>
      </c>
      <c r="H13" s="8" t="s">
        <v>1081</v>
      </c>
      <c r="I13" s="21" t="s">
        <v>617</v>
      </c>
      <c r="J13" s="34">
        <v>82</v>
      </c>
      <c r="K13" s="8" t="str">
        <f t="shared" si="0"/>
        <v>052</v>
      </c>
      <c r="L13" s="35" t="s">
        <v>1172</v>
      </c>
      <c r="M13" s="81"/>
      <c r="N13" s="81" t="str">
        <v>201.234.56.63</v>
      </c>
      <c r="O13" s="81" t="str">
        <f ca="1">OFFSET($G$1,_xlfn.XMATCH(N13,F:F)-1,0)</f>
        <v>SW-P-01-A</v>
      </c>
      <c r="P13" s="81" t="str">
        <f ca="1">OFFSET($G$1,_xlfn.XMATCH(N13,F:F)-1,1)</f>
        <v>SW-P-01-B</v>
      </c>
      <c r="Q13" s="81" t="str">
        <f ca="1"/>
        <v>SW-E-90-A</v>
      </c>
      <c r="R13" s="81">
        <f t="shared" ca="1" si="1"/>
        <v>2</v>
      </c>
      <c r="S13" s="81" t="str">
        <f ca="1"/>
        <v>SW-E-90-B</v>
      </c>
      <c r="T13" s="81">
        <f t="shared" ca="1" si="2"/>
        <v>2</v>
      </c>
      <c r="V13" s="21">
        <v>85</v>
      </c>
      <c r="W13" s="21">
        <f>COUNTIFS(J:J,"="&amp;V13,I:I,"SV*")*5</f>
        <v>0</v>
      </c>
    </row>
    <row r="14" spans="1:23" s="1" customFormat="1" x14ac:dyDescent="0.25">
      <c r="A14" s="61"/>
      <c r="B14" s="60"/>
      <c r="C14" s="8" t="s">
        <v>562</v>
      </c>
      <c r="D14" s="8" t="s">
        <v>1085</v>
      </c>
      <c r="E14" s="8">
        <v>100</v>
      </c>
      <c r="F14" s="8" t="s">
        <v>1099</v>
      </c>
      <c r="G14" s="8" t="s">
        <v>1080</v>
      </c>
      <c r="H14" s="8" t="s">
        <v>1081</v>
      </c>
      <c r="I14" s="21" t="s">
        <v>618</v>
      </c>
      <c r="J14" s="34">
        <v>284</v>
      </c>
      <c r="K14" s="8" t="str">
        <f t="shared" si="0"/>
        <v>11C</v>
      </c>
      <c r="L14" s="35" t="s">
        <v>1172</v>
      </c>
      <c r="M14" s="81"/>
      <c r="N14" s="81" t="str">
        <v>201.234.56.64</v>
      </c>
      <c r="O14" s="81" t="str">
        <f ca="1">OFFSET($G$1,_xlfn.XMATCH(N14,F:F)-1,0)</f>
        <v>SW-P-01-A</v>
      </c>
      <c r="P14" s="81" t="str">
        <f ca="1">OFFSET($G$1,_xlfn.XMATCH(N14,F:F)-1,1)</f>
        <v>SW-P-01-B</v>
      </c>
      <c r="Q14" s="81">
        <f ca="1"/>
        <v>0</v>
      </c>
      <c r="R14" s="81">
        <f t="shared" ca="1" si="1"/>
        <v>0</v>
      </c>
      <c r="S14" s="81">
        <f ca="1"/>
        <v>0</v>
      </c>
      <c r="T14" s="81">
        <f t="shared" ca="1" si="2"/>
        <v>0</v>
      </c>
      <c r="V14" s="21">
        <v>0</v>
      </c>
      <c r="W14" s="21"/>
    </row>
    <row r="15" spans="1:23" s="1" customFormat="1" x14ac:dyDescent="0.25">
      <c r="A15" s="61" t="s">
        <v>655</v>
      </c>
      <c r="B15" s="58" t="s">
        <v>1255</v>
      </c>
      <c r="C15" s="8" t="s">
        <v>562</v>
      </c>
      <c r="D15" s="8" t="s">
        <v>1085</v>
      </c>
      <c r="E15" s="8">
        <v>100</v>
      </c>
      <c r="F15" s="8" t="s">
        <v>1100</v>
      </c>
      <c r="G15" s="8" t="s">
        <v>1082</v>
      </c>
      <c r="H15" s="8" t="s">
        <v>1083</v>
      </c>
      <c r="I15" s="21" t="s">
        <v>619</v>
      </c>
      <c r="J15" s="34">
        <v>384</v>
      </c>
      <c r="K15" s="8" t="str">
        <f t="shared" si="0"/>
        <v>180</v>
      </c>
      <c r="L15" s="35" t="s">
        <v>1173</v>
      </c>
      <c r="M15" s="81"/>
      <c r="N15" s="81" t="str">
        <v>201.234.56.65</v>
      </c>
      <c r="O15" s="81" t="str">
        <f ca="1">OFFSET($G$1,_xlfn.XMATCH(N15,F:F)-1,0)</f>
        <v>SW-P-01-A</v>
      </c>
      <c r="P15" s="81" t="str">
        <f ca="1">OFFSET($G$1,_xlfn.XMATCH(N15,F:F)-1,1)</f>
        <v>SW-P-01-B</v>
      </c>
      <c r="Q15" s="81"/>
      <c r="R15" s="81">
        <f t="shared" ca="1" si="1"/>
        <v>0</v>
      </c>
      <c r="S15" s="81"/>
      <c r="T15" s="81">
        <f t="shared" ca="1" si="2"/>
        <v>0</v>
      </c>
      <c r="V15" s="21"/>
      <c r="W15" s="21"/>
    </row>
    <row r="16" spans="1:23" s="1" customFormat="1" x14ac:dyDescent="0.25">
      <c r="A16" s="61"/>
      <c r="B16" s="59"/>
      <c r="C16" s="8" t="s">
        <v>562</v>
      </c>
      <c r="D16" s="8" t="s">
        <v>1085</v>
      </c>
      <c r="E16" s="8">
        <v>100</v>
      </c>
      <c r="F16" s="8" t="s">
        <v>1100</v>
      </c>
      <c r="G16" s="8" t="s">
        <v>1082</v>
      </c>
      <c r="H16" s="8" t="s">
        <v>1083</v>
      </c>
      <c r="I16" s="21" t="s">
        <v>617</v>
      </c>
      <c r="J16" s="34">
        <v>82</v>
      </c>
      <c r="K16" s="8" t="str">
        <f t="shared" si="0"/>
        <v>052</v>
      </c>
      <c r="L16" s="35" t="s">
        <v>1174</v>
      </c>
      <c r="M16" s="81"/>
      <c r="N16" s="81" t="str">
        <v>201.234.56.66</v>
      </c>
      <c r="O16" s="81" t="str">
        <f ca="1">OFFSET($G$1,_xlfn.XMATCH(N16,F:F)-1,0)</f>
        <v>SW-P-01-A</v>
      </c>
      <c r="P16" s="81" t="str">
        <f ca="1">OFFSET($G$1,_xlfn.XMATCH(N16,F:F)-1,1)</f>
        <v>SW-P-01-B</v>
      </c>
      <c r="Q16" s="81"/>
      <c r="R16" s="81">
        <f t="shared" ca="1" si="1"/>
        <v>0</v>
      </c>
      <c r="S16" s="81"/>
      <c r="T16" s="81">
        <f t="shared" ca="1" si="2"/>
        <v>0</v>
      </c>
      <c r="V16" s="21"/>
      <c r="W16" s="21"/>
    </row>
    <row r="17" spans="1:23" s="1" customFormat="1" x14ac:dyDescent="0.25">
      <c r="A17" s="61"/>
      <c r="B17" s="60"/>
      <c r="C17" s="8" t="s">
        <v>562</v>
      </c>
      <c r="D17" s="8" t="s">
        <v>1085</v>
      </c>
      <c r="E17" s="8">
        <v>100</v>
      </c>
      <c r="F17" s="8" t="s">
        <v>1100</v>
      </c>
      <c r="G17" s="8" t="s">
        <v>1082</v>
      </c>
      <c r="H17" s="8" t="s">
        <v>1083</v>
      </c>
      <c r="I17" s="21" t="s">
        <v>618</v>
      </c>
      <c r="J17" s="34">
        <v>384</v>
      </c>
      <c r="K17" s="8" t="str">
        <f t="shared" si="0"/>
        <v>180</v>
      </c>
      <c r="L17" s="35" t="s">
        <v>1174</v>
      </c>
      <c r="M17" s="81"/>
      <c r="N17" s="81" t="str">
        <v>201.234.56.200</v>
      </c>
      <c r="O17" s="81" t="str">
        <f ca="1">OFFSET($G$1,_xlfn.XMATCH(N17,F:F)-1,0)</f>
        <v>SW-P-01-A</v>
      </c>
      <c r="P17" s="81" t="str">
        <f ca="1">OFFSET($G$1,_xlfn.XMATCH(N17,F:F)-1,1)</f>
        <v>SW-P-01-B</v>
      </c>
      <c r="Q17" s="81"/>
      <c r="R17" s="81">
        <f t="shared" ca="1" si="1"/>
        <v>0</v>
      </c>
      <c r="S17" s="81"/>
      <c r="T17" s="81">
        <f t="shared" ca="1" si="2"/>
        <v>0</v>
      </c>
      <c r="V17" s="21"/>
      <c r="W17" s="21"/>
    </row>
    <row r="18" spans="1:23" s="1" customFormat="1" x14ac:dyDescent="0.25">
      <c r="A18" s="61" t="s">
        <v>658</v>
      </c>
      <c r="B18" s="58" t="s">
        <v>1255</v>
      </c>
      <c r="C18" s="8" t="s">
        <v>562</v>
      </c>
      <c r="D18" s="8" t="s">
        <v>1085</v>
      </c>
      <c r="E18" s="8">
        <v>100</v>
      </c>
      <c r="F18" s="8" t="s">
        <v>1097</v>
      </c>
      <c r="G18" s="8" t="s">
        <v>1082</v>
      </c>
      <c r="H18" s="8" t="s">
        <v>1083</v>
      </c>
      <c r="I18" s="21" t="s">
        <v>619</v>
      </c>
      <c r="J18" s="34">
        <v>384</v>
      </c>
      <c r="K18" s="8" t="str">
        <f t="shared" si="0"/>
        <v>180</v>
      </c>
      <c r="L18" s="35" t="s">
        <v>1175</v>
      </c>
      <c r="M18" s="81"/>
      <c r="N18" s="81" t="str">
        <v>201.234.56.201</v>
      </c>
      <c r="O18" s="81" t="str">
        <f ca="1">OFFSET($G$1,_xlfn.XMATCH(N18,F:F)-1,0)</f>
        <v>SW-P-01-A</v>
      </c>
      <c r="P18" s="81" t="str">
        <f ca="1">OFFSET($G$1,_xlfn.XMATCH(N18,F:F)-1,1)</f>
        <v>SW-P-01-B</v>
      </c>
      <c r="Q18" s="81"/>
      <c r="R18" s="81">
        <f t="shared" ca="1" si="1"/>
        <v>0</v>
      </c>
      <c r="S18" s="81"/>
      <c r="T18" s="81">
        <f t="shared" ca="1" si="2"/>
        <v>0</v>
      </c>
      <c r="V18" s="21"/>
      <c r="W18" s="21"/>
    </row>
    <row r="19" spans="1:23" s="1" customFormat="1" x14ac:dyDescent="0.25">
      <c r="A19" s="61"/>
      <c r="B19" s="59"/>
      <c r="C19" s="8" t="s">
        <v>562</v>
      </c>
      <c r="D19" s="8" t="s">
        <v>1085</v>
      </c>
      <c r="E19" s="8">
        <v>100</v>
      </c>
      <c r="F19" s="8" t="s">
        <v>1097</v>
      </c>
      <c r="G19" s="8" t="s">
        <v>1082</v>
      </c>
      <c r="H19" s="8" t="s">
        <v>1083</v>
      </c>
      <c r="I19" s="21" t="s">
        <v>617</v>
      </c>
      <c r="J19" s="34">
        <v>82</v>
      </c>
      <c r="K19" s="8" t="str">
        <f t="shared" si="0"/>
        <v>052</v>
      </c>
      <c r="L19" s="35" t="s">
        <v>1176</v>
      </c>
      <c r="M19" s="81"/>
      <c r="N19" s="81" t="str">
        <v>201.234.56.67</v>
      </c>
      <c r="O19" s="81" t="str">
        <f ca="1">OFFSET($G$1,_xlfn.XMATCH(N19,F:F)-1,0)</f>
        <v>SW-P-02-A</v>
      </c>
      <c r="P19" s="81" t="str">
        <f ca="1">OFFSET($G$1,_xlfn.XMATCH(N19,F:F)-1,1)</f>
        <v>SW-P-02-B</v>
      </c>
      <c r="Q19" s="81"/>
      <c r="R19" s="81">
        <f t="shared" ca="1" si="1"/>
        <v>0</v>
      </c>
      <c r="S19" s="81"/>
      <c r="T19" s="81">
        <f t="shared" ca="1" si="2"/>
        <v>0</v>
      </c>
      <c r="V19"/>
      <c r="W19"/>
    </row>
    <row r="20" spans="1:23" s="1" customFormat="1" x14ac:dyDescent="0.25">
      <c r="A20" s="61"/>
      <c r="B20" s="60"/>
      <c r="C20" s="8" t="s">
        <v>562</v>
      </c>
      <c r="D20" s="8" t="s">
        <v>1085</v>
      </c>
      <c r="E20" s="8">
        <v>100</v>
      </c>
      <c r="F20" s="8" t="s">
        <v>1097</v>
      </c>
      <c r="G20" s="8" t="s">
        <v>1082</v>
      </c>
      <c r="H20" s="8" t="s">
        <v>1083</v>
      </c>
      <c r="I20" s="21" t="s">
        <v>618</v>
      </c>
      <c r="J20" s="34">
        <v>384</v>
      </c>
      <c r="K20" s="8" t="str">
        <f t="shared" si="0"/>
        <v>180</v>
      </c>
      <c r="L20" s="35" t="s">
        <v>1176</v>
      </c>
      <c r="M20" s="81"/>
      <c r="N20" s="81" t="str">
        <v>201.234.56.68</v>
      </c>
      <c r="O20" s="81" t="str">
        <f ca="1">OFFSET($G$1,_xlfn.XMATCH(N20,F:F)-1,0)</f>
        <v>SW-P-02-A</v>
      </c>
      <c r="P20" s="81" t="str">
        <f ca="1">OFFSET($G$1,_xlfn.XMATCH(N20,F:F)-1,1)</f>
        <v>SW-P-02-B</v>
      </c>
      <c r="Q20" s="81"/>
      <c r="R20" s="81">
        <f t="shared" ca="1" si="1"/>
        <v>0</v>
      </c>
      <c r="S20" s="81"/>
      <c r="T20" s="81">
        <f t="shared" ca="1" si="2"/>
        <v>0</v>
      </c>
      <c r="V20"/>
      <c r="W20"/>
    </row>
    <row r="21" spans="1:23" s="1" customFormat="1" x14ac:dyDescent="0.25">
      <c r="A21" s="61" t="s">
        <v>178</v>
      </c>
      <c r="B21" s="58" t="s">
        <v>1255</v>
      </c>
      <c r="C21" s="8" t="s">
        <v>562</v>
      </c>
      <c r="D21" s="8" t="s">
        <v>1085</v>
      </c>
      <c r="E21" s="8">
        <v>100</v>
      </c>
      <c r="F21" s="8" t="s">
        <v>1101</v>
      </c>
      <c r="G21" s="8" t="s">
        <v>1078</v>
      </c>
      <c r="H21" s="8" t="s">
        <v>1079</v>
      </c>
      <c r="I21" s="21" t="s">
        <v>619</v>
      </c>
      <c r="J21" s="34">
        <v>184</v>
      </c>
      <c r="K21" s="8" t="str">
        <f t="shared" si="0"/>
        <v>0B8</v>
      </c>
      <c r="L21" s="35" t="s">
        <v>1177</v>
      </c>
      <c r="M21" s="81"/>
      <c r="N21" s="81" t="str">
        <v>201.234.56.69</v>
      </c>
      <c r="O21" s="81" t="str">
        <f ca="1">OFFSET($G$1,_xlfn.XMATCH(N21,F:F)-1,0)</f>
        <v>SW-P-02-A</v>
      </c>
      <c r="P21" s="81" t="str">
        <f ca="1">OFFSET($G$1,_xlfn.XMATCH(N21,F:F)-1,1)</f>
        <v>SW-P-02-B</v>
      </c>
      <c r="Q21" s="81"/>
      <c r="R21" s="81">
        <f t="shared" ca="1" si="1"/>
        <v>0</v>
      </c>
      <c r="S21" s="81"/>
      <c r="T21" s="81">
        <f t="shared" ca="1" si="2"/>
        <v>0</v>
      </c>
      <c r="V21"/>
      <c r="W21"/>
    </row>
    <row r="22" spans="1:23" s="1" customFormat="1" x14ac:dyDescent="0.25">
      <c r="A22" s="61"/>
      <c r="B22" s="59"/>
      <c r="C22" s="8" t="s">
        <v>562</v>
      </c>
      <c r="D22" s="8" t="s">
        <v>1085</v>
      </c>
      <c r="E22" s="8">
        <v>100</v>
      </c>
      <c r="F22" s="8" t="s">
        <v>1101</v>
      </c>
      <c r="G22" s="8" t="s">
        <v>1078</v>
      </c>
      <c r="H22" s="8" t="s">
        <v>1079</v>
      </c>
      <c r="I22" s="21" t="s">
        <v>617</v>
      </c>
      <c r="J22" s="34">
        <v>82</v>
      </c>
      <c r="K22" s="8" t="str">
        <f t="shared" si="0"/>
        <v>052</v>
      </c>
      <c r="L22" s="35" t="s">
        <v>1178</v>
      </c>
      <c r="M22" s="81"/>
      <c r="N22" s="81" t="str">
        <v>201.234.56.70</v>
      </c>
      <c r="O22" s="81" t="str">
        <f ca="1">OFFSET($G$1,_xlfn.XMATCH(N22,F:F)-1,0)</f>
        <v>SW-P-02-A</v>
      </c>
      <c r="P22" s="81" t="str">
        <f ca="1">OFFSET($G$1,_xlfn.XMATCH(N22,F:F)-1,1)</f>
        <v>SW-P-02-B</v>
      </c>
      <c r="Q22" s="81"/>
      <c r="R22" s="81">
        <f t="shared" ca="1" si="1"/>
        <v>0</v>
      </c>
      <c r="S22" s="81"/>
      <c r="T22" s="81">
        <f t="shared" ca="1" si="2"/>
        <v>0</v>
      </c>
      <c r="V22"/>
      <c r="W22"/>
    </row>
    <row r="23" spans="1:23" s="1" customFormat="1" x14ac:dyDescent="0.25">
      <c r="A23" s="61"/>
      <c r="B23" s="60"/>
      <c r="C23" s="8" t="s">
        <v>562</v>
      </c>
      <c r="D23" s="8" t="s">
        <v>1085</v>
      </c>
      <c r="E23" s="8">
        <v>100</v>
      </c>
      <c r="F23" s="8" t="s">
        <v>1101</v>
      </c>
      <c r="G23" s="8" t="s">
        <v>1078</v>
      </c>
      <c r="H23" s="8" t="s">
        <v>1079</v>
      </c>
      <c r="I23" s="21" t="s">
        <v>618</v>
      </c>
      <c r="J23" s="34">
        <v>184</v>
      </c>
      <c r="K23" s="8" t="str">
        <f t="shared" si="0"/>
        <v>0B8</v>
      </c>
      <c r="L23" s="35" t="s">
        <v>1178</v>
      </c>
      <c r="M23" s="81"/>
      <c r="N23" s="81" t="str">
        <v>201.234.56.71</v>
      </c>
      <c r="O23" s="81" t="str">
        <f ca="1">OFFSET($G$1,_xlfn.XMATCH(N23,F:F)-1,0)</f>
        <v>SW-P-02-A</v>
      </c>
      <c r="P23" s="81" t="str">
        <f ca="1">OFFSET($G$1,_xlfn.XMATCH(N23,F:F)-1,1)</f>
        <v>SW-P-02-B</v>
      </c>
      <c r="Q23" s="81"/>
      <c r="R23" s="81">
        <f t="shared" ca="1" si="1"/>
        <v>0</v>
      </c>
      <c r="S23" s="81"/>
      <c r="T23" s="81">
        <f t="shared" ca="1" si="2"/>
        <v>0</v>
      </c>
      <c r="V23"/>
      <c r="W23"/>
    </row>
    <row r="24" spans="1:23" s="1" customFormat="1" x14ac:dyDescent="0.25">
      <c r="A24" s="61" t="s">
        <v>179</v>
      </c>
      <c r="B24" s="58" t="s">
        <v>1255</v>
      </c>
      <c r="C24" s="8" t="s">
        <v>562</v>
      </c>
      <c r="D24" s="8" t="s">
        <v>1085</v>
      </c>
      <c r="E24" s="8">
        <v>100</v>
      </c>
      <c r="F24" s="8" t="s">
        <v>1102</v>
      </c>
      <c r="G24" s="8" t="s">
        <v>1078</v>
      </c>
      <c r="H24" s="8" t="s">
        <v>1079</v>
      </c>
      <c r="I24" s="21" t="s">
        <v>619</v>
      </c>
      <c r="J24" s="34">
        <v>184</v>
      </c>
      <c r="K24" s="8" t="str">
        <f t="shared" si="0"/>
        <v>0B8</v>
      </c>
      <c r="L24" s="35" t="s">
        <v>1179</v>
      </c>
      <c r="M24" s="81"/>
      <c r="N24" s="81" t="str">
        <v>201.234.56.72</v>
      </c>
      <c r="O24" s="81" t="str">
        <f ca="1">OFFSET($G$1,_xlfn.XMATCH(N24,F:F)-1,0)</f>
        <v>SW-P-02-A</v>
      </c>
      <c r="P24" s="81" t="str">
        <f ca="1">OFFSET($G$1,_xlfn.XMATCH(N24,F:F)-1,1)</f>
        <v>SW-P-02-B</v>
      </c>
      <c r="Q24" s="81"/>
      <c r="R24" s="81">
        <f t="shared" ca="1" si="1"/>
        <v>0</v>
      </c>
      <c r="S24" s="81"/>
      <c r="T24" s="81">
        <f t="shared" ca="1" si="2"/>
        <v>0</v>
      </c>
      <c r="V24"/>
      <c r="W24"/>
    </row>
    <row r="25" spans="1:23" s="1" customFormat="1" x14ac:dyDescent="0.25">
      <c r="A25" s="61"/>
      <c r="B25" s="59"/>
      <c r="C25" s="8" t="s">
        <v>562</v>
      </c>
      <c r="D25" s="8" t="s">
        <v>1085</v>
      </c>
      <c r="E25" s="8">
        <v>100</v>
      </c>
      <c r="F25" s="8" t="s">
        <v>1102</v>
      </c>
      <c r="G25" s="8" t="s">
        <v>1078</v>
      </c>
      <c r="H25" s="8" t="s">
        <v>1079</v>
      </c>
      <c r="I25" s="21" t="s">
        <v>617</v>
      </c>
      <c r="J25" s="34">
        <v>82</v>
      </c>
      <c r="K25" s="8" t="str">
        <f t="shared" si="0"/>
        <v>052</v>
      </c>
      <c r="L25" s="35" t="s">
        <v>1180</v>
      </c>
      <c r="M25" s="81"/>
      <c r="N25" s="81" t="str">
        <v>201.234.56.73</v>
      </c>
      <c r="O25" s="81" t="str">
        <f ca="1">OFFSET($G$1,_xlfn.XMATCH(N25,F:F)-1,0)</f>
        <v>SW-P-03-A</v>
      </c>
      <c r="P25" s="81" t="str">
        <f ca="1">OFFSET($G$1,_xlfn.XMATCH(N25,F:F)-1,1)</f>
        <v>SW-P-03-B</v>
      </c>
      <c r="Q25" s="81"/>
      <c r="R25" s="81">
        <f t="shared" ca="1" si="1"/>
        <v>0</v>
      </c>
      <c r="S25" s="81"/>
      <c r="T25" s="81">
        <f t="shared" ca="1" si="2"/>
        <v>0</v>
      </c>
      <c r="V25"/>
      <c r="W25"/>
    </row>
    <row r="26" spans="1:23" s="1" customFormat="1" x14ac:dyDescent="0.25">
      <c r="A26" s="61"/>
      <c r="B26" s="60"/>
      <c r="C26" s="8" t="s">
        <v>562</v>
      </c>
      <c r="D26" s="8" t="s">
        <v>1085</v>
      </c>
      <c r="E26" s="8">
        <v>100</v>
      </c>
      <c r="F26" s="8" t="s">
        <v>1102</v>
      </c>
      <c r="G26" s="8" t="s">
        <v>1078</v>
      </c>
      <c r="H26" s="8" t="s">
        <v>1079</v>
      </c>
      <c r="I26" s="21" t="s">
        <v>618</v>
      </c>
      <c r="J26" s="34">
        <v>184</v>
      </c>
      <c r="K26" s="8" t="str">
        <f t="shared" si="0"/>
        <v>0B8</v>
      </c>
      <c r="L26" s="35" t="s">
        <v>1180</v>
      </c>
      <c r="M26" s="81"/>
      <c r="N26" s="81" t="str">
        <v>201.234.56.74</v>
      </c>
      <c r="O26" s="81" t="str">
        <f ca="1">OFFSET($G$1,_xlfn.XMATCH(N26,F:F)-1,0)</f>
        <v>SW-P-03-A</v>
      </c>
      <c r="P26" s="81" t="str">
        <f ca="1">OFFSET($G$1,_xlfn.XMATCH(N26,F:F)-1,1)</f>
        <v>SW-P-03-B</v>
      </c>
      <c r="Q26" s="81"/>
      <c r="R26" s="81">
        <f t="shared" ca="1" si="1"/>
        <v>0</v>
      </c>
      <c r="S26" s="81"/>
      <c r="T26" s="81">
        <f t="shared" ca="1" si="2"/>
        <v>0</v>
      </c>
      <c r="V26"/>
      <c r="W26"/>
    </row>
    <row r="27" spans="1:23" s="1" customFormat="1" x14ac:dyDescent="0.25">
      <c r="A27" s="61" t="s">
        <v>180</v>
      </c>
      <c r="B27" s="58" t="s">
        <v>1255</v>
      </c>
      <c r="C27" s="8" t="s">
        <v>562</v>
      </c>
      <c r="D27" s="8" t="s">
        <v>1085</v>
      </c>
      <c r="E27" s="8">
        <v>100</v>
      </c>
      <c r="F27" s="8" t="s">
        <v>1103</v>
      </c>
      <c r="G27" s="8" t="s">
        <v>1078</v>
      </c>
      <c r="H27" s="8" t="s">
        <v>1079</v>
      </c>
      <c r="I27" s="21" t="s">
        <v>619</v>
      </c>
      <c r="J27" s="34">
        <v>184</v>
      </c>
      <c r="K27" s="8" t="str">
        <f t="shared" si="0"/>
        <v>0B8</v>
      </c>
      <c r="L27" s="35" t="s">
        <v>1181</v>
      </c>
      <c r="M27" s="81"/>
      <c r="N27" s="81" t="str">
        <v>201.234.56.75</v>
      </c>
      <c r="O27" s="81" t="str">
        <f ca="1">OFFSET($G$1,_xlfn.XMATCH(N27,F:F)-1,0)</f>
        <v>SW-P-03-A</v>
      </c>
      <c r="P27" s="81" t="str">
        <f ca="1">OFFSET($G$1,_xlfn.XMATCH(N27,F:F)-1,1)</f>
        <v>SW-P-03-B</v>
      </c>
      <c r="Q27" s="81"/>
      <c r="R27" s="81">
        <f t="shared" ca="1" si="1"/>
        <v>0</v>
      </c>
      <c r="S27" s="81"/>
      <c r="T27" s="81">
        <f t="shared" ca="1" si="2"/>
        <v>0</v>
      </c>
      <c r="V27"/>
      <c r="W27"/>
    </row>
    <row r="28" spans="1:23" s="1" customFormat="1" x14ac:dyDescent="0.25">
      <c r="A28" s="61"/>
      <c r="B28" s="59"/>
      <c r="C28" s="8" t="s">
        <v>562</v>
      </c>
      <c r="D28" s="8" t="s">
        <v>1085</v>
      </c>
      <c r="E28" s="8">
        <v>100</v>
      </c>
      <c r="F28" s="8" t="s">
        <v>1103</v>
      </c>
      <c r="G28" s="8" t="s">
        <v>1078</v>
      </c>
      <c r="H28" s="8" t="s">
        <v>1079</v>
      </c>
      <c r="I28" s="21" t="s">
        <v>617</v>
      </c>
      <c r="J28" s="34">
        <v>82</v>
      </c>
      <c r="K28" s="8" t="str">
        <f t="shared" si="0"/>
        <v>052</v>
      </c>
      <c r="L28" s="35" t="s">
        <v>1182</v>
      </c>
      <c r="M28" s="81"/>
      <c r="N28" s="81" t="str">
        <v>201.234.56.76</v>
      </c>
      <c r="O28" s="81" t="str">
        <f ca="1">OFFSET($G$1,_xlfn.XMATCH(N28,F:F)-1,0)</f>
        <v>SW-P-03-A</v>
      </c>
      <c r="P28" s="81" t="str">
        <f ca="1">OFFSET($G$1,_xlfn.XMATCH(N28,F:F)-1,1)</f>
        <v>SW-P-03-B</v>
      </c>
      <c r="Q28" s="81"/>
      <c r="R28" s="81">
        <f t="shared" ca="1" si="1"/>
        <v>0</v>
      </c>
      <c r="S28" s="81"/>
      <c r="T28" s="81">
        <f t="shared" ca="1" si="2"/>
        <v>0</v>
      </c>
      <c r="V28"/>
      <c r="W28"/>
    </row>
    <row r="29" spans="1:23" s="1" customFormat="1" x14ac:dyDescent="0.25">
      <c r="A29" s="61"/>
      <c r="B29" s="60"/>
      <c r="C29" s="8" t="s">
        <v>562</v>
      </c>
      <c r="D29" s="8" t="s">
        <v>1085</v>
      </c>
      <c r="E29" s="8">
        <v>100</v>
      </c>
      <c r="F29" s="8" t="s">
        <v>1103</v>
      </c>
      <c r="G29" s="8" t="s">
        <v>1078</v>
      </c>
      <c r="H29" s="8" t="s">
        <v>1079</v>
      </c>
      <c r="I29" s="21" t="s">
        <v>618</v>
      </c>
      <c r="J29" s="34">
        <v>184</v>
      </c>
      <c r="K29" s="8" t="str">
        <f t="shared" si="0"/>
        <v>0B8</v>
      </c>
      <c r="L29" s="35" t="s">
        <v>1182</v>
      </c>
      <c r="M29" s="81"/>
      <c r="N29" s="81" t="str">
        <v>201.234.56.77</v>
      </c>
      <c r="O29" s="81" t="str">
        <f ca="1">OFFSET($G$1,_xlfn.XMATCH(N29,F:F)-1,0)</f>
        <v>SW-P-01-A</v>
      </c>
      <c r="P29" s="81" t="str">
        <f ca="1">OFFSET($G$1,_xlfn.XMATCH(N29,F:F)-1,1)</f>
        <v>SW-P-01-B</v>
      </c>
      <c r="Q29" s="81"/>
      <c r="R29" s="81">
        <f t="shared" ca="1" si="1"/>
        <v>0</v>
      </c>
      <c r="S29" s="81"/>
      <c r="T29" s="81">
        <f t="shared" ca="1" si="2"/>
        <v>0</v>
      </c>
      <c r="V29"/>
      <c r="W29"/>
    </row>
    <row r="30" spans="1:23" s="1" customFormat="1" x14ac:dyDescent="0.25">
      <c r="A30" s="61" t="s">
        <v>181</v>
      </c>
      <c r="B30" s="58" t="s">
        <v>1255</v>
      </c>
      <c r="C30" s="8" t="s">
        <v>562</v>
      </c>
      <c r="D30" s="8" t="s">
        <v>1085</v>
      </c>
      <c r="E30" s="8">
        <v>100</v>
      </c>
      <c r="F30" s="8" t="s">
        <v>1104</v>
      </c>
      <c r="G30" s="8" t="s">
        <v>1078</v>
      </c>
      <c r="H30" s="8" t="s">
        <v>1079</v>
      </c>
      <c r="I30" s="21" t="s">
        <v>619</v>
      </c>
      <c r="J30" s="34">
        <v>184</v>
      </c>
      <c r="K30" s="8" t="str">
        <f t="shared" si="0"/>
        <v>0B8</v>
      </c>
      <c r="L30" s="35" t="s">
        <v>1183</v>
      </c>
      <c r="M30" s="81"/>
      <c r="N30" s="81" t="str">
        <v>10.209.126.77</v>
      </c>
      <c r="O30" s="81" t="str">
        <f ca="1">OFFSET($G$1,_xlfn.XMATCH(N30,F:F)-1,0)</f>
        <v>SW-E-01-A</v>
      </c>
      <c r="P30" s="81" t="str">
        <f ca="1">OFFSET($G$1,_xlfn.XMATCH(N30,F:F)-1,1)</f>
        <v>SW-E-01-B</v>
      </c>
      <c r="Q30" s="81"/>
      <c r="R30" s="81">
        <f t="shared" ca="1" si="1"/>
        <v>0</v>
      </c>
      <c r="S30" s="81"/>
      <c r="T30" s="81">
        <f t="shared" ca="1" si="2"/>
        <v>0</v>
      </c>
      <c r="V30"/>
      <c r="W30"/>
    </row>
    <row r="31" spans="1:23" s="1" customFormat="1" x14ac:dyDescent="0.25">
      <c r="A31" s="61"/>
      <c r="B31" s="59"/>
      <c r="C31" s="8" t="s">
        <v>562</v>
      </c>
      <c r="D31" s="8" t="s">
        <v>1085</v>
      </c>
      <c r="E31" s="8">
        <v>100</v>
      </c>
      <c r="F31" s="8" t="s">
        <v>1104</v>
      </c>
      <c r="G31" s="8" t="s">
        <v>1078</v>
      </c>
      <c r="H31" s="8" t="s">
        <v>1079</v>
      </c>
      <c r="I31" s="21" t="s">
        <v>617</v>
      </c>
      <c r="J31" s="34">
        <v>82</v>
      </c>
      <c r="K31" s="8" t="str">
        <f t="shared" si="0"/>
        <v>052</v>
      </c>
      <c r="L31" s="35" t="s">
        <v>1184</v>
      </c>
      <c r="M31" s="81"/>
      <c r="N31" s="81" t="str">
        <v>201.234.56.78</v>
      </c>
      <c r="O31" s="81" t="str">
        <f ca="1">OFFSET($G$1,_xlfn.XMATCH(N31,F:F)-1,0)</f>
        <v>SW-P-01-A</v>
      </c>
      <c r="P31" s="81" t="str">
        <f ca="1">OFFSET($G$1,_xlfn.XMATCH(N31,F:F)-1,1)</f>
        <v>SW-P-01-B</v>
      </c>
      <c r="Q31" s="81"/>
      <c r="R31" s="81">
        <f t="shared" ca="1" si="1"/>
        <v>0</v>
      </c>
      <c r="S31" s="81"/>
      <c r="T31" s="81">
        <f t="shared" ca="1" si="2"/>
        <v>0</v>
      </c>
      <c r="V31"/>
      <c r="W31"/>
    </row>
    <row r="32" spans="1:23" s="1" customFormat="1" x14ac:dyDescent="0.25">
      <c r="A32" s="61"/>
      <c r="B32" s="60"/>
      <c r="C32" s="8" t="s">
        <v>562</v>
      </c>
      <c r="D32" s="8" t="s">
        <v>1085</v>
      </c>
      <c r="E32" s="8">
        <v>100</v>
      </c>
      <c r="F32" s="8" t="s">
        <v>1104</v>
      </c>
      <c r="G32" s="8" t="s">
        <v>1078</v>
      </c>
      <c r="H32" s="8" t="s">
        <v>1079</v>
      </c>
      <c r="I32" s="21" t="s">
        <v>618</v>
      </c>
      <c r="J32" s="34">
        <v>184</v>
      </c>
      <c r="K32" s="8" t="str">
        <f t="shared" si="0"/>
        <v>0B8</v>
      </c>
      <c r="L32" s="35" t="s">
        <v>1184</v>
      </c>
      <c r="M32" s="81"/>
      <c r="N32" s="81" t="str">
        <v>10.209.126.78</v>
      </c>
      <c r="O32" s="81" t="str">
        <f ca="1">OFFSET($G$1,_xlfn.XMATCH(N32,F:F)-1,0)</f>
        <v>SW-E-01-A</v>
      </c>
      <c r="P32" s="81" t="str">
        <f ca="1">OFFSET($G$1,_xlfn.XMATCH(N32,F:F)-1,1)</f>
        <v>SW-E-01-B</v>
      </c>
      <c r="Q32" s="81"/>
      <c r="R32" s="81">
        <f t="shared" ca="1" si="1"/>
        <v>0</v>
      </c>
      <c r="S32" s="81"/>
      <c r="T32" s="81">
        <f t="shared" ca="1" si="2"/>
        <v>0</v>
      </c>
      <c r="V32"/>
      <c r="W32"/>
    </row>
    <row r="33" spans="1:23" s="1" customFormat="1" x14ac:dyDescent="0.25">
      <c r="A33" s="61" t="s">
        <v>182</v>
      </c>
      <c r="B33" s="58" t="s">
        <v>1255</v>
      </c>
      <c r="C33" s="8" t="s">
        <v>562</v>
      </c>
      <c r="D33" s="8" t="s">
        <v>1085</v>
      </c>
      <c r="E33" s="8">
        <v>100</v>
      </c>
      <c r="F33" s="8" t="s">
        <v>1105</v>
      </c>
      <c r="G33" s="8" t="s">
        <v>1078</v>
      </c>
      <c r="H33" s="8" t="s">
        <v>1079</v>
      </c>
      <c r="I33" s="21" t="s">
        <v>619</v>
      </c>
      <c r="J33" s="34">
        <v>184</v>
      </c>
      <c r="K33" s="8" t="str">
        <f t="shared" si="0"/>
        <v>0B8</v>
      </c>
      <c r="L33" s="35" t="s">
        <v>1185</v>
      </c>
      <c r="M33" s="81"/>
      <c r="N33" s="81" t="str">
        <v>201.234.56.79</v>
      </c>
      <c r="O33" s="81" t="str">
        <f ca="1">OFFSET($G$1,_xlfn.XMATCH(N33,F:F)-1,0)</f>
        <v>SW-P-02-A</v>
      </c>
      <c r="P33" s="81" t="str">
        <f ca="1">OFFSET($G$1,_xlfn.XMATCH(N33,F:F)-1,1)</f>
        <v>SW-P-02-B</v>
      </c>
      <c r="Q33" s="81"/>
      <c r="R33" s="81">
        <f t="shared" ca="1" si="1"/>
        <v>0</v>
      </c>
      <c r="S33" s="81"/>
      <c r="T33" s="81">
        <f t="shared" ca="1" si="2"/>
        <v>0</v>
      </c>
      <c r="V33"/>
      <c r="W33"/>
    </row>
    <row r="34" spans="1:23" s="1" customFormat="1" x14ac:dyDescent="0.25">
      <c r="A34" s="61"/>
      <c r="B34" s="59"/>
      <c r="C34" s="8" t="s">
        <v>562</v>
      </c>
      <c r="D34" s="8" t="s">
        <v>1085</v>
      </c>
      <c r="E34" s="8">
        <v>100</v>
      </c>
      <c r="F34" s="8" t="s">
        <v>1105</v>
      </c>
      <c r="G34" s="8" t="s">
        <v>1078</v>
      </c>
      <c r="H34" s="8" t="s">
        <v>1079</v>
      </c>
      <c r="I34" s="21" t="s">
        <v>617</v>
      </c>
      <c r="J34" s="34">
        <v>82</v>
      </c>
      <c r="K34" s="8" t="str">
        <f t="shared" si="0"/>
        <v>052</v>
      </c>
      <c r="L34" s="35" t="s">
        <v>1186</v>
      </c>
      <c r="M34" s="81"/>
      <c r="N34" s="81" t="str">
        <v>10.209.126.79</v>
      </c>
      <c r="O34" s="81" t="str">
        <f ca="1">OFFSET($G$1,_xlfn.XMATCH(N34,F:F)-1,0)</f>
        <v>SW-E-02-A</v>
      </c>
      <c r="P34" s="81" t="str">
        <f ca="1">OFFSET($G$1,_xlfn.XMATCH(N34,F:F)-1,1)</f>
        <v>SW-E-02-B</v>
      </c>
      <c r="Q34" s="81"/>
      <c r="R34" s="81">
        <f t="shared" ca="1" si="1"/>
        <v>0</v>
      </c>
      <c r="S34" s="81"/>
      <c r="T34" s="81">
        <f t="shared" ca="1" si="2"/>
        <v>0</v>
      </c>
      <c r="V34"/>
      <c r="W34"/>
    </row>
    <row r="35" spans="1:23" s="1" customFormat="1" x14ac:dyDescent="0.25">
      <c r="A35" s="61"/>
      <c r="B35" s="60"/>
      <c r="C35" s="8" t="s">
        <v>562</v>
      </c>
      <c r="D35" s="8" t="s">
        <v>1085</v>
      </c>
      <c r="E35" s="8">
        <v>100</v>
      </c>
      <c r="F35" s="8" t="s">
        <v>1105</v>
      </c>
      <c r="G35" s="8" t="s">
        <v>1078</v>
      </c>
      <c r="H35" s="8" t="s">
        <v>1079</v>
      </c>
      <c r="I35" s="21" t="s">
        <v>618</v>
      </c>
      <c r="J35" s="34">
        <v>184</v>
      </c>
      <c r="K35" s="8" t="str">
        <f t="shared" si="0"/>
        <v>0B8</v>
      </c>
      <c r="L35" s="35" t="s">
        <v>1186</v>
      </c>
      <c r="M35" s="81"/>
      <c r="N35" s="81" t="str">
        <v>201.234.56.80</v>
      </c>
      <c r="O35" s="81" t="str">
        <f ca="1">OFFSET($G$1,_xlfn.XMATCH(N35,F:F)-1,0)</f>
        <v>SW-P-02-A</v>
      </c>
      <c r="P35" s="81" t="str">
        <f ca="1">OFFSET($G$1,_xlfn.XMATCH(N35,F:F)-1,1)</f>
        <v>SW-P-02-B</v>
      </c>
      <c r="Q35" s="81"/>
      <c r="R35" s="81">
        <f t="shared" ca="1" si="1"/>
        <v>0</v>
      </c>
      <c r="S35" s="81"/>
      <c r="T35" s="81">
        <f t="shared" ca="1" si="2"/>
        <v>0</v>
      </c>
      <c r="V35"/>
      <c r="W35"/>
    </row>
    <row r="36" spans="1:23" s="1" customFormat="1" x14ac:dyDescent="0.25">
      <c r="A36" s="61" t="s">
        <v>183</v>
      </c>
      <c r="B36" s="58" t="s">
        <v>1255</v>
      </c>
      <c r="C36" s="8" t="s">
        <v>562</v>
      </c>
      <c r="D36" s="8" t="s">
        <v>1085</v>
      </c>
      <c r="E36" s="8">
        <v>100</v>
      </c>
      <c r="F36" s="8" t="s">
        <v>1106</v>
      </c>
      <c r="G36" s="8" t="s">
        <v>1078</v>
      </c>
      <c r="H36" s="8" t="s">
        <v>1079</v>
      </c>
      <c r="I36" s="21" t="s">
        <v>619</v>
      </c>
      <c r="J36" s="34">
        <v>184</v>
      </c>
      <c r="K36" s="8" t="str">
        <f t="shared" si="0"/>
        <v>0B8</v>
      </c>
      <c r="L36" s="35" t="s">
        <v>1187</v>
      </c>
      <c r="M36" s="81"/>
      <c r="N36" s="81" t="str">
        <v>10.209.126.80</v>
      </c>
      <c r="O36" s="81" t="str">
        <f ca="1">OFFSET($G$1,_xlfn.XMATCH(N36,F:F)-1,0)</f>
        <v>SW-E-02-A</v>
      </c>
      <c r="P36" s="81" t="str">
        <f ca="1">OFFSET($G$1,_xlfn.XMATCH(N36,F:F)-1,1)</f>
        <v>SW-E-02-B</v>
      </c>
      <c r="Q36" s="81"/>
      <c r="R36" s="81">
        <f t="shared" ca="1" si="1"/>
        <v>0</v>
      </c>
      <c r="S36" s="81"/>
      <c r="T36" s="81">
        <f t="shared" ca="1" si="2"/>
        <v>0</v>
      </c>
      <c r="V36"/>
      <c r="W36"/>
    </row>
    <row r="37" spans="1:23" s="1" customFormat="1" x14ac:dyDescent="0.25">
      <c r="A37" s="61"/>
      <c r="B37" s="59"/>
      <c r="C37" s="8" t="s">
        <v>562</v>
      </c>
      <c r="D37" s="8" t="s">
        <v>1085</v>
      </c>
      <c r="E37" s="8">
        <v>100</v>
      </c>
      <c r="F37" s="8" t="s">
        <v>1106</v>
      </c>
      <c r="G37" s="8" t="s">
        <v>1078</v>
      </c>
      <c r="H37" s="8" t="s">
        <v>1079</v>
      </c>
      <c r="I37" s="21" t="s">
        <v>617</v>
      </c>
      <c r="J37" s="34">
        <v>82</v>
      </c>
      <c r="K37" s="8" t="str">
        <f t="shared" si="0"/>
        <v>052</v>
      </c>
      <c r="L37" s="35" t="s">
        <v>1188</v>
      </c>
      <c r="M37" s="81"/>
      <c r="N37" s="81" t="str">
        <v>201.234.56.81</v>
      </c>
      <c r="O37" s="81" t="str">
        <f ca="1">OFFSET($G$1,_xlfn.XMATCH(N37,F:F)-1,0)</f>
        <v>SW-P-03-A</v>
      </c>
      <c r="P37" s="81" t="str">
        <f ca="1">OFFSET($G$1,_xlfn.XMATCH(N37,F:F)-1,1)</f>
        <v>SW-P-03-B</v>
      </c>
      <c r="Q37" s="81"/>
      <c r="R37" s="81">
        <f t="shared" ca="1" si="1"/>
        <v>0</v>
      </c>
      <c r="S37" s="81"/>
      <c r="T37" s="81">
        <f t="shared" ca="1" si="2"/>
        <v>0</v>
      </c>
      <c r="V37"/>
      <c r="W37"/>
    </row>
    <row r="38" spans="1:23" s="1" customFormat="1" x14ac:dyDescent="0.25">
      <c r="A38" s="61"/>
      <c r="B38" s="60"/>
      <c r="C38" s="8" t="s">
        <v>562</v>
      </c>
      <c r="D38" s="8" t="s">
        <v>1085</v>
      </c>
      <c r="E38" s="8">
        <v>100</v>
      </c>
      <c r="F38" s="8" t="s">
        <v>1106</v>
      </c>
      <c r="G38" s="8" t="s">
        <v>1078</v>
      </c>
      <c r="H38" s="8" t="s">
        <v>1079</v>
      </c>
      <c r="I38" s="21" t="s">
        <v>618</v>
      </c>
      <c r="J38" s="34">
        <v>184</v>
      </c>
      <c r="K38" s="8" t="str">
        <f t="shared" si="0"/>
        <v>0B8</v>
      </c>
      <c r="L38" s="35" t="s">
        <v>1188</v>
      </c>
      <c r="M38" s="81"/>
      <c r="N38" s="81" t="str">
        <v>10.209.126.81</v>
      </c>
      <c r="O38" s="81" t="str">
        <f ca="1">OFFSET($G$1,_xlfn.XMATCH(N38,F:F)-1,0)</f>
        <v>SW-E-03-A</v>
      </c>
      <c r="P38" s="81" t="str">
        <f ca="1">OFFSET($G$1,_xlfn.XMATCH(N38,F:F)-1,1)</f>
        <v>SW-E-03-B</v>
      </c>
      <c r="Q38" s="81"/>
      <c r="R38" s="81">
        <f t="shared" ca="1" si="1"/>
        <v>0</v>
      </c>
      <c r="S38" s="81"/>
      <c r="T38" s="81">
        <f t="shared" ca="1" si="2"/>
        <v>0</v>
      </c>
      <c r="V38"/>
      <c r="W38"/>
    </row>
    <row r="39" spans="1:23" s="1" customFormat="1" x14ac:dyDescent="0.25">
      <c r="A39" s="61" t="s">
        <v>1261</v>
      </c>
      <c r="B39" s="58" t="s">
        <v>1255</v>
      </c>
      <c r="C39" s="8" t="s">
        <v>562</v>
      </c>
      <c r="D39" s="8" t="s">
        <v>1085</v>
      </c>
      <c r="E39" s="8">
        <v>100</v>
      </c>
      <c r="F39" s="8" t="s">
        <v>1274</v>
      </c>
      <c r="G39" s="8" t="s">
        <v>1078</v>
      </c>
      <c r="H39" s="8" t="s">
        <v>1079</v>
      </c>
      <c r="I39" s="21" t="s">
        <v>619</v>
      </c>
      <c r="J39" s="34">
        <v>184</v>
      </c>
      <c r="K39" s="8" t="str">
        <f t="shared" ref="K39:K46" si="3">DEC2HEX(J39,3)</f>
        <v>0B8</v>
      </c>
      <c r="L39" s="35" t="s">
        <v>1185</v>
      </c>
      <c r="M39" s="81"/>
      <c r="N39" s="81" t="str">
        <v>201.234.56.82</v>
      </c>
      <c r="O39" s="81" t="str">
        <f ca="1">OFFSET($G$1,_xlfn.XMATCH(N39,F:F)-1,0)</f>
        <v>SW-P-03-A</v>
      </c>
      <c r="P39" s="81" t="str">
        <f ca="1">OFFSET($G$1,_xlfn.XMATCH(N39,F:F)-1,1)</f>
        <v>SW-P-03-B</v>
      </c>
      <c r="Q39" s="81"/>
      <c r="R39" s="81">
        <f t="shared" ca="1" si="1"/>
        <v>0</v>
      </c>
      <c r="S39" s="81"/>
      <c r="T39" s="81">
        <f t="shared" ca="1" si="2"/>
        <v>0</v>
      </c>
      <c r="V39"/>
      <c r="W39"/>
    </row>
    <row r="40" spans="1:23" s="1" customFormat="1" x14ac:dyDescent="0.25">
      <c r="A40" s="61"/>
      <c r="B40" s="59"/>
      <c r="C40" s="8" t="s">
        <v>562</v>
      </c>
      <c r="D40" s="8" t="s">
        <v>1085</v>
      </c>
      <c r="E40" s="8">
        <v>100</v>
      </c>
      <c r="F40" s="8" t="s">
        <v>1274</v>
      </c>
      <c r="G40" s="8" t="s">
        <v>1078</v>
      </c>
      <c r="H40" s="8" t="s">
        <v>1079</v>
      </c>
      <c r="I40" s="21" t="s">
        <v>606</v>
      </c>
      <c r="J40" s="34">
        <v>186</v>
      </c>
      <c r="K40" s="8" t="str">
        <f t="shared" si="3"/>
        <v>0BA</v>
      </c>
      <c r="L40" s="35" t="s">
        <v>1185</v>
      </c>
      <c r="M40" s="81"/>
      <c r="N40" s="81" t="str">
        <v>10.209.126.82</v>
      </c>
      <c r="O40" s="81" t="str">
        <f ca="1">OFFSET($G$1,_xlfn.XMATCH(N40,F:F)-1,0)</f>
        <v>SW-E-03-A</v>
      </c>
      <c r="P40" s="81" t="str">
        <f ca="1">OFFSET($G$1,_xlfn.XMATCH(N40,F:F)-1,1)</f>
        <v>SW-E-03-B</v>
      </c>
      <c r="Q40" s="81"/>
      <c r="R40" s="81">
        <f t="shared" ca="1" si="1"/>
        <v>0</v>
      </c>
      <c r="S40" s="81"/>
      <c r="T40" s="81">
        <f t="shared" ca="1" si="2"/>
        <v>0</v>
      </c>
      <c r="V40"/>
      <c r="W40"/>
    </row>
    <row r="41" spans="1:23" s="1" customFormat="1" x14ac:dyDescent="0.25">
      <c r="A41" s="61"/>
      <c r="B41" s="59"/>
      <c r="C41" s="8" t="s">
        <v>562</v>
      </c>
      <c r="D41" s="8" t="s">
        <v>1085</v>
      </c>
      <c r="E41" s="8">
        <v>100</v>
      </c>
      <c r="F41" s="8" t="s">
        <v>1274</v>
      </c>
      <c r="G41" s="8" t="s">
        <v>1078</v>
      </c>
      <c r="H41" s="8" t="s">
        <v>1079</v>
      </c>
      <c r="I41" s="21" t="s">
        <v>617</v>
      </c>
      <c r="J41" s="34">
        <v>82</v>
      </c>
      <c r="K41" s="8" t="str">
        <f t="shared" si="3"/>
        <v>052</v>
      </c>
      <c r="L41" s="35" t="s">
        <v>1186</v>
      </c>
      <c r="M41" s="81"/>
      <c r="N41" s="81" t="str">
        <v>201.234.56.83</v>
      </c>
      <c r="O41" s="81" t="str">
        <f ca="1">OFFSET($G$1,_xlfn.XMATCH(N41,F:F)-1,0)</f>
        <v>SW-P-01-A</v>
      </c>
      <c r="P41" s="81" t="str">
        <f ca="1">OFFSET($G$1,_xlfn.XMATCH(N41,F:F)-1,1)</f>
        <v>SW-P-01-B</v>
      </c>
      <c r="Q41" s="81"/>
      <c r="R41" s="81">
        <f t="shared" ca="1" si="1"/>
        <v>0</v>
      </c>
      <c r="S41" s="81"/>
      <c r="T41" s="81">
        <f t="shared" ca="1" si="2"/>
        <v>0</v>
      </c>
      <c r="V41"/>
      <c r="W41"/>
    </row>
    <row r="42" spans="1:23" s="1" customFormat="1" x14ac:dyDescent="0.25">
      <c r="A42" s="61"/>
      <c r="B42" s="60"/>
      <c r="C42" s="8" t="s">
        <v>562</v>
      </c>
      <c r="D42" s="8" t="s">
        <v>1085</v>
      </c>
      <c r="E42" s="8">
        <v>100</v>
      </c>
      <c r="F42" s="8" t="s">
        <v>1274</v>
      </c>
      <c r="G42" s="8" t="s">
        <v>1078</v>
      </c>
      <c r="H42" s="8" t="s">
        <v>1079</v>
      </c>
      <c r="I42" s="21" t="s">
        <v>618</v>
      </c>
      <c r="J42" s="34">
        <v>184</v>
      </c>
      <c r="K42" s="8" t="str">
        <f t="shared" si="3"/>
        <v>0B8</v>
      </c>
      <c r="L42" s="35" t="s">
        <v>1186</v>
      </c>
      <c r="M42" s="81"/>
      <c r="N42" s="81" t="str">
        <v>10.209.126.83</v>
      </c>
      <c r="O42" s="81" t="str">
        <f ca="1">OFFSET($G$1,_xlfn.XMATCH(N42,F:F)-1,0)</f>
        <v>SW-E-01-A</v>
      </c>
      <c r="P42" s="81" t="str">
        <f ca="1">OFFSET($G$1,_xlfn.XMATCH(N42,F:F)-1,1)</f>
        <v>SW-E-01-B</v>
      </c>
      <c r="Q42" s="81"/>
      <c r="R42" s="81">
        <f t="shared" ca="1" si="1"/>
        <v>0</v>
      </c>
      <c r="S42" s="81"/>
      <c r="T42" s="81">
        <f t="shared" ca="1" si="2"/>
        <v>0</v>
      </c>
      <c r="V42"/>
      <c r="W42"/>
    </row>
    <row r="43" spans="1:23" s="1" customFormat="1" x14ac:dyDescent="0.25">
      <c r="A43" s="61" t="s">
        <v>1262</v>
      </c>
      <c r="B43" s="58" t="s">
        <v>1255</v>
      </c>
      <c r="C43" s="8" t="s">
        <v>562</v>
      </c>
      <c r="D43" s="8" t="s">
        <v>1085</v>
      </c>
      <c r="E43" s="8">
        <v>100</v>
      </c>
      <c r="F43" s="8" t="s">
        <v>1275</v>
      </c>
      <c r="G43" s="8" t="s">
        <v>1078</v>
      </c>
      <c r="H43" s="8" t="s">
        <v>1079</v>
      </c>
      <c r="I43" s="21" t="s">
        <v>619</v>
      </c>
      <c r="J43" s="34">
        <v>184</v>
      </c>
      <c r="K43" s="8" t="str">
        <f t="shared" si="3"/>
        <v>0B8</v>
      </c>
      <c r="L43" s="35" t="s">
        <v>1187</v>
      </c>
      <c r="M43" s="81"/>
      <c r="N43" s="81" t="str">
        <v>201.234.56.84</v>
      </c>
      <c r="O43" s="81" t="str">
        <f ca="1">OFFSET($G$1,_xlfn.XMATCH(N43,F:F)-1,0)</f>
        <v>SW-P-01-A</v>
      </c>
      <c r="P43" s="81" t="str">
        <f ca="1">OFFSET($G$1,_xlfn.XMATCH(N43,F:F)-1,1)</f>
        <v>SW-P-01-B</v>
      </c>
      <c r="Q43" s="81"/>
      <c r="R43" s="81">
        <f t="shared" ca="1" si="1"/>
        <v>0</v>
      </c>
      <c r="S43" s="81"/>
      <c r="T43" s="81">
        <f t="shared" ca="1" si="2"/>
        <v>0</v>
      </c>
      <c r="V43"/>
      <c r="W43"/>
    </row>
    <row r="44" spans="1:23" s="1" customFormat="1" x14ac:dyDescent="0.25">
      <c r="A44" s="61"/>
      <c r="B44" s="59"/>
      <c r="C44" s="8" t="s">
        <v>562</v>
      </c>
      <c r="D44" s="8" t="s">
        <v>1085</v>
      </c>
      <c r="E44" s="8">
        <v>100</v>
      </c>
      <c r="F44" s="8" t="s">
        <v>1275</v>
      </c>
      <c r="G44" s="8" t="s">
        <v>1078</v>
      </c>
      <c r="H44" s="8" t="s">
        <v>1079</v>
      </c>
      <c r="I44" s="21" t="s">
        <v>606</v>
      </c>
      <c r="J44" s="34">
        <v>186</v>
      </c>
      <c r="K44" s="8" t="str">
        <f t="shared" si="3"/>
        <v>0BA</v>
      </c>
      <c r="L44" s="35" t="s">
        <v>1187</v>
      </c>
      <c r="M44" s="81"/>
      <c r="N44" s="81" t="str">
        <v>10.209.126.84</v>
      </c>
      <c r="O44" s="81" t="str">
        <f ca="1">OFFSET($G$1,_xlfn.XMATCH(N44,F:F)-1,0)</f>
        <v>SW-E-01-A</v>
      </c>
      <c r="P44" s="81" t="str">
        <f ca="1">OFFSET($G$1,_xlfn.XMATCH(N44,F:F)-1,1)</f>
        <v>SW-E-01-B</v>
      </c>
      <c r="Q44" s="81"/>
      <c r="R44" s="81">
        <f t="shared" ca="1" si="1"/>
        <v>0</v>
      </c>
      <c r="S44" s="81"/>
      <c r="T44" s="81">
        <f t="shared" ca="1" si="2"/>
        <v>0</v>
      </c>
      <c r="V44"/>
      <c r="W44"/>
    </row>
    <row r="45" spans="1:23" s="1" customFormat="1" x14ac:dyDescent="0.25">
      <c r="A45" s="61"/>
      <c r="B45" s="59"/>
      <c r="C45" s="8" t="s">
        <v>562</v>
      </c>
      <c r="D45" s="8" t="s">
        <v>1085</v>
      </c>
      <c r="E45" s="8">
        <v>100</v>
      </c>
      <c r="F45" s="8" t="s">
        <v>1275</v>
      </c>
      <c r="G45" s="8" t="s">
        <v>1078</v>
      </c>
      <c r="H45" s="8" t="s">
        <v>1079</v>
      </c>
      <c r="I45" s="21" t="s">
        <v>617</v>
      </c>
      <c r="J45" s="34">
        <v>82</v>
      </c>
      <c r="K45" s="8" t="str">
        <f t="shared" si="3"/>
        <v>052</v>
      </c>
      <c r="L45" s="35" t="s">
        <v>1188</v>
      </c>
      <c r="M45" s="81"/>
      <c r="N45" s="81" t="str">
        <v>201.234.56.85</v>
      </c>
      <c r="O45" s="81" t="str">
        <f ca="1">OFFSET($G$1,_xlfn.XMATCH(N45,F:F)-1,0)</f>
        <v>SW-P-02-A</v>
      </c>
      <c r="P45" s="81" t="str">
        <f ca="1">OFFSET($G$1,_xlfn.XMATCH(N45,F:F)-1,1)</f>
        <v>SW-P-02-B</v>
      </c>
      <c r="Q45" s="81"/>
      <c r="R45" s="81">
        <f t="shared" ca="1" si="1"/>
        <v>0</v>
      </c>
      <c r="S45" s="81"/>
      <c r="T45" s="81">
        <f t="shared" ca="1" si="2"/>
        <v>0</v>
      </c>
      <c r="V45"/>
      <c r="W45"/>
    </row>
    <row r="46" spans="1:23" s="1" customFormat="1" x14ac:dyDescent="0.25">
      <c r="A46" s="61"/>
      <c r="B46" s="60"/>
      <c r="C46" s="8" t="s">
        <v>562</v>
      </c>
      <c r="D46" s="8" t="s">
        <v>1085</v>
      </c>
      <c r="E46" s="8">
        <v>100</v>
      </c>
      <c r="F46" s="86" t="s">
        <v>1275</v>
      </c>
      <c r="G46" s="8" t="s">
        <v>1078</v>
      </c>
      <c r="H46" s="8" t="s">
        <v>1079</v>
      </c>
      <c r="I46" s="21" t="s">
        <v>618</v>
      </c>
      <c r="J46" s="34">
        <v>184</v>
      </c>
      <c r="K46" s="8" t="str">
        <f t="shared" si="3"/>
        <v>0B8</v>
      </c>
      <c r="L46" s="35" t="s">
        <v>1188</v>
      </c>
      <c r="M46" s="81"/>
      <c r="N46" s="81" t="str">
        <v>10.209.126.85</v>
      </c>
      <c r="O46" s="81" t="str">
        <f ca="1">OFFSET($G$1,_xlfn.XMATCH(N46,F:F)-1,0)</f>
        <v>SW-E-02-A</v>
      </c>
      <c r="P46" s="81" t="str">
        <f ca="1">OFFSET($G$1,_xlfn.XMATCH(N46,F:F)-1,1)</f>
        <v>SW-E-02-B</v>
      </c>
      <c r="Q46" s="81"/>
      <c r="R46" s="81">
        <f t="shared" ca="1" si="1"/>
        <v>0</v>
      </c>
      <c r="S46" s="81"/>
      <c r="T46" s="81">
        <f t="shared" ca="1" si="2"/>
        <v>0</v>
      </c>
      <c r="V46"/>
      <c r="W46"/>
    </row>
    <row r="47" spans="1:23" x14ac:dyDescent="0.25">
      <c r="A47" s="61" t="s">
        <v>146</v>
      </c>
      <c r="B47" s="58" t="s">
        <v>1255</v>
      </c>
      <c r="C47" s="8" t="s">
        <v>562</v>
      </c>
      <c r="D47" s="8" t="s">
        <v>1085</v>
      </c>
      <c r="E47" s="8">
        <v>100</v>
      </c>
      <c r="F47" s="8" t="s">
        <v>1107</v>
      </c>
      <c r="G47" s="8" t="s">
        <v>1080</v>
      </c>
      <c r="H47" s="8" t="s">
        <v>1081</v>
      </c>
      <c r="I47" s="21" t="s">
        <v>619</v>
      </c>
      <c r="J47" s="34">
        <v>284</v>
      </c>
      <c r="K47" s="8" t="str">
        <f t="shared" si="0"/>
        <v>11C</v>
      </c>
      <c r="L47" s="35" t="s">
        <v>1189</v>
      </c>
      <c r="N47" s="81" t="str">
        <v>201.234.56.86</v>
      </c>
      <c r="O47" s="81" t="str">
        <f ca="1">OFFSET($G$1,_xlfn.XMATCH(N47,F:F)-1,0)</f>
        <v>SW-P-02-A</v>
      </c>
      <c r="P47" s="81" t="str">
        <f ca="1">OFFSET($G$1,_xlfn.XMATCH(N47,F:F)-1,1)</f>
        <v>SW-P-02-B</v>
      </c>
      <c r="R47" s="81">
        <f t="shared" ca="1" si="1"/>
        <v>0</v>
      </c>
      <c r="T47" s="81">
        <f t="shared" ca="1" si="2"/>
        <v>0</v>
      </c>
    </row>
    <row r="48" spans="1:23" x14ac:dyDescent="0.25">
      <c r="A48" s="61"/>
      <c r="B48" s="59"/>
      <c r="C48" s="8" t="s">
        <v>562</v>
      </c>
      <c r="D48" s="8" t="s">
        <v>1085</v>
      </c>
      <c r="E48" s="8">
        <v>100</v>
      </c>
      <c r="F48" s="8" t="s">
        <v>1107</v>
      </c>
      <c r="G48" s="8" t="s">
        <v>1080</v>
      </c>
      <c r="H48" s="8" t="s">
        <v>1081</v>
      </c>
      <c r="I48" s="21" t="s">
        <v>620</v>
      </c>
      <c r="J48" s="34">
        <v>83</v>
      </c>
      <c r="K48" s="8" t="str">
        <f t="shared" si="0"/>
        <v>053</v>
      </c>
      <c r="L48" s="35" t="s">
        <v>1189</v>
      </c>
      <c r="N48" s="81" t="str">
        <v>10.209.126.86</v>
      </c>
      <c r="O48" s="81" t="str">
        <f ca="1">OFFSET($G$1,_xlfn.XMATCH(N48,F:F)-1,0)</f>
        <v>SW-E-02-A</v>
      </c>
      <c r="P48" s="81" t="str">
        <f ca="1">OFFSET($G$1,_xlfn.XMATCH(N48,F:F)-1,1)</f>
        <v>SW-E-02-B</v>
      </c>
      <c r="R48" s="81">
        <f t="shared" ca="1" si="1"/>
        <v>0</v>
      </c>
      <c r="T48" s="81">
        <f t="shared" ca="1" si="2"/>
        <v>0</v>
      </c>
    </row>
    <row r="49" spans="1:20" x14ac:dyDescent="0.25">
      <c r="A49" s="61"/>
      <c r="B49" s="59"/>
      <c r="C49" s="8" t="s">
        <v>562</v>
      </c>
      <c r="D49" s="8" t="s">
        <v>1085</v>
      </c>
      <c r="E49" s="8">
        <v>100</v>
      </c>
      <c r="F49" s="8" t="s">
        <v>1107</v>
      </c>
      <c r="G49" s="8" t="s">
        <v>1080</v>
      </c>
      <c r="H49" s="8" t="s">
        <v>1081</v>
      </c>
      <c r="I49" s="21" t="s">
        <v>617</v>
      </c>
      <c r="J49" s="34">
        <v>82</v>
      </c>
      <c r="K49" s="8" t="str">
        <f t="shared" si="0"/>
        <v>052</v>
      </c>
      <c r="L49" s="35" t="s">
        <v>1190</v>
      </c>
      <c r="N49" s="81" t="str">
        <v>201.234.56.87</v>
      </c>
      <c r="O49" s="81" t="str">
        <f ca="1">OFFSET($G$1,_xlfn.XMATCH(N49,F:F)-1,0)</f>
        <v>SW-P-03-A</v>
      </c>
      <c r="P49" s="81" t="str">
        <f ca="1">OFFSET($G$1,_xlfn.XMATCH(N49,F:F)-1,1)</f>
        <v>SW-P-03-B</v>
      </c>
      <c r="R49" s="81">
        <f t="shared" ca="1" si="1"/>
        <v>0</v>
      </c>
      <c r="T49" s="81">
        <f t="shared" ca="1" si="2"/>
        <v>0</v>
      </c>
    </row>
    <row r="50" spans="1:20" x14ac:dyDescent="0.25">
      <c r="A50" s="61"/>
      <c r="B50" s="60"/>
      <c r="C50" s="8" t="s">
        <v>562</v>
      </c>
      <c r="D50" s="8" t="s">
        <v>1085</v>
      </c>
      <c r="E50" s="8">
        <v>100</v>
      </c>
      <c r="F50" s="8" t="s">
        <v>1107</v>
      </c>
      <c r="G50" s="8" t="s">
        <v>1080</v>
      </c>
      <c r="H50" s="8" t="s">
        <v>1081</v>
      </c>
      <c r="I50" s="21" t="s">
        <v>618</v>
      </c>
      <c r="J50" s="34">
        <v>284</v>
      </c>
      <c r="K50" s="8" t="str">
        <f t="shared" si="0"/>
        <v>11C</v>
      </c>
      <c r="L50" s="35" t="s">
        <v>1190</v>
      </c>
      <c r="N50" s="81" t="str">
        <v>10.209.126.87</v>
      </c>
      <c r="O50" s="81" t="str">
        <f ca="1">OFFSET($G$1,_xlfn.XMATCH(N50,F:F)-1,0)</f>
        <v>SW-E-03-A</v>
      </c>
      <c r="P50" s="81" t="str">
        <f ca="1">OFFSET($G$1,_xlfn.XMATCH(N50,F:F)-1,1)</f>
        <v>SW-E-03-B</v>
      </c>
      <c r="R50" s="81">
        <f t="shared" ca="1" si="1"/>
        <v>0</v>
      </c>
      <c r="T50" s="81">
        <f t="shared" ca="1" si="2"/>
        <v>0</v>
      </c>
    </row>
    <row r="51" spans="1:20" x14ac:dyDescent="0.25">
      <c r="A51" s="61" t="s">
        <v>148</v>
      </c>
      <c r="B51" s="58" t="s">
        <v>1255</v>
      </c>
      <c r="C51" s="8" t="s">
        <v>562</v>
      </c>
      <c r="D51" s="8" t="s">
        <v>1085</v>
      </c>
      <c r="E51" s="8">
        <v>100</v>
      </c>
      <c r="F51" s="8" t="s">
        <v>1108</v>
      </c>
      <c r="G51" s="8" t="s">
        <v>1080</v>
      </c>
      <c r="H51" s="8" t="s">
        <v>1081</v>
      </c>
      <c r="I51" s="21" t="s">
        <v>619</v>
      </c>
      <c r="J51" s="34">
        <v>284</v>
      </c>
      <c r="K51" s="8" t="str">
        <f t="shared" si="0"/>
        <v>11C</v>
      </c>
      <c r="L51" s="35" t="s">
        <v>1191</v>
      </c>
      <c r="N51" s="81" t="str">
        <v>201.234.56.88</v>
      </c>
      <c r="O51" s="81" t="str">
        <f ca="1">OFFSET($G$1,_xlfn.XMATCH(N51,F:F)-1,0)</f>
        <v>SW-P-03-A</v>
      </c>
      <c r="P51" s="81" t="str">
        <f ca="1">OFFSET($G$1,_xlfn.XMATCH(N51,F:F)-1,1)</f>
        <v>SW-P-03-B</v>
      </c>
      <c r="R51" s="81">
        <f t="shared" ca="1" si="1"/>
        <v>0</v>
      </c>
      <c r="T51" s="81">
        <f t="shared" ca="1" si="2"/>
        <v>0</v>
      </c>
    </row>
    <row r="52" spans="1:20" x14ac:dyDescent="0.25">
      <c r="A52" s="61"/>
      <c r="B52" s="59"/>
      <c r="C52" s="8" t="s">
        <v>562</v>
      </c>
      <c r="D52" s="8" t="s">
        <v>1085</v>
      </c>
      <c r="E52" s="8">
        <v>100</v>
      </c>
      <c r="F52" s="8" t="s">
        <v>1108</v>
      </c>
      <c r="G52" s="8" t="s">
        <v>1080</v>
      </c>
      <c r="H52" s="8" t="s">
        <v>1081</v>
      </c>
      <c r="I52" s="21" t="s">
        <v>620</v>
      </c>
      <c r="J52" s="34">
        <v>83</v>
      </c>
      <c r="K52" s="8" t="str">
        <f t="shared" si="0"/>
        <v>053</v>
      </c>
      <c r="L52" s="35" t="s">
        <v>1191</v>
      </c>
      <c r="N52" s="81" t="str">
        <v>10.209.126.88</v>
      </c>
      <c r="O52" s="81" t="str">
        <f ca="1">OFFSET($G$1,_xlfn.XMATCH(N52,F:F)-1,0)</f>
        <v>SW-E-03-A</v>
      </c>
      <c r="P52" s="81" t="str">
        <f ca="1">OFFSET($G$1,_xlfn.XMATCH(N52,F:F)-1,1)</f>
        <v>SW-E-03-B</v>
      </c>
      <c r="R52" s="81">
        <f t="shared" ca="1" si="1"/>
        <v>0</v>
      </c>
      <c r="T52" s="81">
        <f t="shared" ca="1" si="2"/>
        <v>0</v>
      </c>
    </row>
    <row r="53" spans="1:20" x14ac:dyDescent="0.25">
      <c r="A53" s="61"/>
      <c r="B53" s="59"/>
      <c r="C53" s="8" t="s">
        <v>562</v>
      </c>
      <c r="D53" s="8" t="s">
        <v>1085</v>
      </c>
      <c r="E53" s="8">
        <v>100</v>
      </c>
      <c r="F53" s="8" t="s">
        <v>1108</v>
      </c>
      <c r="G53" s="8" t="s">
        <v>1080</v>
      </c>
      <c r="H53" s="8" t="s">
        <v>1081</v>
      </c>
      <c r="I53" s="21" t="s">
        <v>617</v>
      </c>
      <c r="J53" s="34">
        <v>82</v>
      </c>
      <c r="K53" s="8" t="str">
        <f t="shared" si="0"/>
        <v>052</v>
      </c>
      <c r="L53" s="35" t="s">
        <v>1192</v>
      </c>
      <c r="N53" s="81" t="str">
        <v>201.234.56.89</v>
      </c>
      <c r="O53" s="81" t="str">
        <f ca="1">OFFSET($G$1,_xlfn.XMATCH(N53,F:F)-1,0)</f>
        <v>SW-P-90-A</v>
      </c>
      <c r="P53" s="81" t="str">
        <f ca="1">OFFSET($G$1,_xlfn.XMATCH(N53,F:F)-1,1)</f>
        <v>SW-P-90-B</v>
      </c>
      <c r="R53" s="81">
        <f t="shared" ca="1" si="1"/>
        <v>0</v>
      </c>
      <c r="T53" s="81">
        <f t="shared" ca="1" si="2"/>
        <v>0</v>
      </c>
    </row>
    <row r="54" spans="1:20" x14ac:dyDescent="0.25">
      <c r="A54" s="61"/>
      <c r="B54" s="60"/>
      <c r="C54" s="8" t="s">
        <v>562</v>
      </c>
      <c r="D54" s="8" t="s">
        <v>1085</v>
      </c>
      <c r="E54" s="8">
        <v>100</v>
      </c>
      <c r="F54" s="8" t="s">
        <v>1108</v>
      </c>
      <c r="G54" s="8" t="s">
        <v>1080</v>
      </c>
      <c r="H54" s="8" t="s">
        <v>1081</v>
      </c>
      <c r="I54" s="21" t="s">
        <v>618</v>
      </c>
      <c r="J54" s="34">
        <v>284</v>
      </c>
      <c r="K54" s="8" t="str">
        <f t="shared" si="0"/>
        <v>11C</v>
      </c>
      <c r="L54" s="35" t="s">
        <v>1192</v>
      </c>
      <c r="N54" s="81" t="str">
        <v>10.209.126.89</v>
      </c>
      <c r="O54" s="81" t="str">
        <f ca="1">OFFSET($G$1,_xlfn.XMATCH(N54,F:F)-1,0)</f>
        <v>SW-E-90-A</v>
      </c>
      <c r="P54" s="81" t="str">
        <f ca="1">OFFSET($G$1,_xlfn.XMATCH(N54,F:F)-1,1)</f>
        <v>SW-E-90-B</v>
      </c>
      <c r="R54" s="81">
        <f t="shared" ca="1" si="1"/>
        <v>0</v>
      </c>
      <c r="T54" s="81">
        <f t="shared" ca="1" si="2"/>
        <v>0</v>
      </c>
    </row>
    <row r="55" spans="1:20" x14ac:dyDescent="0.25">
      <c r="A55" s="61" t="s">
        <v>150</v>
      </c>
      <c r="B55" s="58" t="s">
        <v>1255</v>
      </c>
      <c r="C55" s="8" t="s">
        <v>562</v>
      </c>
      <c r="D55" s="8" t="s">
        <v>1085</v>
      </c>
      <c r="E55" s="8">
        <v>100</v>
      </c>
      <c r="F55" s="8" t="s">
        <v>1109</v>
      </c>
      <c r="G55" s="8" t="s">
        <v>1080</v>
      </c>
      <c r="H55" s="8" t="s">
        <v>1081</v>
      </c>
      <c r="I55" s="21" t="s">
        <v>619</v>
      </c>
      <c r="J55" s="34">
        <v>284</v>
      </c>
      <c r="K55" s="8" t="str">
        <f t="shared" si="0"/>
        <v>11C</v>
      </c>
      <c r="L55" s="35" t="s">
        <v>1193</v>
      </c>
      <c r="N55" s="81" t="str">
        <v>201.234.56.90</v>
      </c>
      <c r="O55" s="81" t="str">
        <f ca="1">OFFSET($G$1,_xlfn.XMATCH(N55,F:F)-1,0)</f>
        <v>SW-P-90-A</v>
      </c>
      <c r="P55" s="81" t="str">
        <f ca="1">OFFSET($G$1,_xlfn.XMATCH(N55,F:F)-1,1)</f>
        <v>SW-P-90-B</v>
      </c>
      <c r="R55" s="81">
        <f t="shared" ca="1" si="1"/>
        <v>0</v>
      </c>
      <c r="T55" s="81">
        <f t="shared" ca="1" si="2"/>
        <v>0</v>
      </c>
    </row>
    <row r="56" spans="1:20" x14ac:dyDescent="0.25">
      <c r="A56" s="61"/>
      <c r="B56" s="59"/>
      <c r="C56" s="8" t="s">
        <v>562</v>
      </c>
      <c r="D56" s="8" t="s">
        <v>1085</v>
      </c>
      <c r="E56" s="8">
        <v>100</v>
      </c>
      <c r="F56" s="8" t="s">
        <v>1109</v>
      </c>
      <c r="G56" s="8" t="s">
        <v>1080</v>
      </c>
      <c r="H56" s="8" t="s">
        <v>1081</v>
      </c>
      <c r="I56" s="21" t="s">
        <v>620</v>
      </c>
      <c r="J56" s="34">
        <v>83</v>
      </c>
      <c r="K56" s="8" t="str">
        <f t="shared" si="0"/>
        <v>053</v>
      </c>
      <c r="L56" s="35" t="s">
        <v>1193</v>
      </c>
      <c r="N56" s="81" t="str">
        <v>10.209.126.90</v>
      </c>
      <c r="O56" s="81" t="str">
        <f ca="1">OFFSET($G$1,_xlfn.XMATCH(N56,F:F)-1,0)</f>
        <v>SW-E-90-A</v>
      </c>
      <c r="P56" s="81" t="str">
        <f ca="1">OFFSET($G$1,_xlfn.XMATCH(N56,F:F)-1,1)</f>
        <v>SW-E-90-B</v>
      </c>
      <c r="R56" s="81">
        <f t="shared" ca="1" si="1"/>
        <v>0</v>
      </c>
      <c r="T56" s="81">
        <f t="shared" ca="1" si="2"/>
        <v>0</v>
      </c>
    </row>
    <row r="57" spans="1:20" x14ac:dyDescent="0.25">
      <c r="A57" s="61"/>
      <c r="B57" s="59"/>
      <c r="C57" s="8" t="s">
        <v>562</v>
      </c>
      <c r="D57" s="8" t="s">
        <v>1085</v>
      </c>
      <c r="E57" s="8">
        <v>100</v>
      </c>
      <c r="F57" s="8" t="s">
        <v>1109</v>
      </c>
      <c r="G57" s="8" t="s">
        <v>1080</v>
      </c>
      <c r="H57" s="8" t="s">
        <v>1081</v>
      </c>
      <c r="I57" s="21" t="s">
        <v>617</v>
      </c>
      <c r="J57" s="34">
        <v>82</v>
      </c>
      <c r="K57" s="8" t="str">
        <f t="shared" si="0"/>
        <v>052</v>
      </c>
      <c r="L57" s="35" t="s">
        <v>1194</v>
      </c>
      <c r="N57" s="81" t="str">
        <v>201.234.56.91</v>
      </c>
      <c r="O57" s="81" t="str">
        <f ca="1">OFFSET($G$1,_xlfn.XMATCH(N57,F:F)-1,0)</f>
        <v>SW-P-01-A</v>
      </c>
      <c r="P57" s="81" t="str">
        <f ca="1">OFFSET($G$1,_xlfn.XMATCH(N57,F:F)-1,1)</f>
        <v>SW-P-01-B</v>
      </c>
      <c r="R57" s="81">
        <f t="shared" ca="1" si="1"/>
        <v>0</v>
      </c>
      <c r="T57" s="81">
        <f t="shared" ca="1" si="2"/>
        <v>0</v>
      </c>
    </row>
    <row r="58" spans="1:20" x14ac:dyDescent="0.25">
      <c r="A58" s="61"/>
      <c r="B58" s="60"/>
      <c r="C58" s="8" t="s">
        <v>562</v>
      </c>
      <c r="D58" s="8" t="s">
        <v>1085</v>
      </c>
      <c r="E58" s="8">
        <v>100</v>
      </c>
      <c r="F58" s="8" t="s">
        <v>1109</v>
      </c>
      <c r="G58" s="8" t="s">
        <v>1080</v>
      </c>
      <c r="H58" s="8" t="s">
        <v>1081</v>
      </c>
      <c r="I58" s="21" t="s">
        <v>618</v>
      </c>
      <c r="J58" s="34">
        <v>284</v>
      </c>
      <c r="K58" s="8" t="str">
        <f t="shared" si="0"/>
        <v>11C</v>
      </c>
      <c r="L58" s="35" t="s">
        <v>1194</v>
      </c>
      <c r="N58" s="81" t="str">
        <v>10.209.126.91</v>
      </c>
      <c r="O58" s="81" t="str">
        <f ca="1">OFFSET($G$1,_xlfn.XMATCH(N58,F:F)-1,0)</f>
        <v>SW-E-01-A</v>
      </c>
      <c r="P58" s="81" t="str">
        <f ca="1">OFFSET($G$1,_xlfn.XMATCH(N58,F:F)-1,1)</f>
        <v>SW-E-01-B</v>
      </c>
      <c r="R58" s="81">
        <f t="shared" ca="1" si="1"/>
        <v>0</v>
      </c>
      <c r="T58" s="81">
        <f t="shared" ca="1" si="2"/>
        <v>0</v>
      </c>
    </row>
    <row r="59" spans="1:20" x14ac:dyDescent="0.25">
      <c r="A59" s="61" t="s">
        <v>151</v>
      </c>
      <c r="B59" s="58" t="s">
        <v>1255</v>
      </c>
      <c r="C59" s="8" t="s">
        <v>562</v>
      </c>
      <c r="D59" s="8" t="s">
        <v>1085</v>
      </c>
      <c r="E59" s="8">
        <v>100</v>
      </c>
      <c r="F59" s="8" t="s">
        <v>1110</v>
      </c>
      <c r="G59" s="8" t="s">
        <v>1080</v>
      </c>
      <c r="H59" s="8" t="s">
        <v>1081</v>
      </c>
      <c r="I59" s="21" t="s">
        <v>619</v>
      </c>
      <c r="J59" s="34">
        <v>284</v>
      </c>
      <c r="K59" s="8" t="str">
        <f t="shared" si="0"/>
        <v>11C</v>
      </c>
      <c r="L59" s="35" t="s">
        <v>1195</v>
      </c>
      <c r="N59" s="81" t="str">
        <v>201.234.56.92</v>
      </c>
      <c r="O59" s="81" t="str">
        <f ca="1">OFFSET($G$1,_xlfn.XMATCH(N59,F:F)-1,0)</f>
        <v>SW-P-01-A</v>
      </c>
      <c r="P59" s="81" t="str">
        <f ca="1">OFFSET($G$1,_xlfn.XMATCH(N59,F:F)-1,1)</f>
        <v>SW-P-01-B</v>
      </c>
      <c r="R59" s="81">
        <f t="shared" ca="1" si="1"/>
        <v>0</v>
      </c>
      <c r="T59" s="81">
        <f t="shared" ca="1" si="2"/>
        <v>0</v>
      </c>
    </row>
    <row r="60" spans="1:20" x14ac:dyDescent="0.25">
      <c r="A60" s="61"/>
      <c r="B60" s="59"/>
      <c r="C60" s="8" t="s">
        <v>562</v>
      </c>
      <c r="D60" s="8" t="s">
        <v>1085</v>
      </c>
      <c r="E60" s="8">
        <v>100</v>
      </c>
      <c r="F60" s="8" t="s">
        <v>1110</v>
      </c>
      <c r="G60" s="8" t="s">
        <v>1080</v>
      </c>
      <c r="H60" s="8" t="s">
        <v>1081</v>
      </c>
      <c r="I60" s="21" t="s">
        <v>620</v>
      </c>
      <c r="J60" s="34">
        <v>83</v>
      </c>
      <c r="K60" s="8" t="str">
        <f t="shared" si="0"/>
        <v>053</v>
      </c>
      <c r="L60" s="35" t="s">
        <v>1195</v>
      </c>
      <c r="N60" s="81" t="str">
        <v>10.209.126.92</v>
      </c>
      <c r="O60" s="81" t="str">
        <f ca="1">OFFSET($G$1,_xlfn.XMATCH(N60,F:F)-1,0)</f>
        <v>SW-E-01-A</v>
      </c>
      <c r="P60" s="81" t="str">
        <f ca="1">OFFSET($G$1,_xlfn.XMATCH(N60,F:F)-1,1)</f>
        <v>SW-E-01-B</v>
      </c>
      <c r="R60" s="81">
        <f t="shared" ca="1" si="1"/>
        <v>0</v>
      </c>
      <c r="T60" s="81">
        <f t="shared" ca="1" si="2"/>
        <v>0</v>
      </c>
    </row>
    <row r="61" spans="1:20" x14ac:dyDescent="0.25">
      <c r="A61" s="61"/>
      <c r="B61" s="59"/>
      <c r="C61" s="8" t="s">
        <v>562</v>
      </c>
      <c r="D61" s="8" t="s">
        <v>1085</v>
      </c>
      <c r="E61" s="8">
        <v>100</v>
      </c>
      <c r="F61" s="8" t="s">
        <v>1110</v>
      </c>
      <c r="G61" s="8" t="s">
        <v>1080</v>
      </c>
      <c r="H61" s="8" t="s">
        <v>1081</v>
      </c>
      <c r="I61" s="21" t="s">
        <v>617</v>
      </c>
      <c r="J61" s="34">
        <v>82</v>
      </c>
      <c r="K61" s="8" t="str">
        <f t="shared" si="0"/>
        <v>052</v>
      </c>
      <c r="L61" s="35" t="s">
        <v>1196</v>
      </c>
      <c r="N61" s="81" t="str">
        <v>201.234.56.93</v>
      </c>
      <c r="O61" s="81" t="str">
        <f ca="1">OFFSET($G$1,_xlfn.XMATCH(N61,F:F)-1,0)</f>
        <v>SW-P-02-A</v>
      </c>
      <c r="P61" s="81" t="str">
        <f ca="1">OFFSET($G$1,_xlfn.XMATCH(N61,F:F)-1,1)</f>
        <v>SW-P-02-B</v>
      </c>
      <c r="R61" s="81">
        <f t="shared" ca="1" si="1"/>
        <v>0</v>
      </c>
      <c r="T61" s="81">
        <f t="shared" ca="1" si="2"/>
        <v>0</v>
      </c>
    </row>
    <row r="62" spans="1:20" x14ac:dyDescent="0.25">
      <c r="A62" s="61"/>
      <c r="B62" s="60"/>
      <c r="C62" s="8" t="s">
        <v>562</v>
      </c>
      <c r="D62" s="8" t="s">
        <v>1085</v>
      </c>
      <c r="E62" s="8">
        <v>100</v>
      </c>
      <c r="F62" s="8" t="s">
        <v>1110</v>
      </c>
      <c r="G62" s="8" t="s">
        <v>1080</v>
      </c>
      <c r="H62" s="8" t="s">
        <v>1081</v>
      </c>
      <c r="I62" s="21" t="s">
        <v>618</v>
      </c>
      <c r="J62" s="34">
        <v>284</v>
      </c>
      <c r="K62" s="8" t="str">
        <f t="shared" ref="K62:K96" si="4">DEC2HEX(J62,3)</f>
        <v>11C</v>
      </c>
      <c r="L62" s="35" t="s">
        <v>1196</v>
      </c>
      <c r="N62" s="81" t="str">
        <v>10.209.126.93</v>
      </c>
      <c r="O62" s="81" t="str">
        <f ca="1">OFFSET($G$1,_xlfn.XMATCH(N62,F:F)-1,0)</f>
        <v>SW-E-02-A</v>
      </c>
      <c r="P62" s="81" t="str">
        <f ca="1">OFFSET($G$1,_xlfn.XMATCH(N62,F:F)-1,1)</f>
        <v>SW-E-02-B</v>
      </c>
      <c r="R62" s="81">
        <f t="shared" ca="1" si="1"/>
        <v>0</v>
      </c>
      <c r="T62" s="81">
        <f t="shared" ca="1" si="2"/>
        <v>0</v>
      </c>
    </row>
    <row r="63" spans="1:20" x14ac:dyDescent="0.25">
      <c r="A63" s="61" t="s">
        <v>171</v>
      </c>
      <c r="B63" s="58" t="s">
        <v>1255</v>
      </c>
      <c r="C63" s="8" t="s">
        <v>562</v>
      </c>
      <c r="D63" s="8" t="s">
        <v>1085</v>
      </c>
      <c r="E63" s="8">
        <v>100</v>
      </c>
      <c r="F63" s="8" t="s">
        <v>1111</v>
      </c>
      <c r="G63" s="8" t="s">
        <v>1080</v>
      </c>
      <c r="H63" s="8" t="s">
        <v>1081</v>
      </c>
      <c r="I63" s="21" t="s">
        <v>619</v>
      </c>
      <c r="J63" s="34">
        <v>284</v>
      </c>
      <c r="K63" s="8" t="str">
        <f t="shared" si="4"/>
        <v>11C</v>
      </c>
      <c r="L63" s="35" t="s">
        <v>1197</v>
      </c>
      <c r="N63" s="81" t="str">
        <v>201.234.56.94</v>
      </c>
      <c r="O63" s="81" t="str">
        <f ca="1">OFFSET($G$1,_xlfn.XMATCH(N63,F:F)-1,0)</f>
        <v>SW-P-02-A</v>
      </c>
      <c r="P63" s="81" t="str">
        <f ca="1">OFFSET($G$1,_xlfn.XMATCH(N63,F:F)-1,1)</f>
        <v>SW-P-02-B</v>
      </c>
      <c r="R63" s="81">
        <f t="shared" ca="1" si="1"/>
        <v>0</v>
      </c>
      <c r="T63" s="81">
        <f t="shared" ca="1" si="2"/>
        <v>0</v>
      </c>
    </row>
    <row r="64" spans="1:20" x14ac:dyDescent="0.25">
      <c r="A64" s="61"/>
      <c r="B64" s="59"/>
      <c r="C64" s="8" t="s">
        <v>562</v>
      </c>
      <c r="D64" s="8" t="s">
        <v>1085</v>
      </c>
      <c r="E64" s="8">
        <v>100</v>
      </c>
      <c r="F64" s="8" t="s">
        <v>1111</v>
      </c>
      <c r="G64" s="8" t="s">
        <v>1080</v>
      </c>
      <c r="H64" s="8" t="s">
        <v>1081</v>
      </c>
      <c r="I64" s="21" t="s">
        <v>617</v>
      </c>
      <c r="J64" s="34">
        <v>82</v>
      </c>
      <c r="K64" s="8" t="str">
        <f t="shared" si="4"/>
        <v>052</v>
      </c>
      <c r="L64" s="35" t="s">
        <v>1198</v>
      </c>
      <c r="N64" s="81" t="str">
        <v>10.209.126.94</v>
      </c>
      <c r="O64" s="81" t="str">
        <f ca="1">OFFSET($G$1,_xlfn.XMATCH(N64,F:F)-1,0)</f>
        <v>SW-E-02-A</v>
      </c>
      <c r="P64" s="81" t="str">
        <f ca="1">OFFSET($G$1,_xlfn.XMATCH(N64,F:F)-1,1)</f>
        <v>SW-E-02-B</v>
      </c>
      <c r="R64" s="81">
        <f t="shared" ca="1" si="1"/>
        <v>0</v>
      </c>
      <c r="T64" s="81">
        <f t="shared" ca="1" si="2"/>
        <v>0</v>
      </c>
    </row>
    <row r="65" spans="1:20" x14ac:dyDescent="0.25">
      <c r="A65" s="61"/>
      <c r="B65" s="60"/>
      <c r="C65" s="8" t="s">
        <v>562</v>
      </c>
      <c r="D65" s="8" t="s">
        <v>1085</v>
      </c>
      <c r="E65" s="8">
        <v>100</v>
      </c>
      <c r="F65" s="8" t="s">
        <v>1111</v>
      </c>
      <c r="G65" s="8" t="s">
        <v>1080</v>
      </c>
      <c r="H65" s="8" t="s">
        <v>1081</v>
      </c>
      <c r="I65" s="21" t="s">
        <v>618</v>
      </c>
      <c r="J65" s="34">
        <v>284</v>
      </c>
      <c r="K65" s="8" t="str">
        <f t="shared" si="4"/>
        <v>11C</v>
      </c>
      <c r="L65" s="35" t="s">
        <v>1198</v>
      </c>
      <c r="N65" s="81" t="str">
        <v>201.234.56.95</v>
      </c>
      <c r="O65" s="81" t="str">
        <f ca="1">OFFSET($G$1,_xlfn.XMATCH(N65,F:F)-1,0)</f>
        <v>SW-P-03-A</v>
      </c>
      <c r="P65" s="81" t="str">
        <f ca="1">OFFSET($G$1,_xlfn.XMATCH(N65,F:F)-1,1)</f>
        <v>SW-P-03-B</v>
      </c>
      <c r="R65" s="81">
        <f t="shared" ca="1" si="1"/>
        <v>0</v>
      </c>
      <c r="T65" s="81">
        <f t="shared" ca="1" si="2"/>
        <v>0</v>
      </c>
    </row>
    <row r="66" spans="1:20" x14ac:dyDescent="0.25">
      <c r="A66" s="61" t="s">
        <v>172</v>
      </c>
      <c r="B66" s="58" t="s">
        <v>1255</v>
      </c>
      <c r="C66" s="8" t="s">
        <v>562</v>
      </c>
      <c r="D66" s="8" t="s">
        <v>1085</v>
      </c>
      <c r="E66" s="8">
        <v>100</v>
      </c>
      <c r="F66" s="8" t="s">
        <v>1112</v>
      </c>
      <c r="G66" s="8" t="s">
        <v>1080</v>
      </c>
      <c r="H66" s="8" t="s">
        <v>1081</v>
      </c>
      <c r="I66" s="21" t="s">
        <v>619</v>
      </c>
      <c r="J66" s="34">
        <v>284</v>
      </c>
      <c r="K66" s="8" t="str">
        <f t="shared" si="4"/>
        <v>11C</v>
      </c>
      <c r="L66" s="35" t="s">
        <v>1199</v>
      </c>
      <c r="N66" s="81" t="str">
        <v>10.209.126.95</v>
      </c>
      <c r="O66" s="81" t="str">
        <f ca="1">OFFSET($G$1,_xlfn.XMATCH(N66,F:F)-1,0)</f>
        <v>SW-E-03-A</v>
      </c>
      <c r="P66" s="81" t="str">
        <f ca="1">OFFSET($G$1,_xlfn.XMATCH(N66,F:F)-1,1)</f>
        <v>SW-E-03-B</v>
      </c>
      <c r="R66" s="81">
        <f t="shared" ca="1" si="1"/>
        <v>0</v>
      </c>
      <c r="T66" s="81">
        <f t="shared" ca="1" si="2"/>
        <v>0</v>
      </c>
    </row>
    <row r="67" spans="1:20" x14ac:dyDescent="0.25">
      <c r="A67" s="61"/>
      <c r="B67" s="59"/>
      <c r="C67" s="8" t="s">
        <v>562</v>
      </c>
      <c r="D67" s="8" t="s">
        <v>1085</v>
      </c>
      <c r="E67" s="8">
        <v>100</v>
      </c>
      <c r="F67" s="8" t="s">
        <v>1112</v>
      </c>
      <c r="G67" s="8" t="s">
        <v>1080</v>
      </c>
      <c r="H67" s="8" t="s">
        <v>1081</v>
      </c>
      <c r="I67" s="21" t="s">
        <v>617</v>
      </c>
      <c r="J67" s="34">
        <v>82</v>
      </c>
      <c r="K67" s="8" t="str">
        <f t="shared" si="4"/>
        <v>052</v>
      </c>
      <c r="L67" s="35" t="s">
        <v>1200</v>
      </c>
      <c r="N67" s="81" t="str">
        <v>201.234.56.96</v>
      </c>
      <c r="O67" s="81" t="str">
        <f ca="1">OFFSET($G$1,_xlfn.XMATCH(N67,F:F)-1,0)</f>
        <v>SW-P-03-A</v>
      </c>
      <c r="P67" s="81" t="str">
        <f ca="1">OFFSET($G$1,_xlfn.XMATCH(N67,F:F)-1,1)</f>
        <v>SW-P-03-B</v>
      </c>
      <c r="R67" s="81">
        <f t="shared" ca="1" si="1"/>
        <v>0</v>
      </c>
      <c r="T67" s="81">
        <f t="shared" ca="1" si="2"/>
        <v>0</v>
      </c>
    </row>
    <row r="68" spans="1:20" x14ac:dyDescent="0.25">
      <c r="A68" s="61"/>
      <c r="B68" s="60"/>
      <c r="C68" s="8" t="s">
        <v>562</v>
      </c>
      <c r="D68" s="8" t="s">
        <v>1085</v>
      </c>
      <c r="E68" s="8">
        <v>100</v>
      </c>
      <c r="F68" s="8" t="s">
        <v>1112</v>
      </c>
      <c r="G68" s="8" t="s">
        <v>1080</v>
      </c>
      <c r="H68" s="8" t="s">
        <v>1081</v>
      </c>
      <c r="I68" s="21" t="s">
        <v>618</v>
      </c>
      <c r="J68" s="34">
        <v>284</v>
      </c>
      <c r="K68" s="8" t="str">
        <f t="shared" si="4"/>
        <v>11C</v>
      </c>
      <c r="L68" s="35" t="s">
        <v>1200</v>
      </c>
      <c r="N68" s="81" t="str">
        <v>10.209.126.96</v>
      </c>
      <c r="O68" s="81" t="str">
        <f ca="1">OFFSET($G$1,_xlfn.XMATCH(N68,F:F)-1,0)</f>
        <v>SW-E-03-A</v>
      </c>
      <c r="P68" s="81" t="str">
        <f ca="1">OFFSET($G$1,_xlfn.XMATCH(N68,F:F)-1,1)</f>
        <v>SW-E-03-B</v>
      </c>
      <c r="R68" s="81">
        <f t="shared" ca="1" si="1"/>
        <v>0</v>
      </c>
      <c r="T68" s="81">
        <f t="shared" ca="1" si="2"/>
        <v>0</v>
      </c>
    </row>
    <row r="69" spans="1:20" x14ac:dyDescent="0.25">
      <c r="A69" s="61" t="s">
        <v>174</v>
      </c>
      <c r="B69" s="58" t="s">
        <v>1255</v>
      </c>
      <c r="C69" s="8" t="s">
        <v>562</v>
      </c>
      <c r="D69" s="8" t="s">
        <v>1085</v>
      </c>
      <c r="E69" s="8">
        <v>100</v>
      </c>
      <c r="F69" s="8" t="s">
        <v>1113</v>
      </c>
      <c r="G69" s="8" t="s">
        <v>1082</v>
      </c>
      <c r="H69" s="8" t="s">
        <v>1083</v>
      </c>
      <c r="I69" s="21" t="s">
        <v>619</v>
      </c>
      <c r="J69" s="34">
        <v>384</v>
      </c>
      <c r="K69" s="8" t="str">
        <f t="shared" si="4"/>
        <v>180</v>
      </c>
      <c r="L69" s="35" t="s">
        <v>1201</v>
      </c>
      <c r="O69" s="81">
        <f ca="1">OFFSET($G$1,_xlfn.XMATCH(N69,F:F)-1,0)</f>
        <v>0</v>
      </c>
      <c r="P69" s="81">
        <f ca="1">OFFSET($G$1,_xlfn.XMATCH(N69,F:F)-1,1)</f>
        <v>0</v>
      </c>
      <c r="R69" s="81">
        <f t="shared" ref="R69:R106" ca="1" si="5">COUNTIFS(O:O,"="&amp;Q69,O:O,"SW*")</f>
        <v>0</v>
      </c>
      <c r="T69" s="81">
        <f t="shared" ref="T69:T106" ca="1" si="6">COUNTIFS(P:P,"="&amp;S69,P:P,"SW*")</f>
        <v>0</v>
      </c>
    </row>
    <row r="70" spans="1:20" x14ac:dyDescent="0.25">
      <c r="A70" s="61"/>
      <c r="B70" s="59"/>
      <c r="C70" s="8" t="s">
        <v>562</v>
      </c>
      <c r="D70" s="8" t="s">
        <v>1085</v>
      </c>
      <c r="E70" s="8">
        <v>100</v>
      </c>
      <c r="F70" s="8" t="s">
        <v>1113</v>
      </c>
      <c r="G70" s="8" t="s">
        <v>1082</v>
      </c>
      <c r="H70" s="8" t="s">
        <v>1083</v>
      </c>
      <c r="I70" s="21" t="s">
        <v>617</v>
      </c>
      <c r="J70" s="34">
        <v>82</v>
      </c>
      <c r="K70" s="8" t="str">
        <f t="shared" si="4"/>
        <v>052</v>
      </c>
      <c r="L70" s="35" t="s">
        <v>1202</v>
      </c>
      <c r="O70" s="81">
        <f ca="1">OFFSET($G$1,_xlfn.XMATCH(N70,F:F)-1,0)</f>
        <v>0</v>
      </c>
      <c r="P70" s="81">
        <f ca="1">OFFSET($G$1,_xlfn.XMATCH(N70,F:F)-1,1)</f>
        <v>0</v>
      </c>
      <c r="R70" s="81">
        <f t="shared" ca="1" si="5"/>
        <v>0</v>
      </c>
      <c r="T70" s="81">
        <f t="shared" ca="1" si="6"/>
        <v>0</v>
      </c>
    </row>
    <row r="71" spans="1:20" x14ac:dyDescent="0.25">
      <c r="A71" s="61"/>
      <c r="B71" s="60"/>
      <c r="C71" s="8" t="s">
        <v>562</v>
      </c>
      <c r="D71" s="8" t="s">
        <v>1085</v>
      </c>
      <c r="E71" s="8">
        <v>100</v>
      </c>
      <c r="F71" s="8" t="s">
        <v>1113</v>
      </c>
      <c r="G71" s="8" t="s">
        <v>1082</v>
      </c>
      <c r="H71" s="8" t="s">
        <v>1083</v>
      </c>
      <c r="I71" s="21" t="s">
        <v>618</v>
      </c>
      <c r="J71" s="34">
        <v>384</v>
      </c>
      <c r="K71" s="8" t="str">
        <f t="shared" si="4"/>
        <v>180</v>
      </c>
      <c r="L71" s="35" t="s">
        <v>1202</v>
      </c>
      <c r="O71" s="81">
        <f ca="1">OFFSET($G$1,_xlfn.XMATCH(N71,F:F)-1,0)</f>
        <v>0</v>
      </c>
      <c r="P71" s="81">
        <f ca="1">OFFSET($G$1,_xlfn.XMATCH(N71,F:F)-1,1)</f>
        <v>0</v>
      </c>
      <c r="R71" s="81">
        <f t="shared" ca="1" si="5"/>
        <v>0</v>
      </c>
      <c r="T71" s="81">
        <f t="shared" ca="1" si="6"/>
        <v>0</v>
      </c>
    </row>
    <row r="72" spans="1:20" x14ac:dyDescent="0.25">
      <c r="A72" s="61" t="s">
        <v>175</v>
      </c>
      <c r="B72" s="58" t="s">
        <v>1255</v>
      </c>
      <c r="C72" s="8" t="s">
        <v>562</v>
      </c>
      <c r="D72" s="8" t="s">
        <v>1085</v>
      </c>
      <c r="E72" s="8">
        <v>100</v>
      </c>
      <c r="F72" s="8" t="s">
        <v>1114</v>
      </c>
      <c r="G72" s="8" t="s">
        <v>1082</v>
      </c>
      <c r="H72" s="8" t="s">
        <v>1083</v>
      </c>
      <c r="I72" s="21" t="s">
        <v>619</v>
      </c>
      <c r="J72" s="34">
        <v>384</v>
      </c>
      <c r="K72" s="8" t="str">
        <f t="shared" si="4"/>
        <v>180</v>
      </c>
      <c r="L72" s="35" t="s">
        <v>1203</v>
      </c>
      <c r="O72" s="81">
        <f ca="1">OFFSET($G$1,_xlfn.XMATCH(N72,F:F)-1,0)</f>
        <v>0</v>
      </c>
      <c r="P72" s="81">
        <f ca="1">OFFSET($G$1,_xlfn.XMATCH(N72,F:F)-1,1)</f>
        <v>0</v>
      </c>
      <c r="R72" s="81">
        <f t="shared" ca="1" si="5"/>
        <v>0</v>
      </c>
      <c r="T72" s="81">
        <f t="shared" ca="1" si="6"/>
        <v>0</v>
      </c>
    </row>
    <row r="73" spans="1:20" x14ac:dyDescent="0.25">
      <c r="A73" s="61"/>
      <c r="B73" s="59"/>
      <c r="C73" s="8" t="s">
        <v>562</v>
      </c>
      <c r="D73" s="8" t="s">
        <v>1085</v>
      </c>
      <c r="E73" s="8">
        <v>100</v>
      </c>
      <c r="F73" s="8" t="s">
        <v>1114</v>
      </c>
      <c r="G73" s="8" t="s">
        <v>1082</v>
      </c>
      <c r="H73" s="8" t="s">
        <v>1083</v>
      </c>
      <c r="I73" s="21" t="s">
        <v>617</v>
      </c>
      <c r="J73" s="34">
        <v>82</v>
      </c>
      <c r="K73" s="8" t="str">
        <f t="shared" si="4"/>
        <v>052</v>
      </c>
      <c r="L73" s="35" t="s">
        <v>1204</v>
      </c>
      <c r="O73" s="81">
        <f ca="1">OFFSET($G$1,_xlfn.XMATCH(N73,F:F)-1,0)</f>
        <v>0</v>
      </c>
      <c r="P73" s="81">
        <f ca="1">OFFSET($G$1,_xlfn.XMATCH(N73,F:F)-1,1)</f>
        <v>0</v>
      </c>
      <c r="R73" s="81">
        <f t="shared" ca="1" si="5"/>
        <v>0</v>
      </c>
      <c r="T73" s="81">
        <f t="shared" ca="1" si="6"/>
        <v>0</v>
      </c>
    </row>
    <row r="74" spans="1:20" x14ac:dyDescent="0.25">
      <c r="A74" s="61"/>
      <c r="B74" s="60"/>
      <c r="C74" s="8" t="s">
        <v>562</v>
      </c>
      <c r="D74" s="8" t="s">
        <v>1085</v>
      </c>
      <c r="E74" s="8">
        <v>100</v>
      </c>
      <c r="F74" s="8" t="s">
        <v>1114</v>
      </c>
      <c r="G74" s="8" t="s">
        <v>1082</v>
      </c>
      <c r="H74" s="8" t="s">
        <v>1083</v>
      </c>
      <c r="I74" s="21" t="s">
        <v>618</v>
      </c>
      <c r="J74" s="34">
        <v>384</v>
      </c>
      <c r="K74" s="8" t="str">
        <f t="shared" si="4"/>
        <v>180</v>
      </c>
      <c r="L74" s="35" t="s">
        <v>1204</v>
      </c>
      <c r="O74" s="81">
        <f ca="1">OFFSET($G$1,_xlfn.XMATCH(N74,F:F)-1,0)</f>
        <v>0</v>
      </c>
      <c r="P74" s="81">
        <f ca="1">OFFSET($G$1,_xlfn.XMATCH(N74,F:F)-1,1)</f>
        <v>0</v>
      </c>
      <c r="R74" s="81">
        <f t="shared" ca="1" si="5"/>
        <v>0</v>
      </c>
      <c r="T74" s="81">
        <f t="shared" ca="1" si="6"/>
        <v>0</v>
      </c>
    </row>
    <row r="75" spans="1:20" x14ac:dyDescent="0.25">
      <c r="A75" s="61" t="s">
        <v>176</v>
      </c>
      <c r="B75" s="58" t="s">
        <v>1255</v>
      </c>
      <c r="C75" s="8" t="s">
        <v>562</v>
      </c>
      <c r="D75" s="8" t="s">
        <v>1085</v>
      </c>
      <c r="E75" s="8">
        <v>100</v>
      </c>
      <c r="F75" s="8" t="s">
        <v>1115</v>
      </c>
      <c r="G75" s="8" t="s">
        <v>1082</v>
      </c>
      <c r="H75" s="8" t="s">
        <v>1083</v>
      </c>
      <c r="I75" s="21" t="s">
        <v>619</v>
      </c>
      <c r="J75" s="34">
        <v>384</v>
      </c>
      <c r="K75" s="8" t="str">
        <f t="shared" si="4"/>
        <v>180</v>
      </c>
      <c r="L75" s="35" t="s">
        <v>1205</v>
      </c>
      <c r="O75" s="81">
        <f ca="1">OFFSET($G$1,_xlfn.XMATCH(N75,F:F)-1,0)</f>
        <v>0</v>
      </c>
      <c r="P75" s="81">
        <f ca="1">OFFSET($G$1,_xlfn.XMATCH(N75,F:F)-1,1)</f>
        <v>0</v>
      </c>
      <c r="R75" s="81">
        <f t="shared" ca="1" si="5"/>
        <v>0</v>
      </c>
      <c r="T75" s="81">
        <f t="shared" ca="1" si="6"/>
        <v>0</v>
      </c>
    </row>
    <row r="76" spans="1:20" x14ac:dyDescent="0.25">
      <c r="A76" s="61"/>
      <c r="B76" s="59"/>
      <c r="C76" s="8" t="s">
        <v>562</v>
      </c>
      <c r="D76" s="8" t="s">
        <v>1085</v>
      </c>
      <c r="E76" s="8">
        <v>100</v>
      </c>
      <c r="F76" s="8" t="s">
        <v>1115</v>
      </c>
      <c r="G76" s="8" t="s">
        <v>1082</v>
      </c>
      <c r="H76" s="8" t="s">
        <v>1083</v>
      </c>
      <c r="I76" s="21" t="s">
        <v>617</v>
      </c>
      <c r="J76" s="34">
        <v>82</v>
      </c>
      <c r="K76" s="8" t="str">
        <f t="shared" si="4"/>
        <v>052</v>
      </c>
      <c r="L76" s="35" t="s">
        <v>1206</v>
      </c>
      <c r="O76" s="81">
        <f ca="1">OFFSET($G$1,_xlfn.XMATCH(N76,F:F)-1,0)</f>
        <v>0</v>
      </c>
      <c r="P76" s="81">
        <f ca="1">OFFSET($G$1,_xlfn.XMATCH(N76,F:F)-1,1)</f>
        <v>0</v>
      </c>
      <c r="R76" s="81">
        <f t="shared" ca="1" si="5"/>
        <v>0</v>
      </c>
      <c r="T76" s="81">
        <f t="shared" ca="1" si="6"/>
        <v>0</v>
      </c>
    </row>
    <row r="77" spans="1:20" x14ac:dyDescent="0.25">
      <c r="A77" s="61"/>
      <c r="B77" s="60"/>
      <c r="C77" s="8" t="s">
        <v>562</v>
      </c>
      <c r="D77" s="8" t="s">
        <v>1085</v>
      </c>
      <c r="E77" s="8">
        <v>100</v>
      </c>
      <c r="F77" s="8" t="s">
        <v>1115</v>
      </c>
      <c r="G77" s="8" t="s">
        <v>1082</v>
      </c>
      <c r="H77" s="8" t="s">
        <v>1083</v>
      </c>
      <c r="I77" s="21" t="s">
        <v>618</v>
      </c>
      <c r="J77" s="34">
        <v>384</v>
      </c>
      <c r="K77" s="8" t="str">
        <f t="shared" si="4"/>
        <v>180</v>
      </c>
      <c r="L77" s="35" t="s">
        <v>1206</v>
      </c>
      <c r="O77" s="81">
        <f ca="1">OFFSET($G$1,_xlfn.XMATCH(N77,F:F)-1,0)</f>
        <v>0</v>
      </c>
      <c r="P77" s="81">
        <f ca="1">OFFSET($G$1,_xlfn.XMATCH(N77,F:F)-1,1)</f>
        <v>0</v>
      </c>
      <c r="R77" s="81">
        <f t="shared" ca="1" si="5"/>
        <v>0</v>
      </c>
      <c r="T77" s="81">
        <f t="shared" ca="1" si="6"/>
        <v>0</v>
      </c>
    </row>
    <row r="78" spans="1:20" x14ac:dyDescent="0.25">
      <c r="A78" s="61" t="s">
        <v>177</v>
      </c>
      <c r="B78" s="58" t="s">
        <v>1255</v>
      </c>
      <c r="C78" s="8" t="s">
        <v>562</v>
      </c>
      <c r="D78" s="8" t="s">
        <v>1085</v>
      </c>
      <c r="E78" s="8">
        <v>100</v>
      </c>
      <c r="F78" s="8" t="s">
        <v>1116</v>
      </c>
      <c r="G78" s="8" t="s">
        <v>1082</v>
      </c>
      <c r="H78" s="8" t="s">
        <v>1083</v>
      </c>
      <c r="I78" s="21" t="s">
        <v>619</v>
      </c>
      <c r="J78" s="34">
        <v>384</v>
      </c>
      <c r="K78" s="8" t="str">
        <f t="shared" si="4"/>
        <v>180</v>
      </c>
      <c r="L78" s="35" t="s">
        <v>1207</v>
      </c>
      <c r="O78" s="81">
        <f ca="1">OFFSET($G$1,_xlfn.XMATCH(N78,F:F)-1,0)</f>
        <v>0</v>
      </c>
      <c r="P78" s="81">
        <f ca="1">OFFSET($G$1,_xlfn.XMATCH(N78,F:F)-1,1)</f>
        <v>0</v>
      </c>
      <c r="R78" s="81">
        <f t="shared" ca="1" si="5"/>
        <v>0</v>
      </c>
      <c r="T78" s="81">
        <f t="shared" ca="1" si="6"/>
        <v>0</v>
      </c>
    </row>
    <row r="79" spans="1:20" x14ac:dyDescent="0.25">
      <c r="A79" s="61"/>
      <c r="B79" s="59"/>
      <c r="C79" s="8" t="s">
        <v>562</v>
      </c>
      <c r="D79" s="8" t="s">
        <v>1085</v>
      </c>
      <c r="E79" s="8">
        <v>100</v>
      </c>
      <c r="F79" s="8" t="s">
        <v>1116</v>
      </c>
      <c r="G79" s="8" t="s">
        <v>1082</v>
      </c>
      <c r="H79" s="8" t="s">
        <v>1083</v>
      </c>
      <c r="I79" s="21" t="s">
        <v>617</v>
      </c>
      <c r="J79" s="34">
        <v>82</v>
      </c>
      <c r="K79" s="8" t="str">
        <f t="shared" si="4"/>
        <v>052</v>
      </c>
      <c r="L79" s="35" t="s">
        <v>1208</v>
      </c>
      <c r="O79" s="81">
        <f ca="1">OFFSET($G$1,_xlfn.XMATCH(N79,F:F)-1,0)</f>
        <v>0</v>
      </c>
      <c r="P79" s="81">
        <f ca="1">OFFSET($G$1,_xlfn.XMATCH(N79,F:F)-1,1)</f>
        <v>0</v>
      </c>
      <c r="R79" s="81">
        <f t="shared" ca="1" si="5"/>
        <v>0</v>
      </c>
      <c r="T79" s="81">
        <f t="shared" ca="1" si="6"/>
        <v>0</v>
      </c>
    </row>
    <row r="80" spans="1:20" x14ac:dyDescent="0.25">
      <c r="A80" s="61"/>
      <c r="B80" s="60"/>
      <c r="C80" s="8" t="s">
        <v>562</v>
      </c>
      <c r="D80" s="8" t="s">
        <v>1085</v>
      </c>
      <c r="E80" s="8">
        <v>100</v>
      </c>
      <c r="F80" s="8" t="s">
        <v>1116</v>
      </c>
      <c r="G80" s="8" t="s">
        <v>1082</v>
      </c>
      <c r="H80" s="8" t="s">
        <v>1083</v>
      </c>
      <c r="I80" s="21" t="s">
        <v>618</v>
      </c>
      <c r="J80" s="34">
        <v>384</v>
      </c>
      <c r="K80" s="8" t="str">
        <f t="shared" si="4"/>
        <v>180</v>
      </c>
      <c r="L80" s="35" t="s">
        <v>1208</v>
      </c>
      <c r="O80" s="81">
        <f ca="1">OFFSET($G$1,_xlfn.XMATCH(N80,F:F)-1,0)</f>
        <v>0</v>
      </c>
      <c r="P80" s="81">
        <f ca="1">OFFSET($G$1,_xlfn.XMATCH(N80,F:F)-1,1)</f>
        <v>0</v>
      </c>
      <c r="R80" s="81">
        <f t="shared" ca="1" si="5"/>
        <v>0</v>
      </c>
      <c r="T80" s="81">
        <f t="shared" ca="1" si="6"/>
        <v>0</v>
      </c>
    </row>
    <row r="81" spans="1:20" x14ac:dyDescent="0.25">
      <c r="A81" s="61" t="s">
        <v>155</v>
      </c>
      <c r="B81" s="58" t="s">
        <v>1256</v>
      </c>
      <c r="C81" s="8" t="s">
        <v>562</v>
      </c>
      <c r="D81" s="8" t="s">
        <v>1085</v>
      </c>
      <c r="E81" s="8">
        <v>100</v>
      </c>
      <c r="F81" s="8" t="s">
        <v>1117</v>
      </c>
      <c r="G81" s="8" t="s">
        <v>1078</v>
      </c>
      <c r="H81" s="8" t="s">
        <v>1079</v>
      </c>
      <c r="I81" s="21" t="s">
        <v>617</v>
      </c>
      <c r="J81" s="34">
        <v>82</v>
      </c>
      <c r="K81" s="8" t="str">
        <f t="shared" si="4"/>
        <v>052</v>
      </c>
      <c r="L81" s="35" t="s">
        <v>1209</v>
      </c>
      <c r="O81" s="81">
        <f ca="1">OFFSET($G$1,_xlfn.XMATCH(N81,F:F)-1,0)</f>
        <v>0</v>
      </c>
      <c r="P81" s="81">
        <f ca="1">OFFSET($G$1,_xlfn.XMATCH(N81,F:F)-1,1)</f>
        <v>0</v>
      </c>
      <c r="R81" s="81">
        <f t="shared" ca="1" si="5"/>
        <v>0</v>
      </c>
      <c r="T81" s="81">
        <f t="shared" ca="1" si="6"/>
        <v>0</v>
      </c>
    </row>
    <row r="82" spans="1:20" x14ac:dyDescent="0.25">
      <c r="A82" s="61"/>
      <c r="B82" s="59"/>
      <c r="C82" s="8" t="s">
        <v>562</v>
      </c>
      <c r="D82" s="8" t="s">
        <v>1085</v>
      </c>
      <c r="E82" s="8">
        <v>100</v>
      </c>
      <c r="F82" s="8" t="s">
        <v>1117</v>
      </c>
      <c r="G82" s="8" t="s">
        <v>1078</v>
      </c>
      <c r="H82" s="8" t="s">
        <v>1079</v>
      </c>
      <c r="I82" s="21" t="s">
        <v>618</v>
      </c>
      <c r="J82" s="34">
        <v>184</v>
      </c>
      <c r="K82" s="8" t="str">
        <f t="shared" si="4"/>
        <v>0B8</v>
      </c>
      <c r="L82" s="35" t="s">
        <v>1209</v>
      </c>
      <c r="O82" s="81">
        <f ca="1">OFFSET($G$1,_xlfn.XMATCH(N82,F:F)-1,0)</f>
        <v>0</v>
      </c>
      <c r="P82" s="81">
        <f ca="1">OFFSET($G$1,_xlfn.XMATCH(N82,F:F)-1,1)</f>
        <v>0</v>
      </c>
      <c r="R82" s="81">
        <f t="shared" ca="1" si="5"/>
        <v>0</v>
      </c>
      <c r="T82" s="81">
        <f t="shared" ca="1" si="6"/>
        <v>0</v>
      </c>
    </row>
    <row r="83" spans="1:20" x14ac:dyDescent="0.25">
      <c r="A83" s="61"/>
      <c r="B83" s="59"/>
      <c r="C83" s="8" t="s">
        <v>1076</v>
      </c>
      <c r="D83" s="8" t="s">
        <v>1085</v>
      </c>
      <c r="E83" s="8">
        <v>100</v>
      </c>
      <c r="F83" s="8" t="s">
        <v>1118</v>
      </c>
      <c r="G83" s="8" t="s">
        <v>1084</v>
      </c>
      <c r="H83" s="8" t="s">
        <v>1086</v>
      </c>
      <c r="I83" s="21" t="s">
        <v>615</v>
      </c>
      <c r="J83" s="34">
        <v>97</v>
      </c>
      <c r="K83" s="8" t="str">
        <f t="shared" si="4"/>
        <v>061</v>
      </c>
      <c r="L83" s="35" t="s">
        <v>1209</v>
      </c>
      <c r="O83" s="81">
        <f ca="1">OFFSET($G$1,_xlfn.XMATCH(N83,F:F)-1,0)</f>
        <v>0</v>
      </c>
      <c r="P83" s="81">
        <f ca="1">OFFSET($G$1,_xlfn.XMATCH(N83,F:F)-1,1)</f>
        <v>0</v>
      </c>
      <c r="R83" s="81">
        <f t="shared" ca="1" si="5"/>
        <v>0</v>
      </c>
      <c r="T83" s="81">
        <f t="shared" ca="1" si="6"/>
        <v>0</v>
      </c>
    </row>
    <row r="84" spans="1:20" x14ac:dyDescent="0.25">
      <c r="A84" s="61"/>
      <c r="B84" s="59"/>
      <c r="C84" s="8" t="s">
        <v>1076</v>
      </c>
      <c r="D84" s="8" t="s">
        <v>1085</v>
      </c>
      <c r="E84" s="8">
        <v>100</v>
      </c>
      <c r="F84" s="8" t="s">
        <v>1118</v>
      </c>
      <c r="G84" s="8" t="s">
        <v>1084</v>
      </c>
      <c r="H84" s="8" t="s">
        <v>1086</v>
      </c>
      <c r="I84" s="21" t="s">
        <v>608</v>
      </c>
      <c r="J84" s="34">
        <v>0</v>
      </c>
      <c r="K84" s="8" t="str">
        <f t="shared" si="4"/>
        <v>000</v>
      </c>
      <c r="L84" s="35" t="s">
        <v>1073</v>
      </c>
      <c r="O84" s="81">
        <f ca="1">OFFSET($G$1,_xlfn.XMATCH(N84,F:F)-1,0)</f>
        <v>0</v>
      </c>
      <c r="P84" s="81">
        <f ca="1">OFFSET($G$1,_xlfn.XMATCH(N84,F:F)-1,1)</f>
        <v>0</v>
      </c>
      <c r="R84" s="81">
        <f t="shared" ca="1" si="5"/>
        <v>0</v>
      </c>
      <c r="T84" s="81">
        <f t="shared" ca="1" si="6"/>
        <v>0</v>
      </c>
    </row>
    <row r="85" spans="1:20" x14ac:dyDescent="0.25">
      <c r="A85" s="61"/>
      <c r="B85" s="60"/>
      <c r="C85" s="8" t="s">
        <v>1076</v>
      </c>
      <c r="D85" s="8" t="s">
        <v>1085</v>
      </c>
      <c r="E85" s="8">
        <v>100</v>
      </c>
      <c r="F85" s="8" t="s">
        <v>1118</v>
      </c>
      <c r="G85" s="8" t="s">
        <v>1084</v>
      </c>
      <c r="H85" s="8" t="s">
        <v>1086</v>
      </c>
      <c r="I85" s="21" t="s">
        <v>609</v>
      </c>
      <c r="J85" s="34">
        <v>0</v>
      </c>
      <c r="K85" s="8" t="str">
        <f t="shared" si="4"/>
        <v>000</v>
      </c>
      <c r="L85" s="35" t="s">
        <v>1073</v>
      </c>
      <c r="O85" s="81">
        <f ca="1">OFFSET($G$1,_xlfn.XMATCH(N85,F:F)-1,0)</f>
        <v>0</v>
      </c>
      <c r="P85" s="81">
        <f ca="1">OFFSET($G$1,_xlfn.XMATCH(N85,F:F)-1,1)</f>
        <v>0</v>
      </c>
      <c r="R85" s="81">
        <f t="shared" ca="1" si="5"/>
        <v>0</v>
      </c>
      <c r="T85" s="81">
        <f t="shared" ca="1" si="6"/>
        <v>0</v>
      </c>
    </row>
    <row r="86" spans="1:20" x14ac:dyDescent="0.25">
      <c r="A86" s="61" t="s">
        <v>157</v>
      </c>
      <c r="B86" s="58" t="s">
        <v>1256</v>
      </c>
      <c r="C86" s="8" t="s">
        <v>562</v>
      </c>
      <c r="D86" s="8" t="s">
        <v>1085</v>
      </c>
      <c r="E86" s="8">
        <v>100</v>
      </c>
      <c r="F86" s="8" t="s">
        <v>1119</v>
      </c>
      <c r="G86" s="8" t="s">
        <v>1078</v>
      </c>
      <c r="H86" s="8" t="s">
        <v>1079</v>
      </c>
      <c r="I86" s="21" t="s">
        <v>617</v>
      </c>
      <c r="J86" s="34">
        <v>82</v>
      </c>
      <c r="K86" s="8" t="str">
        <f t="shared" si="4"/>
        <v>052</v>
      </c>
      <c r="L86" s="35" t="s">
        <v>1210</v>
      </c>
      <c r="O86" s="81">
        <f ca="1">OFFSET($G$1,_xlfn.XMATCH(N86,F:F)-1,0)</f>
        <v>0</v>
      </c>
      <c r="P86" s="81">
        <f ca="1">OFFSET($G$1,_xlfn.XMATCH(N86,F:F)-1,1)</f>
        <v>0</v>
      </c>
      <c r="R86" s="81">
        <f t="shared" ca="1" si="5"/>
        <v>0</v>
      </c>
      <c r="T86" s="81">
        <f t="shared" ca="1" si="6"/>
        <v>0</v>
      </c>
    </row>
    <row r="87" spans="1:20" x14ac:dyDescent="0.25">
      <c r="A87" s="61"/>
      <c r="B87" s="59"/>
      <c r="C87" s="8" t="s">
        <v>562</v>
      </c>
      <c r="D87" s="8" t="s">
        <v>1085</v>
      </c>
      <c r="E87" s="8">
        <v>100</v>
      </c>
      <c r="F87" s="8" t="s">
        <v>1119</v>
      </c>
      <c r="G87" s="8" t="s">
        <v>1078</v>
      </c>
      <c r="H87" s="8" t="s">
        <v>1079</v>
      </c>
      <c r="I87" s="21" t="s">
        <v>618</v>
      </c>
      <c r="J87" s="34">
        <v>184</v>
      </c>
      <c r="K87" s="8" t="str">
        <f t="shared" si="4"/>
        <v>0B8</v>
      </c>
      <c r="L87" s="35" t="s">
        <v>1210</v>
      </c>
      <c r="O87" s="81">
        <f ca="1">OFFSET($G$1,_xlfn.XMATCH(N87,F:F)-1,0)</f>
        <v>0</v>
      </c>
      <c r="P87" s="81">
        <f ca="1">OFFSET($G$1,_xlfn.XMATCH(N87,F:F)-1,1)</f>
        <v>0</v>
      </c>
      <c r="R87" s="81">
        <f t="shared" ca="1" si="5"/>
        <v>0</v>
      </c>
      <c r="T87" s="81">
        <f t="shared" ca="1" si="6"/>
        <v>0</v>
      </c>
    </row>
    <row r="88" spans="1:20" x14ac:dyDescent="0.25">
      <c r="A88" s="61"/>
      <c r="B88" s="59"/>
      <c r="C88" s="8" t="s">
        <v>1076</v>
      </c>
      <c r="D88" s="8" t="s">
        <v>1085</v>
      </c>
      <c r="E88" s="8">
        <v>100</v>
      </c>
      <c r="F88" s="8" t="s">
        <v>1120</v>
      </c>
      <c r="G88" s="8" t="s">
        <v>1084</v>
      </c>
      <c r="H88" s="8" t="s">
        <v>1086</v>
      </c>
      <c r="I88" s="21" t="s">
        <v>615</v>
      </c>
      <c r="J88" s="34">
        <v>97</v>
      </c>
      <c r="K88" s="8" t="str">
        <f t="shared" si="4"/>
        <v>061</v>
      </c>
      <c r="L88" s="35" t="s">
        <v>1210</v>
      </c>
      <c r="O88" s="81">
        <f ca="1">OFFSET($G$1,_xlfn.XMATCH(N88,F:F)-1,0)</f>
        <v>0</v>
      </c>
      <c r="P88" s="81">
        <f ca="1">OFFSET($G$1,_xlfn.XMATCH(N88,F:F)-1,1)</f>
        <v>0</v>
      </c>
      <c r="R88" s="81">
        <f t="shared" ca="1" si="5"/>
        <v>0</v>
      </c>
      <c r="T88" s="81">
        <f t="shared" ca="1" si="6"/>
        <v>0</v>
      </c>
    </row>
    <row r="89" spans="1:20" x14ac:dyDescent="0.25">
      <c r="A89" s="61"/>
      <c r="B89" s="59"/>
      <c r="C89" s="8" t="s">
        <v>1076</v>
      </c>
      <c r="D89" s="8" t="s">
        <v>1085</v>
      </c>
      <c r="E89" s="8">
        <v>100</v>
      </c>
      <c r="F89" s="8" t="s">
        <v>1120</v>
      </c>
      <c r="G89" s="8" t="s">
        <v>1084</v>
      </c>
      <c r="H89" s="8" t="s">
        <v>1086</v>
      </c>
      <c r="I89" s="21" t="s">
        <v>608</v>
      </c>
      <c r="J89" s="34">
        <v>0</v>
      </c>
      <c r="K89" s="8" t="str">
        <f t="shared" si="4"/>
        <v>000</v>
      </c>
      <c r="L89" s="35" t="s">
        <v>1073</v>
      </c>
      <c r="O89" s="81">
        <f ca="1">OFFSET($G$1,_xlfn.XMATCH(N89,F:F)-1,0)</f>
        <v>0</v>
      </c>
      <c r="P89" s="81">
        <f ca="1">OFFSET($G$1,_xlfn.XMATCH(N89,F:F)-1,1)</f>
        <v>0</v>
      </c>
      <c r="R89" s="81">
        <f t="shared" ca="1" si="5"/>
        <v>0</v>
      </c>
      <c r="T89" s="81">
        <f t="shared" ca="1" si="6"/>
        <v>0</v>
      </c>
    </row>
    <row r="90" spans="1:20" x14ac:dyDescent="0.25">
      <c r="A90" s="61"/>
      <c r="B90" s="60"/>
      <c r="C90" s="8" t="s">
        <v>1076</v>
      </c>
      <c r="D90" s="8" t="s">
        <v>1085</v>
      </c>
      <c r="E90" s="8">
        <v>100</v>
      </c>
      <c r="F90" s="8" t="s">
        <v>1120</v>
      </c>
      <c r="G90" s="8" t="s">
        <v>1084</v>
      </c>
      <c r="H90" s="8" t="s">
        <v>1086</v>
      </c>
      <c r="I90" s="21" t="s">
        <v>609</v>
      </c>
      <c r="J90" s="34">
        <v>0</v>
      </c>
      <c r="K90" s="8" t="str">
        <f t="shared" si="4"/>
        <v>000</v>
      </c>
      <c r="L90" s="35" t="s">
        <v>1073</v>
      </c>
      <c r="O90" s="81">
        <f ca="1">OFFSET($G$1,_xlfn.XMATCH(N90,F:F)-1,0)</f>
        <v>0</v>
      </c>
      <c r="P90" s="81">
        <f ca="1">OFFSET($G$1,_xlfn.XMATCH(N90,F:F)-1,1)</f>
        <v>0</v>
      </c>
      <c r="R90" s="81">
        <f t="shared" ca="1" si="5"/>
        <v>0</v>
      </c>
      <c r="T90" s="81">
        <f t="shared" ca="1" si="6"/>
        <v>0</v>
      </c>
    </row>
    <row r="91" spans="1:20" x14ac:dyDescent="0.25">
      <c r="A91" s="61" t="s">
        <v>143</v>
      </c>
      <c r="B91" s="58" t="s">
        <v>1256</v>
      </c>
      <c r="C91" s="8" t="s">
        <v>562</v>
      </c>
      <c r="D91" s="8" t="s">
        <v>1085</v>
      </c>
      <c r="E91" s="8">
        <v>100</v>
      </c>
      <c r="F91" s="8" t="s">
        <v>1121</v>
      </c>
      <c r="G91" s="8" t="s">
        <v>1080</v>
      </c>
      <c r="H91" s="8" t="s">
        <v>1081</v>
      </c>
      <c r="I91" s="21" t="s">
        <v>617</v>
      </c>
      <c r="J91" s="34">
        <v>82</v>
      </c>
      <c r="K91" s="8" t="str">
        <f t="shared" si="4"/>
        <v>052</v>
      </c>
      <c r="L91" s="35" t="s">
        <v>1211</v>
      </c>
      <c r="O91" s="81">
        <f ca="1">OFFSET($G$1,_xlfn.XMATCH(N91,F:F)-1,0)</f>
        <v>0</v>
      </c>
      <c r="P91" s="81">
        <f ca="1">OFFSET($G$1,_xlfn.XMATCH(N91,F:F)-1,1)</f>
        <v>0</v>
      </c>
      <c r="R91" s="81">
        <f t="shared" ca="1" si="5"/>
        <v>0</v>
      </c>
      <c r="T91" s="81">
        <f t="shared" ca="1" si="6"/>
        <v>0</v>
      </c>
    </row>
    <row r="92" spans="1:20" x14ac:dyDescent="0.25">
      <c r="A92" s="61"/>
      <c r="B92" s="59"/>
      <c r="C92" s="8" t="s">
        <v>562</v>
      </c>
      <c r="D92" s="8" t="s">
        <v>1085</v>
      </c>
      <c r="E92" s="8">
        <v>100</v>
      </c>
      <c r="F92" s="8" t="s">
        <v>1121</v>
      </c>
      <c r="G92" s="8" t="s">
        <v>1080</v>
      </c>
      <c r="H92" s="8" t="s">
        <v>1081</v>
      </c>
      <c r="I92" s="21" t="s">
        <v>618</v>
      </c>
      <c r="J92" s="34">
        <v>284</v>
      </c>
      <c r="K92" s="8" t="str">
        <f t="shared" si="4"/>
        <v>11C</v>
      </c>
      <c r="L92" s="35" t="s">
        <v>1211</v>
      </c>
      <c r="O92" s="81">
        <f ca="1">OFFSET($G$1,_xlfn.XMATCH(N92,F:F)-1,0)</f>
        <v>0</v>
      </c>
      <c r="P92" s="81">
        <f ca="1">OFFSET($G$1,_xlfn.XMATCH(N92,F:F)-1,1)</f>
        <v>0</v>
      </c>
      <c r="R92" s="81">
        <f t="shared" ca="1" si="5"/>
        <v>0</v>
      </c>
      <c r="T92" s="81">
        <f t="shared" ca="1" si="6"/>
        <v>0</v>
      </c>
    </row>
    <row r="93" spans="1:20" x14ac:dyDescent="0.25">
      <c r="A93" s="61"/>
      <c r="B93" s="59"/>
      <c r="C93" s="8" t="s">
        <v>1076</v>
      </c>
      <c r="D93" s="8" t="s">
        <v>1085</v>
      </c>
      <c r="E93" s="8">
        <v>100</v>
      </c>
      <c r="F93" s="8" t="s">
        <v>1122</v>
      </c>
      <c r="G93" s="8" t="s">
        <v>1087</v>
      </c>
      <c r="H93" s="8" t="s">
        <v>1088</v>
      </c>
      <c r="I93" s="21" t="s">
        <v>615</v>
      </c>
      <c r="J93" s="34">
        <v>97</v>
      </c>
      <c r="K93" s="8" t="str">
        <f t="shared" si="4"/>
        <v>061</v>
      </c>
      <c r="L93" s="35" t="s">
        <v>1211</v>
      </c>
      <c r="O93" s="81">
        <f ca="1">OFFSET($G$1,_xlfn.XMATCH(N93,F:F)-1,0)</f>
        <v>0</v>
      </c>
      <c r="P93" s="81">
        <f ca="1">OFFSET($G$1,_xlfn.XMATCH(N93,F:F)-1,1)</f>
        <v>0</v>
      </c>
      <c r="R93" s="81">
        <f t="shared" ca="1" si="5"/>
        <v>0</v>
      </c>
      <c r="T93" s="81">
        <f t="shared" ca="1" si="6"/>
        <v>0</v>
      </c>
    </row>
    <row r="94" spans="1:20" x14ac:dyDescent="0.25">
      <c r="A94" s="61"/>
      <c r="B94" s="59"/>
      <c r="C94" s="8" t="s">
        <v>1076</v>
      </c>
      <c r="D94" s="8" t="s">
        <v>1085</v>
      </c>
      <c r="E94" s="8">
        <v>100</v>
      </c>
      <c r="F94" s="8" t="s">
        <v>1122</v>
      </c>
      <c r="G94" s="8" t="s">
        <v>1087</v>
      </c>
      <c r="H94" s="8" t="s">
        <v>1088</v>
      </c>
      <c r="I94" s="21" t="s">
        <v>608</v>
      </c>
      <c r="J94" s="34">
        <v>0</v>
      </c>
      <c r="K94" s="8" t="str">
        <f t="shared" si="4"/>
        <v>000</v>
      </c>
      <c r="L94" s="35" t="s">
        <v>1073</v>
      </c>
      <c r="O94" s="81">
        <f ca="1">OFFSET($G$1,_xlfn.XMATCH(N94,F:F)-1,0)</f>
        <v>0</v>
      </c>
      <c r="P94" s="81">
        <f ca="1">OFFSET($G$1,_xlfn.XMATCH(N94,F:F)-1,1)</f>
        <v>0</v>
      </c>
      <c r="R94" s="81">
        <f t="shared" ca="1" si="5"/>
        <v>0</v>
      </c>
      <c r="T94" s="81">
        <f t="shared" ca="1" si="6"/>
        <v>0</v>
      </c>
    </row>
    <row r="95" spans="1:20" x14ac:dyDescent="0.25">
      <c r="A95" s="61"/>
      <c r="B95" s="60"/>
      <c r="C95" s="8" t="s">
        <v>1076</v>
      </c>
      <c r="D95" s="8" t="s">
        <v>1085</v>
      </c>
      <c r="E95" s="8">
        <v>100</v>
      </c>
      <c r="F95" s="8" t="s">
        <v>1122</v>
      </c>
      <c r="G95" s="8" t="s">
        <v>1087</v>
      </c>
      <c r="H95" s="8" t="s">
        <v>1088</v>
      </c>
      <c r="I95" s="21" t="s">
        <v>609</v>
      </c>
      <c r="J95" s="34">
        <v>0</v>
      </c>
      <c r="K95" s="8" t="str">
        <f t="shared" si="4"/>
        <v>000</v>
      </c>
      <c r="L95" s="35" t="s">
        <v>1073</v>
      </c>
      <c r="O95" s="81">
        <f ca="1">OFFSET($G$1,_xlfn.XMATCH(N95,F:F)-1,0)</f>
        <v>0</v>
      </c>
      <c r="P95" s="81">
        <f ca="1">OFFSET($G$1,_xlfn.XMATCH(N95,F:F)-1,1)</f>
        <v>0</v>
      </c>
      <c r="R95" s="81">
        <f t="shared" ca="1" si="5"/>
        <v>0</v>
      </c>
      <c r="T95" s="81">
        <f t="shared" ca="1" si="6"/>
        <v>0</v>
      </c>
    </row>
    <row r="96" spans="1:20" x14ac:dyDescent="0.25">
      <c r="A96" s="61" t="s">
        <v>145</v>
      </c>
      <c r="B96" s="58" t="s">
        <v>1256</v>
      </c>
      <c r="C96" s="8" t="s">
        <v>562</v>
      </c>
      <c r="D96" s="8" t="s">
        <v>1085</v>
      </c>
      <c r="E96" s="8">
        <v>100</v>
      </c>
      <c r="F96" s="8" t="s">
        <v>1123</v>
      </c>
      <c r="G96" s="8" t="s">
        <v>1080</v>
      </c>
      <c r="H96" s="8" t="s">
        <v>1081</v>
      </c>
      <c r="I96" s="21" t="s">
        <v>617</v>
      </c>
      <c r="J96" s="34">
        <v>82</v>
      </c>
      <c r="K96" s="8" t="str">
        <f t="shared" si="4"/>
        <v>052</v>
      </c>
      <c r="L96" s="35" t="s">
        <v>1212</v>
      </c>
      <c r="O96" s="81">
        <f ca="1">OFFSET($G$1,_xlfn.XMATCH(N96,F:F)-1,0)</f>
        <v>0</v>
      </c>
      <c r="P96" s="81">
        <f ca="1">OFFSET($G$1,_xlfn.XMATCH(N96,F:F)-1,1)</f>
        <v>0</v>
      </c>
      <c r="R96" s="81">
        <f t="shared" ca="1" si="5"/>
        <v>0</v>
      </c>
      <c r="T96" s="81">
        <f t="shared" ca="1" si="6"/>
        <v>0</v>
      </c>
    </row>
    <row r="97" spans="1:20" x14ac:dyDescent="0.25">
      <c r="A97" s="61"/>
      <c r="B97" s="59"/>
      <c r="C97" s="8" t="s">
        <v>562</v>
      </c>
      <c r="D97" s="8" t="s">
        <v>1085</v>
      </c>
      <c r="E97" s="8">
        <v>100</v>
      </c>
      <c r="F97" s="8" t="s">
        <v>1123</v>
      </c>
      <c r="G97" s="8" t="s">
        <v>1080</v>
      </c>
      <c r="H97" s="8" t="s">
        <v>1081</v>
      </c>
      <c r="I97" s="21" t="s">
        <v>618</v>
      </c>
      <c r="J97" s="34">
        <v>284</v>
      </c>
      <c r="K97" s="8" t="str">
        <f t="shared" ref="K97:K119" si="7">DEC2HEX(J97,3)</f>
        <v>11C</v>
      </c>
      <c r="L97" s="35" t="s">
        <v>1212</v>
      </c>
      <c r="O97" s="81">
        <f ca="1">OFFSET($G$1,_xlfn.XMATCH(N97,F:F)-1,0)</f>
        <v>0</v>
      </c>
      <c r="P97" s="81">
        <f ca="1">OFFSET($G$1,_xlfn.XMATCH(N97,F:F)-1,1)</f>
        <v>0</v>
      </c>
      <c r="R97" s="81">
        <f t="shared" ca="1" si="5"/>
        <v>0</v>
      </c>
      <c r="T97" s="81">
        <f t="shared" ca="1" si="6"/>
        <v>0</v>
      </c>
    </row>
    <row r="98" spans="1:20" x14ac:dyDescent="0.25">
      <c r="A98" s="61"/>
      <c r="B98" s="59"/>
      <c r="C98" s="8" t="s">
        <v>1076</v>
      </c>
      <c r="D98" s="8" t="s">
        <v>1085</v>
      </c>
      <c r="E98" s="8">
        <v>100</v>
      </c>
      <c r="F98" s="8" t="s">
        <v>1124</v>
      </c>
      <c r="G98" s="8" t="s">
        <v>1087</v>
      </c>
      <c r="H98" s="8" t="s">
        <v>1088</v>
      </c>
      <c r="I98" s="21" t="s">
        <v>615</v>
      </c>
      <c r="J98" s="34">
        <v>97</v>
      </c>
      <c r="K98" s="8" t="str">
        <f t="shared" si="7"/>
        <v>061</v>
      </c>
      <c r="L98" s="35" t="s">
        <v>1212</v>
      </c>
      <c r="O98" s="81">
        <f ca="1">OFFSET($G$1,_xlfn.XMATCH(N98,F:F)-1,0)</f>
        <v>0</v>
      </c>
      <c r="P98" s="81">
        <f ca="1">OFFSET($G$1,_xlfn.XMATCH(N98,F:F)-1,1)</f>
        <v>0</v>
      </c>
      <c r="R98" s="81">
        <f t="shared" ca="1" si="5"/>
        <v>0</v>
      </c>
      <c r="T98" s="81">
        <f t="shared" ca="1" si="6"/>
        <v>0</v>
      </c>
    </row>
    <row r="99" spans="1:20" x14ac:dyDescent="0.25">
      <c r="A99" s="61"/>
      <c r="B99" s="59"/>
      <c r="C99" s="8" t="s">
        <v>1076</v>
      </c>
      <c r="D99" s="8" t="s">
        <v>1085</v>
      </c>
      <c r="E99" s="8">
        <v>100</v>
      </c>
      <c r="F99" s="8" t="s">
        <v>1124</v>
      </c>
      <c r="G99" s="8" t="s">
        <v>1087</v>
      </c>
      <c r="H99" s="8" t="s">
        <v>1088</v>
      </c>
      <c r="I99" s="21" t="s">
        <v>608</v>
      </c>
      <c r="J99" s="34">
        <v>0</v>
      </c>
      <c r="K99" s="8" t="str">
        <f t="shared" si="7"/>
        <v>000</v>
      </c>
      <c r="L99" s="35" t="s">
        <v>1073</v>
      </c>
      <c r="O99" s="81">
        <f ca="1">OFFSET($G$1,_xlfn.XMATCH(N99,F:F)-1,0)</f>
        <v>0</v>
      </c>
      <c r="P99" s="81">
        <f ca="1">OFFSET($G$1,_xlfn.XMATCH(N99,F:F)-1,1)</f>
        <v>0</v>
      </c>
      <c r="R99" s="81">
        <f t="shared" ca="1" si="5"/>
        <v>0</v>
      </c>
      <c r="T99" s="81">
        <f t="shared" ca="1" si="6"/>
        <v>0</v>
      </c>
    </row>
    <row r="100" spans="1:20" x14ac:dyDescent="0.25">
      <c r="A100" s="61"/>
      <c r="B100" s="60"/>
      <c r="C100" s="8" t="s">
        <v>1076</v>
      </c>
      <c r="D100" s="8" t="s">
        <v>1085</v>
      </c>
      <c r="E100" s="8">
        <v>100</v>
      </c>
      <c r="F100" s="8" t="s">
        <v>1124</v>
      </c>
      <c r="G100" s="8" t="s">
        <v>1087</v>
      </c>
      <c r="H100" s="8" t="s">
        <v>1088</v>
      </c>
      <c r="I100" s="21" t="s">
        <v>609</v>
      </c>
      <c r="J100" s="34">
        <v>0</v>
      </c>
      <c r="K100" s="8" t="str">
        <f t="shared" si="7"/>
        <v>000</v>
      </c>
      <c r="L100" s="35" t="s">
        <v>1073</v>
      </c>
      <c r="O100" s="81">
        <f ca="1">OFFSET($G$1,_xlfn.XMATCH(N100,F:F)-1,0)</f>
        <v>0</v>
      </c>
      <c r="P100" s="81">
        <f ca="1">OFFSET($G$1,_xlfn.XMATCH(N100,F:F)-1,1)</f>
        <v>0</v>
      </c>
      <c r="R100" s="81">
        <f t="shared" ca="1" si="5"/>
        <v>0</v>
      </c>
      <c r="T100" s="81">
        <f t="shared" ca="1" si="6"/>
        <v>0</v>
      </c>
    </row>
    <row r="101" spans="1:20" x14ac:dyDescent="0.25">
      <c r="A101" s="61" t="s">
        <v>160</v>
      </c>
      <c r="B101" s="58" t="s">
        <v>1256</v>
      </c>
      <c r="C101" s="8" t="s">
        <v>562</v>
      </c>
      <c r="D101" s="8" t="s">
        <v>1085</v>
      </c>
      <c r="E101" s="8">
        <v>100</v>
      </c>
      <c r="F101" s="8" t="s">
        <v>1125</v>
      </c>
      <c r="G101" s="8" t="s">
        <v>1082</v>
      </c>
      <c r="H101" s="8" t="s">
        <v>1083</v>
      </c>
      <c r="I101" s="21" t="s">
        <v>617</v>
      </c>
      <c r="J101" s="34">
        <v>82</v>
      </c>
      <c r="K101" s="8" t="str">
        <f t="shared" si="7"/>
        <v>052</v>
      </c>
      <c r="L101" s="35" t="s">
        <v>1213</v>
      </c>
      <c r="O101" s="81">
        <f ca="1">OFFSET($G$1,_xlfn.XMATCH(N101,F:F)-1,0)</f>
        <v>0</v>
      </c>
      <c r="P101" s="81">
        <f ca="1">OFFSET($G$1,_xlfn.XMATCH(N101,F:F)-1,1)</f>
        <v>0</v>
      </c>
      <c r="R101" s="81">
        <f t="shared" ca="1" si="5"/>
        <v>0</v>
      </c>
      <c r="T101" s="81">
        <f t="shared" ca="1" si="6"/>
        <v>0</v>
      </c>
    </row>
    <row r="102" spans="1:20" x14ac:dyDescent="0.25">
      <c r="A102" s="61"/>
      <c r="B102" s="59"/>
      <c r="C102" s="8" t="s">
        <v>562</v>
      </c>
      <c r="D102" s="8" t="s">
        <v>1085</v>
      </c>
      <c r="E102" s="8">
        <v>100</v>
      </c>
      <c r="F102" s="8" t="s">
        <v>1125</v>
      </c>
      <c r="G102" s="8" t="s">
        <v>1082</v>
      </c>
      <c r="H102" s="8" t="s">
        <v>1083</v>
      </c>
      <c r="I102" s="21" t="s">
        <v>618</v>
      </c>
      <c r="J102" s="34">
        <v>384</v>
      </c>
      <c r="K102" s="8" t="str">
        <f t="shared" si="7"/>
        <v>180</v>
      </c>
      <c r="L102" s="35" t="s">
        <v>1213</v>
      </c>
      <c r="O102" s="81">
        <f ca="1">OFFSET($G$1,_xlfn.XMATCH(N102,F:F)-1,0)</f>
        <v>0</v>
      </c>
      <c r="P102" s="81">
        <f ca="1">OFFSET($G$1,_xlfn.XMATCH(N102,F:F)-1,1)</f>
        <v>0</v>
      </c>
      <c r="R102" s="81">
        <f t="shared" ca="1" si="5"/>
        <v>0</v>
      </c>
      <c r="T102" s="81">
        <f t="shared" ca="1" si="6"/>
        <v>0</v>
      </c>
    </row>
    <row r="103" spans="1:20" x14ac:dyDescent="0.25">
      <c r="A103" s="61"/>
      <c r="B103" s="59"/>
      <c r="C103" s="8" t="s">
        <v>1076</v>
      </c>
      <c r="D103" s="8" t="s">
        <v>1085</v>
      </c>
      <c r="E103" s="8">
        <v>100</v>
      </c>
      <c r="F103" s="8" t="s">
        <v>1126</v>
      </c>
      <c r="G103" s="8" t="s">
        <v>1089</v>
      </c>
      <c r="H103" s="8" t="s">
        <v>1090</v>
      </c>
      <c r="I103" s="21" t="s">
        <v>615</v>
      </c>
      <c r="J103" s="34">
        <v>97</v>
      </c>
      <c r="K103" s="8" t="str">
        <f t="shared" si="7"/>
        <v>061</v>
      </c>
      <c r="L103" s="35" t="s">
        <v>1213</v>
      </c>
      <c r="O103" s="81">
        <f ca="1">OFFSET($G$1,_xlfn.XMATCH(N103,F:F)-1,0)</f>
        <v>0</v>
      </c>
      <c r="P103" s="81">
        <f ca="1">OFFSET($G$1,_xlfn.XMATCH(N103,F:F)-1,1)</f>
        <v>0</v>
      </c>
      <c r="R103" s="81">
        <f t="shared" ca="1" si="5"/>
        <v>0</v>
      </c>
      <c r="T103" s="81">
        <f t="shared" ca="1" si="6"/>
        <v>0</v>
      </c>
    </row>
    <row r="104" spans="1:20" x14ac:dyDescent="0.25">
      <c r="A104" s="61"/>
      <c r="B104" s="59"/>
      <c r="C104" s="8" t="s">
        <v>1076</v>
      </c>
      <c r="D104" s="8" t="s">
        <v>1085</v>
      </c>
      <c r="E104" s="8">
        <v>100</v>
      </c>
      <c r="F104" s="8" t="s">
        <v>1126</v>
      </c>
      <c r="G104" s="8" t="s">
        <v>1089</v>
      </c>
      <c r="H104" s="8" t="s">
        <v>1090</v>
      </c>
      <c r="I104" s="21" t="s">
        <v>608</v>
      </c>
      <c r="J104" s="34">
        <v>0</v>
      </c>
      <c r="K104" s="8" t="str">
        <f t="shared" si="7"/>
        <v>000</v>
      </c>
      <c r="L104" s="35" t="s">
        <v>1073</v>
      </c>
      <c r="O104" s="81">
        <f ca="1">OFFSET($G$1,_xlfn.XMATCH(N104,F:F)-1,0)</f>
        <v>0</v>
      </c>
      <c r="P104" s="81">
        <f ca="1">OFFSET($G$1,_xlfn.XMATCH(N104,F:F)-1,1)</f>
        <v>0</v>
      </c>
      <c r="R104" s="81">
        <f t="shared" ca="1" si="5"/>
        <v>0</v>
      </c>
      <c r="T104" s="81">
        <f t="shared" ca="1" si="6"/>
        <v>0</v>
      </c>
    </row>
    <row r="105" spans="1:20" x14ac:dyDescent="0.25">
      <c r="A105" s="61"/>
      <c r="B105" s="60"/>
      <c r="C105" s="8" t="s">
        <v>1076</v>
      </c>
      <c r="D105" s="8" t="s">
        <v>1085</v>
      </c>
      <c r="E105" s="8">
        <v>100</v>
      </c>
      <c r="F105" s="8" t="s">
        <v>1126</v>
      </c>
      <c r="G105" s="8" t="s">
        <v>1089</v>
      </c>
      <c r="H105" s="8" t="s">
        <v>1090</v>
      </c>
      <c r="I105" s="21" t="s">
        <v>609</v>
      </c>
      <c r="J105" s="34">
        <v>0</v>
      </c>
      <c r="K105" s="8" t="str">
        <f t="shared" si="7"/>
        <v>000</v>
      </c>
      <c r="L105" s="35" t="s">
        <v>1073</v>
      </c>
      <c r="O105" s="81">
        <f ca="1">OFFSET($G$1,_xlfn.XMATCH(N105,F:F)-1,0)</f>
        <v>0</v>
      </c>
      <c r="P105" s="81">
        <f ca="1">OFFSET($G$1,_xlfn.XMATCH(N105,F:F)-1,1)</f>
        <v>0</v>
      </c>
      <c r="R105" s="81">
        <f t="shared" ca="1" si="5"/>
        <v>0</v>
      </c>
      <c r="T105" s="81">
        <f t="shared" ca="1" si="6"/>
        <v>0</v>
      </c>
    </row>
    <row r="106" spans="1:20" x14ac:dyDescent="0.25">
      <c r="A106" s="61" t="s">
        <v>613</v>
      </c>
      <c r="B106" s="58" t="s">
        <v>1256</v>
      </c>
      <c r="C106" s="8" t="s">
        <v>562</v>
      </c>
      <c r="D106" s="8" t="s">
        <v>1085</v>
      </c>
      <c r="E106" s="8">
        <v>100</v>
      </c>
      <c r="F106" s="8" t="s">
        <v>1127</v>
      </c>
      <c r="G106" s="8" t="s">
        <v>1082</v>
      </c>
      <c r="H106" s="8" t="s">
        <v>1083</v>
      </c>
      <c r="I106" s="21" t="s">
        <v>617</v>
      </c>
      <c r="J106" s="34">
        <v>82</v>
      </c>
      <c r="K106" s="8" t="str">
        <f t="shared" si="7"/>
        <v>052</v>
      </c>
      <c r="L106" s="35" t="s">
        <v>1214</v>
      </c>
      <c r="O106" s="81">
        <f ca="1">OFFSET($G$1,_xlfn.XMATCH(N106,F:F)-1,0)</f>
        <v>0</v>
      </c>
      <c r="P106" s="81">
        <f ca="1">OFFSET($G$1,_xlfn.XMATCH(N106,F:F)-1,1)</f>
        <v>0</v>
      </c>
      <c r="R106" s="81">
        <f t="shared" ca="1" si="5"/>
        <v>0</v>
      </c>
      <c r="T106" s="81">
        <f t="shared" ca="1" si="6"/>
        <v>0</v>
      </c>
    </row>
    <row r="107" spans="1:20" x14ac:dyDescent="0.25">
      <c r="A107" s="61"/>
      <c r="B107" s="59"/>
      <c r="C107" s="8" t="s">
        <v>562</v>
      </c>
      <c r="D107" s="8" t="s">
        <v>1085</v>
      </c>
      <c r="E107" s="8">
        <v>100</v>
      </c>
      <c r="F107" s="8" t="s">
        <v>1127</v>
      </c>
      <c r="G107" s="8" t="s">
        <v>1082</v>
      </c>
      <c r="H107" s="8" t="s">
        <v>1083</v>
      </c>
      <c r="I107" s="21" t="s">
        <v>618</v>
      </c>
      <c r="J107" s="34">
        <v>384</v>
      </c>
      <c r="K107" s="8" t="str">
        <f t="shared" si="7"/>
        <v>180</v>
      </c>
      <c r="L107" s="35" t="s">
        <v>1214</v>
      </c>
    </row>
    <row r="108" spans="1:20" x14ac:dyDescent="0.25">
      <c r="A108" s="61"/>
      <c r="B108" s="59"/>
      <c r="C108" s="8" t="s">
        <v>1076</v>
      </c>
      <c r="D108" s="8" t="s">
        <v>1085</v>
      </c>
      <c r="E108" s="8">
        <v>100</v>
      </c>
      <c r="F108" s="8" t="s">
        <v>1128</v>
      </c>
      <c r="G108" s="8" t="s">
        <v>1089</v>
      </c>
      <c r="H108" s="8" t="s">
        <v>1090</v>
      </c>
      <c r="I108" s="21" t="s">
        <v>615</v>
      </c>
      <c r="J108" s="34">
        <v>97</v>
      </c>
      <c r="K108" s="8" t="str">
        <f t="shared" si="7"/>
        <v>061</v>
      </c>
      <c r="L108" s="35" t="s">
        <v>1214</v>
      </c>
    </row>
    <row r="109" spans="1:20" x14ac:dyDescent="0.25">
      <c r="A109" s="61"/>
      <c r="B109" s="59"/>
      <c r="C109" s="8" t="s">
        <v>1076</v>
      </c>
      <c r="D109" s="8" t="s">
        <v>1085</v>
      </c>
      <c r="E109" s="8">
        <v>100</v>
      </c>
      <c r="F109" s="8" t="s">
        <v>1128</v>
      </c>
      <c r="G109" s="8" t="s">
        <v>1089</v>
      </c>
      <c r="H109" s="8" t="s">
        <v>1090</v>
      </c>
      <c r="I109" s="21" t="s">
        <v>608</v>
      </c>
      <c r="J109" s="34">
        <v>0</v>
      </c>
      <c r="K109" s="8" t="str">
        <f t="shared" si="7"/>
        <v>000</v>
      </c>
      <c r="L109" s="35" t="s">
        <v>1073</v>
      </c>
    </row>
    <row r="110" spans="1:20" x14ac:dyDescent="0.25">
      <c r="A110" s="61"/>
      <c r="B110" s="60"/>
      <c r="C110" s="8" t="s">
        <v>1076</v>
      </c>
      <c r="D110" s="8" t="s">
        <v>1085</v>
      </c>
      <c r="E110" s="8">
        <v>100</v>
      </c>
      <c r="F110" s="8" t="s">
        <v>1128</v>
      </c>
      <c r="G110" s="8" t="s">
        <v>1089</v>
      </c>
      <c r="H110" s="8" t="s">
        <v>1090</v>
      </c>
      <c r="I110" s="21" t="s">
        <v>609</v>
      </c>
      <c r="J110" s="34">
        <v>0</v>
      </c>
      <c r="K110" s="8" t="str">
        <f t="shared" si="7"/>
        <v>000</v>
      </c>
      <c r="L110" s="35" t="s">
        <v>1073</v>
      </c>
    </row>
    <row r="111" spans="1:20" x14ac:dyDescent="0.25">
      <c r="A111" s="61" t="s">
        <v>316</v>
      </c>
      <c r="B111" s="58" t="s">
        <v>1257</v>
      </c>
      <c r="C111" s="8" t="s">
        <v>562</v>
      </c>
      <c r="D111" s="8" t="s">
        <v>1085</v>
      </c>
      <c r="E111" s="8">
        <v>100</v>
      </c>
      <c r="F111" s="8" t="s">
        <v>1129</v>
      </c>
      <c r="G111" s="8" t="s">
        <v>1078</v>
      </c>
      <c r="H111" s="8" t="s">
        <v>1079</v>
      </c>
      <c r="I111" s="21" t="s">
        <v>617</v>
      </c>
      <c r="J111" s="34">
        <v>82</v>
      </c>
      <c r="K111" s="8" t="str">
        <f t="shared" si="7"/>
        <v>052</v>
      </c>
      <c r="L111" s="35" t="s">
        <v>1215</v>
      </c>
    </row>
    <row r="112" spans="1:20" x14ac:dyDescent="0.25">
      <c r="A112" s="61"/>
      <c r="B112" s="59"/>
      <c r="C112" s="8" t="s">
        <v>562</v>
      </c>
      <c r="D112" s="8" t="s">
        <v>1085</v>
      </c>
      <c r="E112" s="8">
        <v>100</v>
      </c>
      <c r="F112" s="8" t="s">
        <v>1129</v>
      </c>
      <c r="G112" s="8" t="s">
        <v>1078</v>
      </c>
      <c r="H112" s="8" t="s">
        <v>1079</v>
      </c>
      <c r="I112" s="21" t="s">
        <v>618</v>
      </c>
      <c r="J112" s="34">
        <v>184</v>
      </c>
      <c r="K112" s="8" t="str">
        <f t="shared" si="7"/>
        <v>0B8</v>
      </c>
      <c r="L112" s="35" t="s">
        <v>1215</v>
      </c>
    </row>
    <row r="113" spans="1:12" x14ac:dyDescent="0.25">
      <c r="A113" s="61"/>
      <c r="B113" s="59"/>
      <c r="C113" s="8" t="s">
        <v>1076</v>
      </c>
      <c r="D113" s="8" t="s">
        <v>1085</v>
      </c>
      <c r="E113" s="8">
        <v>100</v>
      </c>
      <c r="F113" s="8" t="s">
        <v>1130</v>
      </c>
      <c r="G113" s="8" t="s">
        <v>1084</v>
      </c>
      <c r="H113" s="8" t="s">
        <v>1086</v>
      </c>
      <c r="I113" s="21" t="s">
        <v>615</v>
      </c>
      <c r="J113" s="34">
        <v>97</v>
      </c>
      <c r="K113" s="8" t="str">
        <f t="shared" si="7"/>
        <v>061</v>
      </c>
      <c r="L113" s="35" t="s">
        <v>1215</v>
      </c>
    </row>
    <row r="114" spans="1:12" x14ac:dyDescent="0.25">
      <c r="A114" s="61"/>
      <c r="B114" s="60"/>
      <c r="C114" s="8" t="s">
        <v>1076</v>
      </c>
      <c r="D114" s="8" t="s">
        <v>1085</v>
      </c>
      <c r="E114" s="8">
        <v>100</v>
      </c>
      <c r="F114" s="8" t="s">
        <v>1130</v>
      </c>
      <c r="G114" s="8" t="s">
        <v>1084</v>
      </c>
      <c r="H114" s="8" t="s">
        <v>1086</v>
      </c>
      <c r="I114" s="21" t="s">
        <v>608</v>
      </c>
      <c r="J114" s="34">
        <v>0</v>
      </c>
      <c r="K114" s="8" t="str">
        <f t="shared" si="7"/>
        <v>000</v>
      </c>
      <c r="L114" s="35" t="s">
        <v>1073</v>
      </c>
    </row>
    <row r="115" spans="1:12" x14ac:dyDescent="0.25">
      <c r="A115" s="61" t="s">
        <v>320</v>
      </c>
      <c r="B115" s="58" t="s">
        <v>1257</v>
      </c>
      <c r="C115" s="8" t="s">
        <v>562</v>
      </c>
      <c r="D115" s="8" t="s">
        <v>1085</v>
      </c>
      <c r="E115" s="8">
        <v>100</v>
      </c>
      <c r="F115" s="8" t="s">
        <v>1131</v>
      </c>
      <c r="G115" s="8" t="s">
        <v>1078</v>
      </c>
      <c r="H115" s="8" t="s">
        <v>1079</v>
      </c>
      <c r="I115" s="21" t="s">
        <v>617</v>
      </c>
      <c r="J115" s="34">
        <v>82</v>
      </c>
      <c r="K115" s="8" t="str">
        <f t="shared" si="7"/>
        <v>052</v>
      </c>
      <c r="L115" s="35" t="s">
        <v>1216</v>
      </c>
    </row>
    <row r="116" spans="1:12" x14ac:dyDescent="0.25">
      <c r="A116" s="61"/>
      <c r="B116" s="59"/>
      <c r="C116" s="8" t="s">
        <v>562</v>
      </c>
      <c r="D116" s="8" t="s">
        <v>1085</v>
      </c>
      <c r="E116" s="8">
        <v>100</v>
      </c>
      <c r="F116" s="8" t="s">
        <v>1131</v>
      </c>
      <c r="G116" s="8" t="s">
        <v>1078</v>
      </c>
      <c r="H116" s="8" t="s">
        <v>1079</v>
      </c>
      <c r="I116" s="21" t="s">
        <v>618</v>
      </c>
      <c r="J116" s="34">
        <v>184</v>
      </c>
      <c r="K116" s="8" t="str">
        <f t="shared" si="7"/>
        <v>0B8</v>
      </c>
      <c r="L116" s="35" t="s">
        <v>1216</v>
      </c>
    </row>
    <row r="117" spans="1:12" x14ac:dyDescent="0.25">
      <c r="A117" s="61"/>
      <c r="B117" s="59"/>
      <c r="C117" s="8" t="s">
        <v>1076</v>
      </c>
      <c r="D117" s="8" t="s">
        <v>1085</v>
      </c>
      <c r="E117" s="8">
        <v>100</v>
      </c>
      <c r="F117" s="8" t="s">
        <v>1132</v>
      </c>
      <c r="G117" s="8" t="s">
        <v>1084</v>
      </c>
      <c r="H117" s="8" t="s">
        <v>1086</v>
      </c>
      <c r="I117" s="21" t="s">
        <v>615</v>
      </c>
      <c r="J117" s="34">
        <v>97</v>
      </c>
      <c r="K117" s="8" t="str">
        <f t="shared" si="7"/>
        <v>061</v>
      </c>
      <c r="L117" s="35" t="s">
        <v>1216</v>
      </c>
    </row>
    <row r="118" spans="1:12" x14ac:dyDescent="0.25">
      <c r="A118" s="61"/>
      <c r="B118" s="60"/>
      <c r="C118" s="8" t="s">
        <v>1076</v>
      </c>
      <c r="D118" s="8" t="s">
        <v>1085</v>
      </c>
      <c r="E118" s="8">
        <v>100</v>
      </c>
      <c r="F118" s="8" t="s">
        <v>1132</v>
      </c>
      <c r="G118" s="8" t="s">
        <v>1084</v>
      </c>
      <c r="H118" s="8" t="s">
        <v>1086</v>
      </c>
      <c r="I118" s="21" t="s">
        <v>608</v>
      </c>
      <c r="J118" s="34">
        <v>0</v>
      </c>
      <c r="K118" s="8" t="str">
        <f t="shared" si="7"/>
        <v>000</v>
      </c>
      <c r="L118" s="35" t="s">
        <v>1073</v>
      </c>
    </row>
    <row r="119" spans="1:12" x14ac:dyDescent="0.25">
      <c r="A119" s="61" t="s">
        <v>323</v>
      </c>
      <c r="B119" s="58" t="s">
        <v>1257</v>
      </c>
      <c r="C119" s="8" t="s">
        <v>562</v>
      </c>
      <c r="D119" s="8" t="s">
        <v>1085</v>
      </c>
      <c r="E119" s="8">
        <v>100</v>
      </c>
      <c r="F119" s="8" t="s">
        <v>1133</v>
      </c>
      <c r="G119" s="8" t="s">
        <v>1080</v>
      </c>
      <c r="H119" s="8" t="s">
        <v>1081</v>
      </c>
      <c r="I119" s="21" t="s">
        <v>617</v>
      </c>
      <c r="J119" s="34">
        <v>82</v>
      </c>
      <c r="K119" s="8" t="str">
        <f t="shared" si="7"/>
        <v>052</v>
      </c>
      <c r="L119" s="35" t="s">
        <v>1217</v>
      </c>
    </row>
    <row r="120" spans="1:12" x14ac:dyDescent="0.25">
      <c r="A120" s="61"/>
      <c r="B120" s="59"/>
      <c r="C120" s="8" t="s">
        <v>562</v>
      </c>
      <c r="D120" s="8" t="s">
        <v>1085</v>
      </c>
      <c r="E120" s="8">
        <v>100</v>
      </c>
      <c r="F120" s="8" t="s">
        <v>1133</v>
      </c>
      <c r="G120" s="8" t="s">
        <v>1080</v>
      </c>
      <c r="H120" s="8" t="s">
        <v>1081</v>
      </c>
      <c r="I120" s="21" t="s">
        <v>618</v>
      </c>
      <c r="J120" s="34">
        <v>284</v>
      </c>
      <c r="K120" s="8" t="str">
        <f t="shared" ref="K120:K158" si="8">DEC2HEX(J120,3)</f>
        <v>11C</v>
      </c>
      <c r="L120" s="35" t="s">
        <v>1217</v>
      </c>
    </row>
    <row r="121" spans="1:12" x14ac:dyDescent="0.25">
      <c r="A121" s="61"/>
      <c r="B121" s="59"/>
      <c r="C121" s="8" t="s">
        <v>1076</v>
      </c>
      <c r="D121" s="8" t="s">
        <v>1085</v>
      </c>
      <c r="E121" s="8">
        <v>100</v>
      </c>
      <c r="F121" s="8" t="s">
        <v>1134</v>
      </c>
      <c r="G121" s="8" t="s">
        <v>1087</v>
      </c>
      <c r="H121" s="8" t="s">
        <v>1088</v>
      </c>
      <c r="I121" s="21" t="s">
        <v>615</v>
      </c>
      <c r="J121" s="34">
        <v>97</v>
      </c>
      <c r="K121" s="8" t="str">
        <f t="shared" si="8"/>
        <v>061</v>
      </c>
      <c r="L121" s="35" t="s">
        <v>1217</v>
      </c>
    </row>
    <row r="122" spans="1:12" x14ac:dyDescent="0.25">
      <c r="A122" s="61"/>
      <c r="B122" s="60"/>
      <c r="C122" s="8" t="s">
        <v>1076</v>
      </c>
      <c r="D122" s="8" t="s">
        <v>1085</v>
      </c>
      <c r="E122" s="8">
        <v>100</v>
      </c>
      <c r="F122" s="8" t="s">
        <v>1134</v>
      </c>
      <c r="G122" s="8" t="s">
        <v>1087</v>
      </c>
      <c r="H122" s="8" t="s">
        <v>1088</v>
      </c>
      <c r="I122" s="21" t="s">
        <v>608</v>
      </c>
      <c r="J122" s="34">
        <v>0</v>
      </c>
      <c r="K122" s="8" t="str">
        <f t="shared" si="8"/>
        <v>000</v>
      </c>
      <c r="L122" s="35" t="s">
        <v>1073</v>
      </c>
    </row>
    <row r="123" spans="1:12" x14ac:dyDescent="0.25">
      <c r="A123" s="61" t="s">
        <v>326</v>
      </c>
      <c r="B123" s="58" t="s">
        <v>1257</v>
      </c>
      <c r="C123" s="8" t="s">
        <v>562</v>
      </c>
      <c r="D123" s="8" t="s">
        <v>1085</v>
      </c>
      <c r="E123" s="8">
        <v>100</v>
      </c>
      <c r="F123" s="8" t="s">
        <v>1135</v>
      </c>
      <c r="G123" s="8" t="s">
        <v>1080</v>
      </c>
      <c r="H123" s="8" t="s">
        <v>1081</v>
      </c>
      <c r="I123" s="21" t="s">
        <v>617</v>
      </c>
      <c r="J123" s="34">
        <v>82</v>
      </c>
      <c r="K123" s="8" t="str">
        <f t="shared" si="8"/>
        <v>052</v>
      </c>
      <c r="L123" s="35" t="s">
        <v>1218</v>
      </c>
    </row>
    <row r="124" spans="1:12" x14ac:dyDescent="0.25">
      <c r="A124" s="61"/>
      <c r="B124" s="59"/>
      <c r="C124" s="8" t="s">
        <v>562</v>
      </c>
      <c r="D124" s="8" t="s">
        <v>1085</v>
      </c>
      <c r="E124" s="8">
        <v>100</v>
      </c>
      <c r="F124" s="8" t="s">
        <v>1135</v>
      </c>
      <c r="G124" s="8" t="s">
        <v>1080</v>
      </c>
      <c r="H124" s="8" t="s">
        <v>1081</v>
      </c>
      <c r="I124" s="21" t="s">
        <v>618</v>
      </c>
      <c r="J124" s="34">
        <v>284</v>
      </c>
      <c r="K124" s="8" t="str">
        <f t="shared" si="8"/>
        <v>11C</v>
      </c>
      <c r="L124" s="35" t="s">
        <v>1218</v>
      </c>
    </row>
    <row r="125" spans="1:12" x14ac:dyDescent="0.25">
      <c r="A125" s="61"/>
      <c r="B125" s="59"/>
      <c r="C125" s="8" t="s">
        <v>1076</v>
      </c>
      <c r="D125" s="8" t="s">
        <v>1085</v>
      </c>
      <c r="E125" s="8">
        <v>100</v>
      </c>
      <c r="F125" s="8" t="s">
        <v>1136</v>
      </c>
      <c r="G125" s="8" t="s">
        <v>1087</v>
      </c>
      <c r="H125" s="8" t="s">
        <v>1088</v>
      </c>
      <c r="I125" s="21" t="s">
        <v>615</v>
      </c>
      <c r="J125" s="34">
        <v>97</v>
      </c>
      <c r="K125" s="8" t="str">
        <f t="shared" si="8"/>
        <v>061</v>
      </c>
      <c r="L125" s="35" t="s">
        <v>1218</v>
      </c>
    </row>
    <row r="126" spans="1:12" x14ac:dyDescent="0.25">
      <c r="A126" s="61"/>
      <c r="B126" s="60"/>
      <c r="C126" s="8" t="s">
        <v>1076</v>
      </c>
      <c r="D126" s="8" t="s">
        <v>1085</v>
      </c>
      <c r="E126" s="8">
        <v>100</v>
      </c>
      <c r="F126" s="8" t="s">
        <v>1136</v>
      </c>
      <c r="G126" s="8" t="s">
        <v>1087</v>
      </c>
      <c r="H126" s="8" t="s">
        <v>1088</v>
      </c>
      <c r="I126" s="21" t="s">
        <v>608</v>
      </c>
      <c r="J126" s="34">
        <v>0</v>
      </c>
      <c r="K126" s="8" t="str">
        <f t="shared" si="8"/>
        <v>000</v>
      </c>
      <c r="L126" s="35" t="s">
        <v>1073</v>
      </c>
    </row>
    <row r="127" spans="1:12" x14ac:dyDescent="0.25">
      <c r="A127" s="61" t="s">
        <v>329</v>
      </c>
      <c r="B127" s="58" t="s">
        <v>1257</v>
      </c>
      <c r="C127" s="8" t="s">
        <v>562</v>
      </c>
      <c r="D127" s="8" t="s">
        <v>1085</v>
      </c>
      <c r="E127" s="8">
        <v>100</v>
      </c>
      <c r="F127" s="8" t="s">
        <v>1137</v>
      </c>
      <c r="G127" s="8" t="s">
        <v>1082</v>
      </c>
      <c r="H127" s="8" t="s">
        <v>1083</v>
      </c>
      <c r="I127" s="21" t="s">
        <v>617</v>
      </c>
      <c r="J127" s="34">
        <v>82</v>
      </c>
      <c r="K127" s="8" t="str">
        <f t="shared" si="8"/>
        <v>052</v>
      </c>
      <c r="L127" s="35" t="s">
        <v>1219</v>
      </c>
    </row>
    <row r="128" spans="1:12" x14ac:dyDescent="0.25">
      <c r="A128" s="61"/>
      <c r="B128" s="59"/>
      <c r="C128" s="8" t="s">
        <v>562</v>
      </c>
      <c r="D128" s="8" t="s">
        <v>1085</v>
      </c>
      <c r="E128" s="8">
        <v>100</v>
      </c>
      <c r="F128" s="8" t="s">
        <v>1137</v>
      </c>
      <c r="G128" s="8" t="s">
        <v>1082</v>
      </c>
      <c r="H128" s="8" t="s">
        <v>1083</v>
      </c>
      <c r="I128" s="21" t="s">
        <v>618</v>
      </c>
      <c r="J128" s="34">
        <v>384</v>
      </c>
      <c r="K128" s="8" t="str">
        <f t="shared" si="8"/>
        <v>180</v>
      </c>
      <c r="L128" s="35" t="s">
        <v>1219</v>
      </c>
    </row>
    <row r="129" spans="1:12" x14ac:dyDescent="0.25">
      <c r="A129" s="61"/>
      <c r="B129" s="59"/>
      <c r="C129" s="8" t="s">
        <v>1076</v>
      </c>
      <c r="D129" s="8" t="s">
        <v>1085</v>
      </c>
      <c r="E129" s="8">
        <v>100</v>
      </c>
      <c r="F129" s="8" t="s">
        <v>1138</v>
      </c>
      <c r="G129" s="8" t="s">
        <v>1089</v>
      </c>
      <c r="H129" s="8" t="s">
        <v>1090</v>
      </c>
      <c r="I129" s="21" t="s">
        <v>615</v>
      </c>
      <c r="J129" s="34">
        <v>97</v>
      </c>
      <c r="K129" s="8" t="str">
        <f t="shared" si="8"/>
        <v>061</v>
      </c>
      <c r="L129" s="35" t="s">
        <v>1219</v>
      </c>
    </row>
    <row r="130" spans="1:12" x14ac:dyDescent="0.25">
      <c r="A130" s="61"/>
      <c r="B130" s="60"/>
      <c r="C130" s="8" t="s">
        <v>1076</v>
      </c>
      <c r="D130" s="8" t="s">
        <v>1085</v>
      </c>
      <c r="E130" s="8">
        <v>100</v>
      </c>
      <c r="F130" s="8" t="s">
        <v>1138</v>
      </c>
      <c r="G130" s="8" t="s">
        <v>1082</v>
      </c>
      <c r="H130" s="8" t="s">
        <v>1083</v>
      </c>
      <c r="I130" s="21" t="s">
        <v>608</v>
      </c>
      <c r="J130" s="34">
        <v>0</v>
      </c>
      <c r="K130" s="8" t="str">
        <f t="shared" si="8"/>
        <v>000</v>
      </c>
      <c r="L130" s="35" t="s">
        <v>1073</v>
      </c>
    </row>
    <row r="131" spans="1:12" x14ac:dyDescent="0.25">
      <c r="A131" s="61" t="s">
        <v>332</v>
      </c>
      <c r="B131" s="58" t="s">
        <v>1257</v>
      </c>
      <c r="C131" s="8" t="s">
        <v>562</v>
      </c>
      <c r="D131" s="8" t="s">
        <v>1085</v>
      </c>
      <c r="E131" s="8">
        <v>100</v>
      </c>
      <c r="F131" s="8" t="s">
        <v>1139</v>
      </c>
      <c r="G131" s="8" t="s">
        <v>1082</v>
      </c>
      <c r="H131" s="8" t="s">
        <v>1083</v>
      </c>
      <c r="I131" s="21" t="s">
        <v>617</v>
      </c>
      <c r="J131" s="34">
        <v>82</v>
      </c>
      <c r="K131" s="8" t="str">
        <f t="shared" si="8"/>
        <v>052</v>
      </c>
      <c r="L131" s="35" t="s">
        <v>1220</v>
      </c>
    </row>
    <row r="132" spans="1:12" x14ac:dyDescent="0.25">
      <c r="A132" s="61"/>
      <c r="B132" s="59"/>
      <c r="C132" s="8" t="s">
        <v>562</v>
      </c>
      <c r="D132" s="8" t="s">
        <v>1085</v>
      </c>
      <c r="E132" s="8">
        <v>100</v>
      </c>
      <c r="F132" s="8" t="s">
        <v>1139</v>
      </c>
      <c r="G132" s="8" t="s">
        <v>1082</v>
      </c>
      <c r="H132" s="8" t="s">
        <v>1083</v>
      </c>
      <c r="I132" s="21" t="s">
        <v>618</v>
      </c>
      <c r="J132" s="34">
        <v>384</v>
      </c>
      <c r="K132" s="8" t="str">
        <f t="shared" si="8"/>
        <v>180</v>
      </c>
      <c r="L132" s="35" t="s">
        <v>1220</v>
      </c>
    </row>
    <row r="133" spans="1:12" x14ac:dyDescent="0.25">
      <c r="A133" s="61"/>
      <c r="B133" s="59"/>
      <c r="C133" s="8" t="s">
        <v>1076</v>
      </c>
      <c r="D133" s="8" t="s">
        <v>1085</v>
      </c>
      <c r="E133" s="8">
        <v>100</v>
      </c>
      <c r="F133" s="8" t="s">
        <v>1140</v>
      </c>
      <c r="G133" s="8" t="s">
        <v>1089</v>
      </c>
      <c r="H133" s="8" t="s">
        <v>1090</v>
      </c>
      <c r="I133" s="21" t="s">
        <v>615</v>
      </c>
      <c r="J133" s="34">
        <v>97</v>
      </c>
      <c r="K133" s="8" t="str">
        <f t="shared" si="8"/>
        <v>061</v>
      </c>
      <c r="L133" s="35" t="s">
        <v>1220</v>
      </c>
    </row>
    <row r="134" spans="1:12" x14ac:dyDescent="0.25">
      <c r="A134" s="61"/>
      <c r="B134" s="60"/>
      <c r="C134" s="8" t="s">
        <v>1076</v>
      </c>
      <c r="D134" s="8" t="s">
        <v>1085</v>
      </c>
      <c r="E134" s="8">
        <v>100</v>
      </c>
      <c r="F134" s="8" t="s">
        <v>1140</v>
      </c>
      <c r="G134" s="8" t="s">
        <v>1082</v>
      </c>
      <c r="H134" s="8" t="s">
        <v>1083</v>
      </c>
      <c r="I134" s="21" t="s">
        <v>608</v>
      </c>
      <c r="J134" s="34">
        <v>0</v>
      </c>
      <c r="K134" s="8" t="str">
        <f t="shared" si="8"/>
        <v>000</v>
      </c>
      <c r="L134" s="35" t="s">
        <v>1073</v>
      </c>
    </row>
    <row r="135" spans="1:12" x14ac:dyDescent="0.25">
      <c r="A135" s="61" t="s">
        <v>162</v>
      </c>
      <c r="B135" s="58" t="s">
        <v>1257</v>
      </c>
      <c r="C135" s="8" t="s">
        <v>562</v>
      </c>
      <c r="D135" s="8" t="s">
        <v>1085</v>
      </c>
      <c r="E135" s="8">
        <v>100</v>
      </c>
      <c r="F135" s="8" t="s">
        <v>1141</v>
      </c>
      <c r="G135" s="8" t="s">
        <v>1091</v>
      </c>
      <c r="H135" s="8" t="s">
        <v>1092</v>
      </c>
      <c r="I135" s="21" t="s">
        <v>617</v>
      </c>
      <c r="J135" s="34">
        <v>85</v>
      </c>
      <c r="K135" s="8" t="str">
        <f t="shared" si="8"/>
        <v>055</v>
      </c>
      <c r="L135" s="35" t="s">
        <v>1221</v>
      </c>
    </row>
    <row r="136" spans="1:12" x14ac:dyDescent="0.25">
      <c r="A136" s="61"/>
      <c r="B136" s="59"/>
      <c r="C136" s="8" t="s">
        <v>1076</v>
      </c>
      <c r="D136" s="8" t="s">
        <v>1085</v>
      </c>
      <c r="E136" s="8">
        <v>100</v>
      </c>
      <c r="F136" s="8" t="s">
        <v>1142</v>
      </c>
      <c r="G136" s="8" t="s">
        <v>1093</v>
      </c>
      <c r="H136" s="8" t="s">
        <v>1094</v>
      </c>
      <c r="I136" s="21" t="s">
        <v>615</v>
      </c>
      <c r="J136" s="34">
        <v>97</v>
      </c>
      <c r="K136" s="8" t="str">
        <f t="shared" si="8"/>
        <v>061</v>
      </c>
      <c r="L136" s="35" t="s">
        <v>1221</v>
      </c>
    </row>
    <row r="137" spans="1:12" x14ac:dyDescent="0.25">
      <c r="A137" s="61"/>
      <c r="B137" s="60"/>
      <c r="C137" s="8" t="s">
        <v>1076</v>
      </c>
      <c r="D137" s="8" t="s">
        <v>1085</v>
      </c>
      <c r="E137" s="8">
        <v>100</v>
      </c>
      <c r="F137" s="8" t="s">
        <v>1142</v>
      </c>
      <c r="G137" s="8" t="s">
        <v>1093</v>
      </c>
      <c r="H137" s="8" t="s">
        <v>1094</v>
      </c>
      <c r="I137" s="21" t="s">
        <v>608</v>
      </c>
      <c r="J137" s="34">
        <v>0</v>
      </c>
      <c r="K137" s="8" t="str">
        <f t="shared" si="8"/>
        <v>000</v>
      </c>
      <c r="L137" s="35" t="s">
        <v>1073</v>
      </c>
    </row>
    <row r="138" spans="1:12" x14ac:dyDescent="0.25">
      <c r="A138" s="61" t="s">
        <v>164</v>
      </c>
      <c r="B138" s="58" t="s">
        <v>1257</v>
      </c>
      <c r="C138" s="8" t="s">
        <v>562</v>
      </c>
      <c r="D138" s="8" t="s">
        <v>1085</v>
      </c>
      <c r="E138" s="8">
        <v>1000</v>
      </c>
      <c r="F138" s="8" t="s">
        <v>1143</v>
      </c>
      <c r="G138" s="8" t="s">
        <v>1091</v>
      </c>
      <c r="H138" s="8" t="s">
        <v>1092</v>
      </c>
      <c r="I138" s="21" t="s">
        <v>617</v>
      </c>
      <c r="J138" s="34">
        <v>85</v>
      </c>
      <c r="K138" s="8" t="str">
        <f t="shared" si="8"/>
        <v>055</v>
      </c>
      <c r="L138" s="35" t="s">
        <v>1222</v>
      </c>
    </row>
    <row r="139" spans="1:12" x14ac:dyDescent="0.25">
      <c r="A139" s="61"/>
      <c r="B139" s="59"/>
      <c r="C139" s="8" t="s">
        <v>1076</v>
      </c>
      <c r="D139" s="8" t="s">
        <v>1085</v>
      </c>
      <c r="E139" s="8">
        <v>100</v>
      </c>
      <c r="F139" s="8" t="s">
        <v>1144</v>
      </c>
      <c r="G139" s="8" t="s">
        <v>1093</v>
      </c>
      <c r="H139" s="8" t="s">
        <v>1094</v>
      </c>
      <c r="I139" s="21" t="s">
        <v>615</v>
      </c>
      <c r="J139" s="34">
        <v>97</v>
      </c>
      <c r="K139" s="8" t="str">
        <f t="shared" si="8"/>
        <v>061</v>
      </c>
      <c r="L139" s="35" t="s">
        <v>1222</v>
      </c>
    </row>
    <row r="140" spans="1:12" x14ac:dyDescent="0.25">
      <c r="A140" s="61"/>
      <c r="B140" s="60"/>
      <c r="C140" s="8" t="s">
        <v>1076</v>
      </c>
      <c r="D140" s="8" t="s">
        <v>1085</v>
      </c>
      <c r="E140" s="8">
        <v>100</v>
      </c>
      <c r="F140" s="8" t="s">
        <v>1144</v>
      </c>
      <c r="G140" s="8" t="s">
        <v>1093</v>
      </c>
      <c r="H140" s="8" t="s">
        <v>1094</v>
      </c>
      <c r="I140" s="21" t="s">
        <v>608</v>
      </c>
      <c r="J140" s="34">
        <v>0</v>
      </c>
      <c r="K140" s="8" t="str">
        <f t="shared" si="8"/>
        <v>000</v>
      </c>
      <c r="L140" s="35" t="s">
        <v>1073</v>
      </c>
    </row>
    <row r="141" spans="1:12" x14ac:dyDescent="0.25">
      <c r="A141" s="61" t="s">
        <v>1148</v>
      </c>
      <c r="B141" s="58" t="s">
        <v>1257</v>
      </c>
      <c r="C141" s="8" t="s">
        <v>562</v>
      </c>
      <c r="D141" s="8" t="s">
        <v>1085</v>
      </c>
      <c r="E141" s="8">
        <v>100</v>
      </c>
      <c r="F141" s="8" t="s">
        <v>1151</v>
      </c>
      <c r="G141" s="8" t="s">
        <v>1078</v>
      </c>
      <c r="H141" s="8" t="s">
        <v>1079</v>
      </c>
      <c r="I141" s="21" t="s">
        <v>618</v>
      </c>
      <c r="J141" s="34">
        <v>184</v>
      </c>
      <c r="K141" s="8" t="str">
        <f t="shared" si="8"/>
        <v>0B8</v>
      </c>
      <c r="L141" s="35" t="s">
        <v>1223</v>
      </c>
    </row>
    <row r="142" spans="1:12" x14ac:dyDescent="0.25">
      <c r="A142" s="61"/>
      <c r="B142" s="59"/>
      <c r="C142" s="8" t="s">
        <v>1076</v>
      </c>
      <c r="D142" s="8" t="s">
        <v>1085</v>
      </c>
      <c r="E142" s="8">
        <v>100</v>
      </c>
      <c r="F142" s="8" t="s">
        <v>1152</v>
      </c>
      <c r="G142" s="8" t="s">
        <v>1084</v>
      </c>
      <c r="H142" s="8" t="s">
        <v>1086</v>
      </c>
      <c r="I142" s="21" t="s">
        <v>615</v>
      </c>
      <c r="J142" s="34">
        <v>97</v>
      </c>
      <c r="K142" s="8" t="str">
        <f t="shared" si="8"/>
        <v>061</v>
      </c>
      <c r="L142" s="35" t="s">
        <v>1223</v>
      </c>
    </row>
    <row r="143" spans="1:12" x14ac:dyDescent="0.25">
      <c r="A143" s="61"/>
      <c r="B143" s="60"/>
      <c r="C143" s="8" t="s">
        <v>1076</v>
      </c>
      <c r="D143" s="8" t="s">
        <v>1085</v>
      </c>
      <c r="E143" s="8">
        <v>100</v>
      </c>
      <c r="F143" s="8" t="s">
        <v>1152</v>
      </c>
      <c r="G143" s="8" t="s">
        <v>1084</v>
      </c>
      <c r="H143" s="8" t="s">
        <v>1086</v>
      </c>
      <c r="I143" s="21" t="s">
        <v>608</v>
      </c>
      <c r="J143" s="34">
        <v>0</v>
      </c>
      <c r="K143" s="8" t="str">
        <f t="shared" si="8"/>
        <v>000</v>
      </c>
      <c r="L143" s="35" t="s">
        <v>1073</v>
      </c>
    </row>
    <row r="144" spans="1:12" x14ac:dyDescent="0.25">
      <c r="A144" s="61" t="s">
        <v>1149</v>
      </c>
      <c r="B144" s="58" t="s">
        <v>1257</v>
      </c>
      <c r="C144" s="8" t="s">
        <v>562</v>
      </c>
      <c r="D144" s="8" t="s">
        <v>1085</v>
      </c>
      <c r="E144" s="8">
        <v>100</v>
      </c>
      <c r="F144" s="8" t="s">
        <v>1154</v>
      </c>
      <c r="G144" s="8" t="s">
        <v>1078</v>
      </c>
      <c r="H144" s="8" t="s">
        <v>1079</v>
      </c>
      <c r="I144" s="21" t="s">
        <v>618</v>
      </c>
      <c r="J144" s="34">
        <v>184</v>
      </c>
      <c r="K144" s="8" t="str">
        <f t="shared" si="8"/>
        <v>0B8</v>
      </c>
      <c r="L144" s="35" t="s">
        <v>1224</v>
      </c>
    </row>
    <row r="145" spans="1:12" x14ac:dyDescent="0.25">
      <c r="A145" s="61"/>
      <c r="B145" s="59"/>
      <c r="C145" s="8" t="s">
        <v>1076</v>
      </c>
      <c r="D145" s="8" t="s">
        <v>1085</v>
      </c>
      <c r="E145" s="8">
        <v>100</v>
      </c>
      <c r="F145" s="8" t="s">
        <v>1153</v>
      </c>
      <c r="G145" s="8" t="s">
        <v>1084</v>
      </c>
      <c r="H145" s="8" t="s">
        <v>1086</v>
      </c>
      <c r="I145" s="21" t="s">
        <v>615</v>
      </c>
      <c r="J145" s="34">
        <v>97</v>
      </c>
      <c r="K145" s="8" t="str">
        <f t="shared" si="8"/>
        <v>061</v>
      </c>
      <c r="L145" s="35" t="s">
        <v>1224</v>
      </c>
    </row>
    <row r="146" spans="1:12" x14ac:dyDescent="0.25">
      <c r="A146" s="61"/>
      <c r="B146" s="60"/>
      <c r="C146" s="8" t="s">
        <v>1076</v>
      </c>
      <c r="D146" s="8" t="s">
        <v>1085</v>
      </c>
      <c r="E146" s="8">
        <v>100</v>
      </c>
      <c r="F146" s="8" t="s">
        <v>1153</v>
      </c>
      <c r="G146" s="8" t="s">
        <v>1084</v>
      </c>
      <c r="H146" s="8" t="s">
        <v>1086</v>
      </c>
      <c r="I146" s="21" t="s">
        <v>608</v>
      </c>
      <c r="J146" s="34">
        <v>0</v>
      </c>
      <c r="K146" s="8" t="str">
        <f t="shared" si="8"/>
        <v>000</v>
      </c>
      <c r="L146" s="35" t="s">
        <v>1073</v>
      </c>
    </row>
    <row r="147" spans="1:12" x14ac:dyDescent="0.25">
      <c r="A147" s="61" t="s">
        <v>1145</v>
      </c>
      <c r="B147" s="58" t="s">
        <v>1257</v>
      </c>
      <c r="C147" s="8" t="s">
        <v>562</v>
      </c>
      <c r="D147" s="8" t="s">
        <v>1085</v>
      </c>
      <c r="E147" s="8">
        <v>100</v>
      </c>
      <c r="F147" s="8" t="s">
        <v>1155</v>
      </c>
      <c r="G147" s="8" t="s">
        <v>1080</v>
      </c>
      <c r="H147" s="8" t="s">
        <v>1081</v>
      </c>
      <c r="I147" s="21" t="s">
        <v>618</v>
      </c>
      <c r="J147" s="34">
        <v>284</v>
      </c>
      <c r="K147" s="8" t="str">
        <f t="shared" si="8"/>
        <v>11C</v>
      </c>
      <c r="L147" s="35" t="s">
        <v>1225</v>
      </c>
    </row>
    <row r="148" spans="1:12" x14ac:dyDescent="0.25">
      <c r="A148" s="61"/>
      <c r="B148" s="59"/>
      <c r="C148" s="8" t="s">
        <v>1076</v>
      </c>
      <c r="D148" s="8" t="s">
        <v>1085</v>
      </c>
      <c r="E148" s="8">
        <v>100</v>
      </c>
      <c r="F148" s="8" t="s">
        <v>1156</v>
      </c>
      <c r="G148" s="8" t="s">
        <v>1087</v>
      </c>
      <c r="H148" s="8" t="s">
        <v>1088</v>
      </c>
      <c r="I148" s="21" t="s">
        <v>615</v>
      </c>
      <c r="J148" s="34">
        <v>97</v>
      </c>
      <c r="K148" s="8" t="str">
        <f t="shared" si="8"/>
        <v>061</v>
      </c>
      <c r="L148" s="35" t="s">
        <v>1225</v>
      </c>
    </row>
    <row r="149" spans="1:12" x14ac:dyDescent="0.25">
      <c r="A149" s="61"/>
      <c r="B149" s="60"/>
      <c r="C149" s="8" t="s">
        <v>1076</v>
      </c>
      <c r="D149" s="8" t="s">
        <v>1085</v>
      </c>
      <c r="E149" s="8">
        <v>100</v>
      </c>
      <c r="F149" s="8" t="s">
        <v>1156</v>
      </c>
      <c r="G149" s="8" t="s">
        <v>1087</v>
      </c>
      <c r="H149" s="8" t="s">
        <v>1088</v>
      </c>
      <c r="I149" s="21" t="s">
        <v>608</v>
      </c>
      <c r="J149" s="34">
        <v>0</v>
      </c>
      <c r="K149" s="8" t="str">
        <f t="shared" si="8"/>
        <v>000</v>
      </c>
      <c r="L149" s="35" t="s">
        <v>1073</v>
      </c>
    </row>
    <row r="150" spans="1:12" x14ac:dyDescent="0.25">
      <c r="A150" s="61" t="s">
        <v>1150</v>
      </c>
      <c r="B150" s="58" t="s">
        <v>1257</v>
      </c>
      <c r="C150" s="8" t="s">
        <v>562</v>
      </c>
      <c r="D150" s="8" t="s">
        <v>1085</v>
      </c>
      <c r="E150" s="8">
        <v>100</v>
      </c>
      <c r="F150" s="8" t="s">
        <v>1157</v>
      </c>
      <c r="G150" s="8" t="s">
        <v>1080</v>
      </c>
      <c r="H150" s="8" t="s">
        <v>1081</v>
      </c>
      <c r="I150" s="21" t="s">
        <v>618</v>
      </c>
      <c r="J150" s="34">
        <v>284</v>
      </c>
      <c r="K150" s="8" t="str">
        <f t="shared" si="8"/>
        <v>11C</v>
      </c>
      <c r="L150" s="35" t="s">
        <v>1226</v>
      </c>
    </row>
    <row r="151" spans="1:12" x14ac:dyDescent="0.25">
      <c r="A151" s="61"/>
      <c r="B151" s="59"/>
      <c r="C151" s="8" t="s">
        <v>1076</v>
      </c>
      <c r="D151" s="8" t="s">
        <v>1085</v>
      </c>
      <c r="E151" s="8">
        <v>100</v>
      </c>
      <c r="F151" s="8" t="s">
        <v>1160</v>
      </c>
      <c r="G151" s="8" t="s">
        <v>1087</v>
      </c>
      <c r="H151" s="8" t="s">
        <v>1088</v>
      </c>
      <c r="I151" s="21" t="s">
        <v>615</v>
      </c>
      <c r="J151" s="34">
        <v>97</v>
      </c>
      <c r="K151" s="8" t="str">
        <f t="shared" si="8"/>
        <v>061</v>
      </c>
      <c r="L151" s="35" t="s">
        <v>1226</v>
      </c>
    </row>
    <row r="152" spans="1:12" x14ac:dyDescent="0.25">
      <c r="A152" s="61"/>
      <c r="B152" s="60"/>
      <c r="C152" s="8" t="s">
        <v>1076</v>
      </c>
      <c r="D152" s="8" t="s">
        <v>1085</v>
      </c>
      <c r="E152" s="8">
        <v>100</v>
      </c>
      <c r="F152" s="8" t="s">
        <v>1160</v>
      </c>
      <c r="G152" s="8" t="s">
        <v>1087</v>
      </c>
      <c r="H152" s="8" t="s">
        <v>1088</v>
      </c>
      <c r="I152" s="21" t="s">
        <v>608</v>
      </c>
      <c r="J152" s="34">
        <v>0</v>
      </c>
      <c r="K152" s="8" t="str">
        <f t="shared" si="8"/>
        <v>000</v>
      </c>
      <c r="L152" s="35" t="s">
        <v>1073</v>
      </c>
    </row>
    <row r="153" spans="1:12" x14ac:dyDescent="0.25">
      <c r="A153" s="61" t="s">
        <v>1146</v>
      </c>
      <c r="B153" s="58" t="s">
        <v>1257</v>
      </c>
      <c r="C153" s="8" t="s">
        <v>562</v>
      </c>
      <c r="D153" s="8" t="s">
        <v>1085</v>
      </c>
      <c r="E153" s="8">
        <v>100</v>
      </c>
      <c r="F153" s="8" t="s">
        <v>1161</v>
      </c>
      <c r="G153" s="8" t="s">
        <v>1082</v>
      </c>
      <c r="H153" s="8" t="s">
        <v>1083</v>
      </c>
      <c r="I153" s="21" t="s">
        <v>618</v>
      </c>
      <c r="J153" s="34">
        <v>384</v>
      </c>
      <c r="K153" s="8" t="str">
        <f t="shared" si="8"/>
        <v>180</v>
      </c>
      <c r="L153" s="35" t="s">
        <v>1227</v>
      </c>
    </row>
    <row r="154" spans="1:12" x14ac:dyDescent="0.25">
      <c r="A154" s="61"/>
      <c r="B154" s="59"/>
      <c r="C154" s="8" t="s">
        <v>1076</v>
      </c>
      <c r="D154" s="8" t="s">
        <v>1085</v>
      </c>
      <c r="E154" s="8">
        <v>100</v>
      </c>
      <c r="F154" s="8" t="s">
        <v>1158</v>
      </c>
      <c r="G154" s="8" t="s">
        <v>1089</v>
      </c>
      <c r="H154" s="8" t="s">
        <v>1090</v>
      </c>
      <c r="I154" s="21" t="s">
        <v>615</v>
      </c>
      <c r="J154" s="34">
        <v>97</v>
      </c>
      <c r="K154" s="8" t="str">
        <f t="shared" si="8"/>
        <v>061</v>
      </c>
      <c r="L154" s="35" t="s">
        <v>1227</v>
      </c>
    </row>
    <row r="155" spans="1:12" x14ac:dyDescent="0.25">
      <c r="A155" s="61"/>
      <c r="B155" s="60"/>
      <c r="C155" s="8" t="s">
        <v>1076</v>
      </c>
      <c r="D155" s="8" t="s">
        <v>1085</v>
      </c>
      <c r="E155" s="8">
        <v>100</v>
      </c>
      <c r="F155" s="8" t="s">
        <v>1158</v>
      </c>
      <c r="G155" s="8" t="s">
        <v>1089</v>
      </c>
      <c r="H155" s="8" t="s">
        <v>1090</v>
      </c>
      <c r="I155" s="21" t="s">
        <v>608</v>
      </c>
      <c r="J155" s="34">
        <v>0</v>
      </c>
      <c r="K155" s="8" t="str">
        <f t="shared" si="8"/>
        <v>000</v>
      </c>
      <c r="L155" s="35" t="s">
        <v>1073</v>
      </c>
    </row>
    <row r="156" spans="1:12" x14ac:dyDescent="0.25">
      <c r="A156" s="61" t="s">
        <v>1147</v>
      </c>
      <c r="B156" s="58" t="s">
        <v>1257</v>
      </c>
      <c r="C156" s="8" t="s">
        <v>562</v>
      </c>
      <c r="D156" s="8" t="s">
        <v>1085</v>
      </c>
      <c r="E156" s="8">
        <v>100</v>
      </c>
      <c r="F156" s="8" t="s">
        <v>1162</v>
      </c>
      <c r="G156" s="8" t="s">
        <v>1082</v>
      </c>
      <c r="H156" s="8" t="s">
        <v>1083</v>
      </c>
      <c r="I156" s="21" t="s">
        <v>618</v>
      </c>
      <c r="J156" s="34">
        <v>384</v>
      </c>
      <c r="K156" s="8" t="str">
        <f t="shared" si="8"/>
        <v>180</v>
      </c>
      <c r="L156" s="35" t="s">
        <v>1228</v>
      </c>
    </row>
    <row r="157" spans="1:12" x14ac:dyDescent="0.25">
      <c r="A157" s="61"/>
      <c r="B157" s="59"/>
      <c r="C157" s="8" t="s">
        <v>1076</v>
      </c>
      <c r="D157" s="8" t="s">
        <v>1085</v>
      </c>
      <c r="E157" s="8">
        <v>100</v>
      </c>
      <c r="F157" s="8" t="s">
        <v>1159</v>
      </c>
      <c r="G157" s="8" t="s">
        <v>1089</v>
      </c>
      <c r="H157" s="8" t="s">
        <v>1090</v>
      </c>
      <c r="I157" s="21" t="s">
        <v>615</v>
      </c>
      <c r="J157" s="34">
        <v>97</v>
      </c>
      <c r="K157" s="8" t="str">
        <f t="shared" si="8"/>
        <v>061</v>
      </c>
      <c r="L157" s="35" t="s">
        <v>1228</v>
      </c>
    </row>
    <row r="158" spans="1:12" x14ac:dyDescent="0.25">
      <c r="A158" s="61"/>
      <c r="B158" s="60"/>
      <c r="C158" s="8" t="s">
        <v>1076</v>
      </c>
      <c r="D158" s="8" t="s">
        <v>1085</v>
      </c>
      <c r="E158" s="8">
        <v>100</v>
      </c>
      <c r="F158" s="8" t="s">
        <v>1159</v>
      </c>
      <c r="G158" s="8" t="s">
        <v>1089</v>
      </c>
      <c r="H158" s="8" t="s">
        <v>1090</v>
      </c>
      <c r="I158" s="21" t="s">
        <v>608</v>
      </c>
      <c r="J158" s="34">
        <v>0</v>
      </c>
      <c r="K158" s="8" t="str">
        <f t="shared" si="8"/>
        <v>000</v>
      </c>
      <c r="L158" s="35" t="s">
        <v>1073</v>
      </c>
    </row>
  </sheetData>
  <mergeCells count="89">
    <mergeCell ref="A18:A20"/>
    <mergeCell ref="A12:A14"/>
    <mergeCell ref="A15:A17"/>
    <mergeCell ref="A9:A11"/>
    <mergeCell ref="A135:A137"/>
    <mergeCell ref="A81:A85"/>
    <mergeCell ref="A86:A90"/>
    <mergeCell ref="A91:A95"/>
    <mergeCell ref="A96:A100"/>
    <mergeCell ref="A101:A105"/>
    <mergeCell ref="A106:A110"/>
    <mergeCell ref="A63:A65"/>
    <mergeCell ref="A66:A68"/>
    <mergeCell ref="A72:A74"/>
    <mergeCell ref="A75:A77"/>
    <mergeCell ref="A78:A80"/>
    <mergeCell ref="A36:A38"/>
    <mergeCell ref="A47:A50"/>
    <mergeCell ref="A51:A54"/>
    <mergeCell ref="A55:A58"/>
    <mergeCell ref="A138:A140"/>
    <mergeCell ref="A111:A114"/>
    <mergeCell ref="A115:A118"/>
    <mergeCell ref="A119:A122"/>
    <mergeCell ref="A123:A126"/>
    <mergeCell ref="A127:A130"/>
    <mergeCell ref="A131:A134"/>
    <mergeCell ref="A39:A42"/>
    <mergeCell ref="A43:A46"/>
    <mergeCell ref="A150:A152"/>
    <mergeCell ref="A153:A155"/>
    <mergeCell ref="A156:A158"/>
    <mergeCell ref="J1:K1"/>
    <mergeCell ref="A3:A5"/>
    <mergeCell ref="A6:A8"/>
    <mergeCell ref="A141:A143"/>
    <mergeCell ref="A144:A146"/>
    <mergeCell ref="A147:A149"/>
    <mergeCell ref="A59:A62"/>
    <mergeCell ref="A30:A32"/>
    <mergeCell ref="A69:A71"/>
    <mergeCell ref="A21:A23"/>
    <mergeCell ref="A24:A26"/>
    <mergeCell ref="A27:A29"/>
    <mergeCell ref="A33:A35"/>
    <mergeCell ref="B3:B5"/>
    <mergeCell ref="B6:B8"/>
    <mergeCell ref="B9:B11"/>
    <mergeCell ref="B12:B14"/>
    <mergeCell ref="B15:B17"/>
    <mergeCell ref="B18:B20"/>
    <mergeCell ref="B21:B23"/>
    <mergeCell ref="B24:B26"/>
    <mergeCell ref="B27:B29"/>
    <mergeCell ref="B30:B32"/>
    <mergeCell ref="B33:B35"/>
    <mergeCell ref="B36:B38"/>
    <mergeCell ref="B47:B50"/>
    <mergeCell ref="B51:B54"/>
    <mergeCell ref="B55:B58"/>
    <mergeCell ref="B39:B42"/>
    <mergeCell ref="B43:B46"/>
    <mergeCell ref="B59:B62"/>
    <mergeCell ref="B63:B65"/>
    <mergeCell ref="B66:B68"/>
    <mergeCell ref="B69:B71"/>
    <mergeCell ref="B72:B74"/>
    <mergeCell ref="B75:B77"/>
    <mergeCell ref="B78:B80"/>
    <mergeCell ref="B81:B85"/>
    <mergeCell ref="B86:B90"/>
    <mergeCell ref="B91:B95"/>
    <mergeCell ref="B96:B100"/>
    <mergeCell ref="B101:B105"/>
    <mergeCell ref="B106:B110"/>
    <mergeCell ref="B111:B114"/>
    <mergeCell ref="B115:B118"/>
    <mergeCell ref="B119:B122"/>
    <mergeCell ref="B123:B126"/>
    <mergeCell ref="B127:B130"/>
    <mergeCell ref="B131:B134"/>
    <mergeCell ref="B135:B137"/>
    <mergeCell ref="B153:B155"/>
    <mergeCell ref="B156:B158"/>
    <mergeCell ref="B138:B140"/>
    <mergeCell ref="B141:B143"/>
    <mergeCell ref="B144:B146"/>
    <mergeCell ref="B147:B149"/>
    <mergeCell ref="B150:B152"/>
  </mergeCells>
  <phoneticPr fontId="2" type="noConversion"/>
  <conditionalFormatting sqref="I141 K141 I144 K144 I148:K149 I147 K147 I151:K152 I150 K150 F153:F158 I154:K155 I153 K153 I157:K158 I156 K156 A47:K47 A3:XFD3 B6 B9 B12 B15 B18 B21 B24 B27 B30 B33 B36 A81:K81 B51 B55 B59 B63 B66 B69 B72 B75 B78 A111:K111 A82:A110 C82:K110 B86 B91 B96 B101 B106 A135:K135 B115 B119 A112:A134 C112:K134 B123 B127 B131 A136:A146 C136:K140 C144:E146 C141:F143 B138 B141 B144 B147 B150 B153 B156 B39 B43 V3:W15 A4:A46 A48:A80 C48:K80 L107:XFD158 L47:N106 C4:XFD4 C5:Q5 R5:XFD106 O6:Q106 C6:N46">
    <cfRule type="expression" dxfId="16" priority="17">
      <formula>MOD(COUNTA($A$3:$A3),2)=0</formula>
    </cfRule>
  </conditionalFormatting>
  <conditionalFormatting sqref="I142:K143">
    <cfRule type="expression" dxfId="15" priority="16">
      <formula>MOD(COUNTA($A$3:$A142),2)=0</formula>
    </cfRule>
  </conditionalFormatting>
  <conditionalFormatting sqref="I145:K146">
    <cfRule type="expression" dxfId="14" priority="15">
      <formula>MOD(COUNTA($A$3:$A145),2)=0</formula>
    </cfRule>
  </conditionalFormatting>
  <conditionalFormatting sqref="G141:H146">
    <cfRule type="expression" dxfId="13" priority="14">
      <formula>MOD(COUNTA($A$3:$A141),2)=0</formula>
    </cfRule>
  </conditionalFormatting>
  <conditionalFormatting sqref="J141">
    <cfRule type="expression" dxfId="12" priority="13">
      <formula>MOD(COUNTA($A$3:$A141),2)=0</formula>
    </cfRule>
  </conditionalFormatting>
  <conditionalFormatting sqref="J144">
    <cfRule type="expression" dxfId="11" priority="12">
      <formula>MOD(COUNTA($A$3:$A144),2)=0</formula>
    </cfRule>
  </conditionalFormatting>
  <conditionalFormatting sqref="A147:A149 C147:F149">
    <cfRule type="expression" dxfId="10" priority="11">
      <formula>MOD(COUNTA($A$3:$A147),2)=0</formula>
    </cfRule>
  </conditionalFormatting>
  <conditionalFormatting sqref="A150:A152 C150:F152">
    <cfRule type="expression" dxfId="9" priority="10">
      <formula>MOD(COUNTA($A$3:$A150),2)=0</formula>
    </cfRule>
  </conditionalFormatting>
  <conditionalFormatting sqref="G147:H152">
    <cfRule type="expression" dxfId="8" priority="9">
      <formula>MOD(COUNTA($A$3:$A147),2)=0</formula>
    </cfRule>
  </conditionalFormatting>
  <conditionalFormatting sqref="J147">
    <cfRule type="expression" dxfId="7" priority="8">
      <formula>MOD(COUNTA($A$3:$A147),2)=0</formula>
    </cfRule>
  </conditionalFormatting>
  <conditionalFormatting sqref="J150">
    <cfRule type="expression" dxfId="6" priority="7">
      <formula>MOD(COUNTA($A$3:$A150),2)=0</formula>
    </cfRule>
  </conditionalFormatting>
  <conditionalFormatting sqref="A153:A155 C153:E155">
    <cfRule type="expression" dxfId="5" priority="6">
      <formula>MOD(COUNTA($A$3:$A153),2)=0</formula>
    </cfRule>
  </conditionalFormatting>
  <conditionalFormatting sqref="A156:A158 C156:E158">
    <cfRule type="expression" dxfId="4" priority="5">
      <formula>MOD(COUNTA($A$3:$A156),2)=0</formula>
    </cfRule>
  </conditionalFormatting>
  <conditionalFormatting sqref="G153:H158">
    <cfRule type="expression" dxfId="3" priority="4">
      <formula>MOD(COUNTA($A$3:$A153),2)=0</formula>
    </cfRule>
  </conditionalFormatting>
  <conditionalFormatting sqref="J153">
    <cfRule type="expression" dxfId="2" priority="3">
      <formula>MOD(COUNTA($A$3:$A153),2)=0</formula>
    </cfRule>
  </conditionalFormatting>
  <conditionalFormatting sqref="J156">
    <cfRule type="expression" dxfId="1" priority="2">
      <formula>MOD(COUNTA($A$3:$A156),2)=0</formula>
    </cfRule>
  </conditionalFormatting>
  <conditionalFormatting sqref="F144:F146">
    <cfRule type="expression" dxfId="0" priority="1">
      <formula>MOD(COUNTA($A$3:$A144),2)=0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47"/>
  <sheetViews>
    <sheetView zoomScale="120" zoomScaleNormal="120" workbookViewId="0">
      <pane ySplit="1" topLeftCell="A227" activePane="bottomLeft" state="frozen"/>
      <selection pane="bottomLeft" activeCell="F247" sqref="F247"/>
    </sheetView>
  </sheetViews>
  <sheetFormatPr defaultRowHeight="15" x14ac:dyDescent="0.25"/>
  <cols>
    <col min="1" max="2" width="9.140625" style="21"/>
    <col min="3" max="3" width="10.85546875" style="21" customWidth="1"/>
    <col min="4" max="4" width="9.140625" style="21"/>
    <col min="5" max="5" width="11.42578125" style="21" customWidth="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559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147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147</v>
      </c>
      <c r="I3" t="str" cm="1">
        <f t="array" ref="I3:I48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614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614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147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147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614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614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566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566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566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566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613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566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566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653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656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654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657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655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658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561</v>
      </c>
      <c r="I30" t="str">
        <v>PP_11U4BF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561</v>
      </c>
      <c r="I31" t="str">
        <v>PS_11U4BF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561</v>
      </c>
      <c r="I32" t="str">
        <v>MUP_12U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561</v>
      </c>
      <c r="I33" t="str">
        <v>MUS_12U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561</v>
      </c>
      <c r="I34" t="str">
        <v>MUP_13U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561</v>
      </c>
      <c r="I35" t="str">
        <v>MUS_13U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561</v>
      </c>
      <c r="I36" t="str">
        <v>PP_14U4BF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561</v>
      </c>
      <c r="I37" t="str">
        <v>PS_14U4BF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561</v>
      </c>
      <c r="I38" t="str">
        <v>MUP_7U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561</v>
      </c>
      <c r="I39" t="str">
        <v>MUS_7U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561</v>
      </c>
      <c r="I40" t="str">
        <v>MUP_8U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561</v>
      </c>
      <c r="I41" t="str">
        <v>MUS_8U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561</v>
      </c>
      <c r="I42" t="str">
        <v>PP_8U4BF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561</v>
      </c>
      <c r="I43" t="str">
        <v>PS_8U4BF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561</v>
      </c>
      <c r="I44" t="str">
        <v>MUP_9U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561</v>
      </c>
      <c r="I45" t="str">
        <v>MUS_9U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561</v>
      </c>
      <c r="I46" t="str">
        <v>MUP_9U_TC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561</v>
      </c>
      <c r="I47" t="str">
        <v>MUS_9U_TC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561</v>
      </c>
      <c r="I48">
        <v>0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561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561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561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561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561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561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561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561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561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561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561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561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561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561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561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561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561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561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561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561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561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561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561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561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561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561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561</v>
      </c>
    </row>
    <row r="76" spans="1:6" x14ac:dyDescent="0.25">
      <c r="A76" s="21" t="s">
        <v>0</v>
      </c>
      <c r="B76" s="21" t="s">
        <v>21</v>
      </c>
      <c r="C76" s="21" t="s">
        <v>80</v>
      </c>
      <c r="D76" s="21" t="s">
        <v>57</v>
      </c>
      <c r="E76" s="21" t="s">
        <v>162</v>
      </c>
      <c r="F76" s="21" t="s">
        <v>561</v>
      </c>
    </row>
    <row r="77" spans="1:6" x14ac:dyDescent="0.25">
      <c r="A77" s="21" t="s">
        <v>0</v>
      </c>
      <c r="B77" s="21" t="s">
        <v>21</v>
      </c>
      <c r="C77" s="21" t="s">
        <v>80</v>
      </c>
      <c r="D77" s="21" t="s">
        <v>57</v>
      </c>
      <c r="E77" s="21" t="s">
        <v>164</v>
      </c>
      <c r="F77" s="21" t="s">
        <v>561</v>
      </c>
    </row>
    <row r="78" spans="1:6" x14ac:dyDescent="0.25">
      <c r="A78" s="21" t="s">
        <v>0</v>
      </c>
      <c r="B78" s="21" t="s">
        <v>21</v>
      </c>
      <c r="C78" s="21" t="s">
        <v>81</v>
      </c>
      <c r="D78" s="21" t="s">
        <v>53</v>
      </c>
      <c r="E78" s="21" t="s">
        <v>162</v>
      </c>
      <c r="F78" s="21" t="s">
        <v>561</v>
      </c>
    </row>
    <row r="79" spans="1:6" x14ac:dyDescent="0.25">
      <c r="A79" s="21" t="s">
        <v>0</v>
      </c>
      <c r="B79" s="21" t="s">
        <v>21</v>
      </c>
      <c r="C79" s="21" t="s">
        <v>81</v>
      </c>
      <c r="D79" s="21" t="s">
        <v>53</v>
      </c>
      <c r="E79" s="21" t="s">
        <v>164</v>
      </c>
      <c r="F79" s="21" t="s">
        <v>561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561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561</v>
      </c>
    </row>
    <row r="82" spans="1:7" x14ac:dyDescent="0.25">
      <c r="A82" s="21" t="s">
        <v>0</v>
      </c>
      <c r="B82" s="21" t="s">
        <v>22</v>
      </c>
      <c r="C82" s="21" t="s">
        <v>83</v>
      </c>
      <c r="D82" s="21" t="s">
        <v>57</v>
      </c>
      <c r="E82" s="21" t="s">
        <v>162</v>
      </c>
      <c r="F82" s="21" t="s">
        <v>561</v>
      </c>
    </row>
    <row r="83" spans="1:7" x14ac:dyDescent="0.25">
      <c r="A83" s="21" t="s">
        <v>0</v>
      </c>
      <c r="B83" s="21" t="s">
        <v>22</v>
      </c>
      <c r="C83" s="21" t="s">
        <v>83</v>
      </c>
      <c r="D83" s="21" t="s">
        <v>57</v>
      </c>
      <c r="E83" s="21" t="s">
        <v>164</v>
      </c>
      <c r="F83" s="21" t="s">
        <v>561</v>
      </c>
    </row>
    <row r="84" spans="1:7" x14ac:dyDescent="0.25">
      <c r="A84" s="21" t="s">
        <v>0</v>
      </c>
      <c r="B84" s="21" t="s">
        <v>22</v>
      </c>
      <c r="C84" s="21" t="s">
        <v>84</v>
      </c>
      <c r="D84" s="21" t="s">
        <v>53</v>
      </c>
      <c r="E84" s="21" t="s">
        <v>162</v>
      </c>
      <c r="F84" s="21" t="s">
        <v>561</v>
      </c>
    </row>
    <row r="85" spans="1:7" x14ac:dyDescent="0.25">
      <c r="A85" s="21" t="s">
        <v>0</v>
      </c>
      <c r="B85" s="21" t="s">
        <v>22</v>
      </c>
      <c r="C85" s="21" t="s">
        <v>84</v>
      </c>
      <c r="D85" s="21" t="s">
        <v>53</v>
      </c>
      <c r="E85" s="21" t="s">
        <v>164</v>
      </c>
      <c r="F85" s="21" t="s">
        <v>561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560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560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484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484</v>
      </c>
    </row>
    <row r="92" spans="1:7" x14ac:dyDescent="0.25">
      <c r="A92" s="21" t="s">
        <v>0</v>
      </c>
      <c r="B92" s="21" t="s">
        <v>24</v>
      </c>
      <c r="C92" s="21" t="s">
        <v>88</v>
      </c>
      <c r="D92" s="21" t="s">
        <v>53</v>
      </c>
      <c r="E92" s="21" t="s">
        <v>143</v>
      </c>
      <c r="F92" s="21" t="s">
        <v>168</v>
      </c>
    </row>
    <row r="93" spans="1:7" x14ac:dyDescent="0.25">
      <c r="A93" s="21" t="s">
        <v>0</v>
      </c>
      <c r="B93" s="21" t="s">
        <v>24</v>
      </c>
      <c r="C93" s="21" t="s">
        <v>88</v>
      </c>
      <c r="D93" s="21" t="s">
        <v>53</v>
      </c>
      <c r="E93" s="21" t="s">
        <v>145</v>
      </c>
      <c r="F93" s="21" t="s">
        <v>168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146</v>
      </c>
      <c r="F94" s="21" t="s">
        <v>169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148</v>
      </c>
      <c r="F95" s="21" t="s">
        <v>169</v>
      </c>
    </row>
    <row r="96" spans="1:7" x14ac:dyDescent="0.25">
      <c r="A96" s="21" t="s">
        <v>0</v>
      </c>
      <c r="B96" s="21" t="s">
        <v>24</v>
      </c>
      <c r="C96" s="21" t="s">
        <v>86</v>
      </c>
      <c r="D96" s="21" t="s">
        <v>53</v>
      </c>
      <c r="E96" s="21" t="s">
        <v>143</v>
      </c>
      <c r="F96" s="21" t="s">
        <v>168</v>
      </c>
    </row>
    <row r="97" spans="1:6" x14ac:dyDescent="0.25">
      <c r="A97" s="21" t="s">
        <v>0</v>
      </c>
      <c r="B97" s="21" t="s">
        <v>24</v>
      </c>
      <c r="C97" s="21" t="s">
        <v>86</v>
      </c>
      <c r="D97" s="21" t="s">
        <v>53</v>
      </c>
      <c r="E97" s="21" t="s">
        <v>145</v>
      </c>
      <c r="F97" s="21" t="s">
        <v>168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146</v>
      </c>
      <c r="F98" s="21" t="s">
        <v>169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148</v>
      </c>
      <c r="F99" s="21" t="s">
        <v>169</v>
      </c>
    </row>
    <row r="100" spans="1:6" x14ac:dyDescent="0.25">
      <c r="A100" s="21" t="s">
        <v>0</v>
      </c>
      <c r="B100" s="21" t="s">
        <v>24</v>
      </c>
      <c r="C100" s="21" t="s">
        <v>89</v>
      </c>
      <c r="D100" s="21" t="s">
        <v>53</v>
      </c>
      <c r="E100" s="21" t="s">
        <v>143</v>
      </c>
      <c r="F100" s="21" t="s">
        <v>168</v>
      </c>
    </row>
    <row r="101" spans="1:6" x14ac:dyDescent="0.25">
      <c r="A101" s="21" t="s">
        <v>0</v>
      </c>
      <c r="B101" s="21" t="s">
        <v>24</v>
      </c>
      <c r="C101" s="21" t="s">
        <v>89</v>
      </c>
      <c r="D101" s="21" t="s">
        <v>53</v>
      </c>
      <c r="E101" s="21" t="s">
        <v>145</v>
      </c>
      <c r="F101" s="21" t="s">
        <v>168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146</v>
      </c>
      <c r="F102" s="21" t="s">
        <v>169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148</v>
      </c>
      <c r="F103" s="21" t="s">
        <v>169</v>
      </c>
    </row>
    <row r="104" spans="1:6" x14ac:dyDescent="0.25">
      <c r="A104" s="21" t="s">
        <v>0</v>
      </c>
      <c r="B104" s="21" t="s">
        <v>24</v>
      </c>
      <c r="C104" s="21" t="s">
        <v>90</v>
      </c>
      <c r="D104" s="21" t="s">
        <v>48</v>
      </c>
      <c r="E104" s="21" t="s">
        <v>146</v>
      </c>
      <c r="F104" s="21" t="s">
        <v>170</v>
      </c>
    </row>
    <row r="105" spans="1:6" x14ac:dyDescent="0.25">
      <c r="A105" s="21" t="s">
        <v>0</v>
      </c>
      <c r="B105" s="21" t="s">
        <v>24</v>
      </c>
      <c r="C105" s="21" t="s">
        <v>90</v>
      </c>
      <c r="D105" s="21" t="s">
        <v>48</v>
      </c>
      <c r="E105" s="21" t="s">
        <v>148</v>
      </c>
      <c r="F105" s="21" t="s">
        <v>170</v>
      </c>
    </row>
    <row r="106" spans="1:6" x14ac:dyDescent="0.25">
      <c r="A106" s="21" t="s">
        <v>0</v>
      </c>
      <c r="B106" s="21" t="s">
        <v>27</v>
      </c>
      <c r="C106" s="21" t="s">
        <v>92</v>
      </c>
      <c r="D106" s="21" t="s">
        <v>57</v>
      </c>
      <c r="E106" s="21" t="s">
        <v>143</v>
      </c>
      <c r="F106" s="21" t="s">
        <v>165</v>
      </c>
    </row>
    <row r="107" spans="1:6" x14ac:dyDescent="0.25">
      <c r="A107" s="21" t="s">
        <v>0</v>
      </c>
      <c r="B107" s="21" t="s">
        <v>27</v>
      </c>
      <c r="C107" s="21" t="s">
        <v>92</v>
      </c>
      <c r="D107" s="21" t="s">
        <v>57</v>
      </c>
      <c r="E107" s="21" t="s">
        <v>145</v>
      </c>
      <c r="F107" s="21" t="s">
        <v>165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150</v>
      </c>
      <c r="F108" s="21" t="s">
        <v>166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151</v>
      </c>
      <c r="F109" s="21" t="s">
        <v>166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1145</v>
      </c>
      <c r="F110" s="21" t="s">
        <v>167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1150</v>
      </c>
      <c r="F111" s="21" t="s">
        <v>167</v>
      </c>
    </row>
    <row r="112" spans="1:6" x14ac:dyDescent="0.25">
      <c r="A112" s="21" t="s">
        <v>0</v>
      </c>
      <c r="B112" s="21" t="s">
        <v>27</v>
      </c>
      <c r="C112" s="21" t="s">
        <v>93</v>
      </c>
      <c r="D112" s="21" t="s">
        <v>53</v>
      </c>
      <c r="E112" s="21" t="s">
        <v>143</v>
      </c>
      <c r="F112" s="21" t="s">
        <v>168</v>
      </c>
    </row>
    <row r="113" spans="1:7" x14ac:dyDescent="0.25">
      <c r="A113" s="21" t="s">
        <v>0</v>
      </c>
      <c r="B113" s="21" t="s">
        <v>27</v>
      </c>
      <c r="C113" s="21" t="s">
        <v>93</v>
      </c>
      <c r="D113" s="21" t="s">
        <v>53</v>
      </c>
      <c r="E113" s="21" t="s">
        <v>145</v>
      </c>
      <c r="F113" s="21" t="s">
        <v>168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150</v>
      </c>
      <c r="F114" s="21" t="s">
        <v>169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151</v>
      </c>
      <c r="F115" s="21" t="s">
        <v>169</v>
      </c>
    </row>
    <row r="116" spans="1:7" x14ac:dyDescent="0.25">
      <c r="A116" s="21" t="s">
        <v>0</v>
      </c>
      <c r="B116" s="21" t="s">
        <v>27</v>
      </c>
      <c r="C116" s="21" t="s">
        <v>91</v>
      </c>
      <c r="D116" s="21" t="s">
        <v>53</v>
      </c>
      <c r="E116" s="21" t="s">
        <v>143</v>
      </c>
      <c r="F116" s="21" t="s">
        <v>168</v>
      </c>
    </row>
    <row r="117" spans="1:7" x14ac:dyDescent="0.25">
      <c r="A117" s="21" t="s">
        <v>0</v>
      </c>
      <c r="B117" s="21" t="s">
        <v>27</v>
      </c>
      <c r="C117" s="21" t="s">
        <v>91</v>
      </c>
      <c r="D117" s="21" t="s">
        <v>53</v>
      </c>
      <c r="E117" s="21" t="s">
        <v>145</v>
      </c>
      <c r="F117" s="21" t="s">
        <v>168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150</v>
      </c>
      <c r="F118" s="21" t="s">
        <v>169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151</v>
      </c>
      <c r="F119" s="21" t="s">
        <v>169</v>
      </c>
    </row>
    <row r="120" spans="1:7" x14ac:dyDescent="0.25">
      <c r="A120" s="21" t="s">
        <v>0</v>
      </c>
      <c r="B120" s="21" t="s">
        <v>27</v>
      </c>
      <c r="C120" s="21" t="s">
        <v>94</v>
      </c>
      <c r="D120" s="21" t="s">
        <v>48</v>
      </c>
      <c r="E120" s="21" t="s">
        <v>150</v>
      </c>
      <c r="F120" s="21" t="s">
        <v>170</v>
      </c>
    </row>
    <row r="121" spans="1:7" x14ac:dyDescent="0.25">
      <c r="A121" s="21" t="s">
        <v>0</v>
      </c>
      <c r="B121" s="21" t="s">
        <v>27</v>
      </c>
      <c r="C121" s="21" t="s">
        <v>94</v>
      </c>
      <c r="D121" s="21" t="s">
        <v>48</v>
      </c>
      <c r="E121" s="21" t="s">
        <v>151</v>
      </c>
      <c r="F121" s="21" t="s">
        <v>170</v>
      </c>
    </row>
    <row r="122" spans="1:7" x14ac:dyDescent="0.25">
      <c r="A122" s="21" t="s">
        <v>0</v>
      </c>
      <c r="B122" s="21" t="s">
        <v>30</v>
      </c>
      <c r="C122" s="21" t="s">
        <v>96</v>
      </c>
      <c r="D122" s="21" t="s">
        <v>57</v>
      </c>
      <c r="E122" s="21" t="s">
        <v>143</v>
      </c>
      <c r="F122" s="21" t="s">
        <v>560</v>
      </c>
    </row>
    <row r="123" spans="1:7" x14ac:dyDescent="0.25">
      <c r="A123" s="21" t="s">
        <v>0</v>
      </c>
      <c r="B123" s="21" t="s">
        <v>30</v>
      </c>
      <c r="C123" s="21" t="s">
        <v>96</v>
      </c>
      <c r="D123" s="21" t="s">
        <v>57</v>
      </c>
      <c r="E123" s="21" t="s">
        <v>145</v>
      </c>
      <c r="F123" s="21" t="s">
        <v>560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171</v>
      </c>
      <c r="F124" s="21" t="s">
        <v>166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172</v>
      </c>
      <c r="F125" s="21" t="s">
        <v>166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162</v>
      </c>
      <c r="F126" s="21" t="s">
        <v>163</v>
      </c>
      <c r="G126" s="18" t="s">
        <v>484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164</v>
      </c>
      <c r="F127" s="21" t="s">
        <v>163</v>
      </c>
      <c r="G127" s="18" t="s">
        <v>484</v>
      </c>
    </row>
    <row r="128" spans="1:7" x14ac:dyDescent="0.25">
      <c r="A128" s="21" t="s">
        <v>0</v>
      </c>
      <c r="B128" s="21" t="s">
        <v>30</v>
      </c>
      <c r="C128" s="21" t="s">
        <v>98</v>
      </c>
      <c r="D128" s="21" t="s">
        <v>53</v>
      </c>
      <c r="E128" s="21" t="s">
        <v>143</v>
      </c>
      <c r="F128" s="21" t="s">
        <v>168</v>
      </c>
    </row>
    <row r="129" spans="1:6" x14ac:dyDescent="0.25">
      <c r="A129" s="21" t="s">
        <v>0</v>
      </c>
      <c r="B129" s="21" t="s">
        <v>30</v>
      </c>
      <c r="C129" s="21" t="s">
        <v>98</v>
      </c>
      <c r="D129" s="21" t="s">
        <v>53</v>
      </c>
      <c r="E129" s="21" t="s">
        <v>145</v>
      </c>
      <c r="F129" s="21" t="s">
        <v>168</v>
      </c>
    </row>
    <row r="130" spans="1:6" x14ac:dyDescent="0.25">
      <c r="A130" s="21" t="s">
        <v>0</v>
      </c>
      <c r="B130" s="21" t="s">
        <v>30</v>
      </c>
      <c r="C130" s="21" t="s">
        <v>98</v>
      </c>
      <c r="D130" s="21" t="s">
        <v>53</v>
      </c>
      <c r="E130" s="21" t="s">
        <v>171</v>
      </c>
      <c r="F130" s="21" t="s">
        <v>169</v>
      </c>
    </row>
    <row r="131" spans="1:6" x14ac:dyDescent="0.25">
      <c r="A131" s="21" t="s">
        <v>0</v>
      </c>
      <c r="B131" s="21" t="s">
        <v>30</v>
      </c>
      <c r="C131" s="21" t="s">
        <v>98</v>
      </c>
      <c r="D131" s="21" t="s">
        <v>53</v>
      </c>
      <c r="E131" s="21" t="s">
        <v>172</v>
      </c>
      <c r="F131" s="21" t="s">
        <v>169</v>
      </c>
    </row>
    <row r="132" spans="1:6" x14ac:dyDescent="0.25">
      <c r="A132" s="21" t="s">
        <v>0</v>
      </c>
      <c r="B132" s="21" t="s">
        <v>30</v>
      </c>
      <c r="C132" s="21" t="s">
        <v>95</v>
      </c>
      <c r="D132" s="21" t="s">
        <v>53</v>
      </c>
      <c r="E132" s="21" t="s">
        <v>143</v>
      </c>
      <c r="F132" s="21" t="s">
        <v>168</v>
      </c>
    </row>
    <row r="133" spans="1:6" x14ac:dyDescent="0.25">
      <c r="A133" s="21" t="s">
        <v>0</v>
      </c>
      <c r="B133" s="21" t="s">
        <v>30</v>
      </c>
      <c r="C133" s="21" t="s">
        <v>95</v>
      </c>
      <c r="D133" s="21" t="s">
        <v>53</v>
      </c>
      <c r="E133" s="21" t="s">
        <v>145</v>
      </c>
      <c r="F133" s="21" t="s">
        <v>168</v>
      </c>
    </row>
    <row r="134" spans="1:6" x14ac:dyDescent="0.25">
      <c r="A134" s="21" t="s">
        <v>0</v>
      </c>
      <c r="B134" s="21" t="s">
        <v>30</v>
      </c>
      <c r="C134" s="21" t="s">
        <v>95</v>
      </c>
      <c r="D134" s="21" t="s">
        <v>53</v>
      </c>
      <c r="E134" s="21" t="s">
        <v>171</v>
      </c>
      <c r="F134" s="21" t="s">
        <v>169</v>
      </c>
    </row>
    <row r="135" spans="1:6" x14ac:dyDescent="0.25">
      <c r="A135" s="21" t="s">
        <v>0</v>
      </c>
      <c r="B135" s="21" t="s">
        <v>30</v>
      </c>
      <c r="C135" s="21" t="s">
        <v>95</v>
      </c>
      <c r="D135" s="21" t="s">
        <v>53</v>
      </c>
      <c r="E135" s="21" t="s">
        <v>172</v>
      </c>
      <c r="F135" s="21" t="s">
        <v>169</v>
      </c>
    </row>
    <row r="136" spans="1:6" x14ac:dyDescent="0.25">
      <c r="A136" s="21" t="s">
        <v>0</v>
      </c>
      <c r="B136" s="21" t="s">
        <v>30</v>
      </c>
      <c r="C136" s="21" t="s">
        <v>99</v>
      </c>
      <c r="D136" s="21" t="s">
        <v>53</v>
      </c>
      <c r="E136" s="21" t="s">
        <v>143</v>
      </c>
      <c r="F136" s="21" t="s">
        <v>168</v>
      </c>
    </row>
    <row r="137" spans="1:6" x14ac:dyDescent="0.25">
      <c r="A137" s="21" t="s">
        <v>0</v>
      </c>
      <c r="B137" s="21" t="s">
        <v>30</v>
      </c>
      <c r="C137" s="21" t="s">
        <v>99</v>
      </c>
      <c r="D137" s="21" t="s">
        <v>53</v>
      </c>
      <c r="E137" s="21" t="s">
        <v>145</v>
      </c>
      <c r="F137" s="21" t="s">
        <v>168</v>
      </c>
    </row>
    <row r="138" spans="1:6" x14ac:dyDescent="0.25">
      <c r="A138" s="21" t="s">
        <v>0</v>
      </c>
      <c r="B138" s="21" t="s">
        <v>30</v>
      </c>
      <c r="C138" s="21" t="s">
        <v>99</v>
      </c>
      <c r="D138" s="21" t="s">
        <v>53</v>
      </c>
      <c r="E138" s="21" t="s">
        <v>171</v>
      </c>
      <c r="F138" s="21" t="s">
        <v>169</v>
      </c>
    </row>
    <row r="139" spans="1:6" x14ac:dyDescent="0.25">
      <c r="A139" s="21" t="s">
        <v>0</v>
      </c>
      <c r="B139" s="21" t="s">
        <v>30</v>
      </c>
      <c r="C139" s="21" t="s">
        <v>99</v>
      </c>
      <c r="D139" s="21" t="s">
        <v>53</v>
      </c>
      <c r="E139" s="21" t="s">
        <v>172</v>
      </c>
      <c r="F139" s="21" t="s">
        <v>169</v>
      </c>
    </row>
    <row r="140" spans="1:6" x14ac:dyDescent="0.25">
      <c r="A140" s="21" t="s">
        <v>0</v>
      </c>
      <c r="B140" s="21" t="s">
        <v>30</v>
      </c>
      <c r="C140" s="21" t="s">
        <v>100</v>
      </c>
      <c r="D140" s="21" t="s">
        <v>48</v>
      </c>
      <c r="E140" s="21" t="s">
        <v>171</v>
      </c>
      <c r="F140" s="21" t="s">
        <v>170</v>
      </c>
    </row>
    <row r="141" spans="1:6" x14ac:dyDescent="0.25">
      <c r="A141" s="21" t="s">
        <v>0</v>
      </c>
      <c r="B141" s="21" t="s">
        <v>30</v>
      </c>
      <c r="C141" s="21" t="s">
        <v>100</v>
      </c>
      <c r="D141" s="21" t="s">
        <v>48</v>
      </c>
      <c r="E141" s="21" t="s">
        <v>172</v>
      </c>
      <c r="F141" s="21" t="s">
        <v>170</v>
      </c>
    </row>
    <row r="142" spans="1:6" x14ac:dyDescent="0.25">
      <c r="A142" s="21" t="s">
        <v>0</v>
      </c>
      <c r="B142" s="21" t="s">
        <v>30</v>
      </c>
      <c r="C142" s="21" t="s">
        <v>173</v>
      </c>
      <c r="D142" s="21" t="s">
        <v>101</v>
      </c>
      <c r="E142" s="21" t="s">
        <v>171</v>
      </c>
      <c r="F142" s="21" t="s">
        <v>147</v>
      </c>
    </row>
    <row r="143" spans="1:6" x14ac:dyDescent="0.25">
      <c r="A143" s="21" t="s">
        <v>0</v>
      </c>
      <c r="B143" s="21" t="s">
        <v>30</v>
      </c>
      <c r="C143" s="21" t="s">
        <v>173</v>
      </c>
      <c r="D143" s="21" t="s">
        <v>101</v>
      </c>
      <c r="E143" s="21" t="s">
        <v>172</v>
      </c>
      <c r="F143" s="21" t="s">
        <v>147</v>
      </c>
    </row>
    <row r="144" spans="1:6" x14ac:dyDescent="0.25">
      <c r="A144" s="21" t="s">
        <v>0</v>
      </c>
      <c r="B144" s="21" t="s">
        <v>30</v>
      </c>
      <c r="C144" s="21" t="s">
        <v>173</v>
      </c>
      <c r="D144" s="21" t="s">
        <v>101</v>
      </c>
      <c r="E144" s="21" t="s">
        <v>143</v>
      </c>
      <c r="F144" s="21" t="s">
        <v>614</v>
      </c>
    </row>
    <row r="145" spans="1:7" x14ac:dyDescent="0.25">
      <c r="A145" s="21" t="s">
        <v>0</v>
      </c>
      <c r="B145" s="21" t="s">
        <v>30</v>
      </c>
      <c r="C145" s="21" t="s">
        <v>173</v>
      </c>
      <c r="D145" s="21" t="s">
        <v>101</v>
      </c>
      <c r="E145" s="21" t="s">
        <v>145</v>
      </c>
      <c r="F145" s="21" t="s">
        <v>614</v>
      </c>
    </row>
    <row r="146" spans="1:7" x14ac:dyDescent="0.25">
      <c r="A146" s="21" t="s">
        <v>0</v>
      </c>
      <c r="B146" s="21" t="s">
        <v>30</v>
      </c>
      <c r="C146" s="21" t="s">
        <v>102</v>
      </c>
      <c r="D146" s="21" t="s">
        <v>103</v>
      </c>
      <c r="E146" s="21" t="s">
        <v>143</v>
      </c>
      <c r="F146" s="21" t="s">
        <v>144</v>
      </c>
    </row>
    <row r="147" spans="1:7" x14ac:dyDescent="0.25">
      <c r="A147" s="21" t="s">
        <v>0</v>
      </c>
      <c r="B147" s="21" t="s">
        <v>30</v>
      </c>
      <c r="C147" s="21" t="s">
        <v>102</v>
      </c>
      <c r="D147" s="21" t="s">
        <v>103</v>
      </c>
      <c r="E147" s="21" t="s">
        <v>145</v>
      </c>
      <c r="F147" s="21" t="s">
        <v>144</v>
      </c>
    </row>
    <row r="148" spans="1:7" x14ac:dyDescent="0.25">
      <c r="A148" s="21" t="s">
        <v>0</v>
      </c>
      <c r="B148" s="21" t="s">
        <v>32</v>
      </c>
      <c r="C148" s="21" t="s">
        <v>106</v>
      </c>
      <c r="D148" s="21" t="s">
        <v>57</v>
      </c>
      <c r="E148" s="21" t="s">
        <v>160</v>
      </c>
      <c r="F148" s="21" t="s">
        <v>560</v>
      </c>
    </row>
    <row r="149" spans="1:7" x14ac:dyDescent="0.25">
      <c r="A149" s="21" t="s">
        <v>0</v>
      </c>
      <c r="B149" s="21" t="s">
        <v>32</v>
      </c>
      <c r="C149" s="21" t="s">
        <v>106</v>
      </c>
      <c r="D149" s="21" t="s">
        <v>57</v>
      </c>
      <c r="E149" s="21" t="s">
        <v>613</v>
      </c>
      <c r="F149" s="21" t="s">
        <v>560</v>
      </c>
    </row>
    <row r="150" spans="1:7" x14ac:dyDescent="0.25">
      <c r="A150" s="21" t="s">
        <v>0</v>
      </c>
      <c r="B150" s="21" t="s">
        <v>32</v>
      </c>
      <c r="C150" s="21" t="s">
        <v>106</v>
      </c>
      <c r="D150" s="21" t="s">
        <v>57</v>
      </c>
      <c r="E150" s="21" t="s">
        <v>174</v>
      </c>
      <c r="F150" s="21" t="s">
        <v>166</v>
      </c>
    </row>
    <row r="151" spans="1:7" x14ac:dyDescent="0.25">
      <c r="A151" s="21" t="s">
        <v>0</v>
      </c>
      <c r="B151" s="21" t="s">
        <v>32</v>
      </c>
      <c r="C151" s="21" t="s">
        <v>106</v>
      </c>
      <c r="D151" s="21" t="s">
        <v>57</v>
      </c>
      <c r="E151" s="21" t="s">
        <v>175</v>
      </c>
      <c r="F151" s="21" t="s">
        <v>166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162</v>
      </c>
      <c r="F152" s="21" t="s">
        <v>163</v>
      </c>
      <c r="G152" s="18" t="s">
        <v>484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164</v>
      </c>
      <c r="F153" s="21" t="s">
        <v>163</v>
      </c>
      <c r="G153" s="18" t="s">
        <v>484</v>
      </c>
    </row>
    <row r="154" spans="1:7" x14ac:dyDescent="0.25">
      <c r="A154" s="21" t="s">
        <v>0</v>
      </c>
      <c r="B154" s="21" t="s">
        <v>32</v>
      </c>
      <c r="C154" s="21" t="s">
        <v>107</v>
      </c>
      <c r="D154" s="21" t="s">
        <v>53</v>
      </c>
      <c r="E154" s="21" t="s">
        <v>160</v>
      </c>
      <c r="F154" s="21" t="s">
        <v>168</v>
      </c>
    </row>
    <row r="155" spans="1:7" x14ac:dyDescent="0.25">
      <c r="A155" s="21" t="s">
        <v>0</v>
      </c>
      <c r="B155" s="21" t="s">
        <v>32</v>
      </c>
      <c r="C155" s="21" t="s">
        <v>107</v>
      </c>
      <c r="D155" s="21" t="s">
        <v>53</v>
      </c>
      <c r="E155" s="21" t="s">
        <v>613</v>
      </c>
      <c r="F155" s="21" t="s">
        <v>168</v>
      </c>
    </row>
    <row r="156" spans="1:7" x14ac:dyDescent="0.25">
      <c r="A156" s="21" t="s">
        <v>0</v>
      </c>
      <c r="B156" s="21" t="s">
        <v>32</v>
      </c>
      <c r="C156" s="21" t="s">
        <v>107</v>
      </c>
      <c r="D156" s="21" t="s">
        <v>53</v>
      </c>
      <c r="E156" s="21" t="s">
        <v>174</v>
      </c>
      <c r="F156" s="21" t="s">
        <v>169</v>
      </c>
    </row>
    <row r="157" spans="1:7" x14ac:dyDescent="0.25">
      <c r="A157" s="21" t="s">
        <v>0</v>
      </c>
      <c r="B157" s="21" t="s">
        <v>32</v>
      </c>
      <c r="C157" s="21" t="s">
        <v>107</v>
      </c>
      <c r="D157" s="21" t="s">
        <v>53</v>
      </c>
      <c r="E157" s="21" t="s">
        <v>175</v>
      </c>
      <c r="F157" s="21" t="s">
        <v>169</v>
      </c>
    </row>
    <row r="158" spans="1:7" x14ac:dyDescent="0.25">
      <c r="A158" s="21" t="s">
        <v>0</v>
      </c>
      <c r="B158" s="21" t="s">
        <v>32</v>
      </c>
      <c r="C158" s="21" t="s">
        <v>105</v>
      </c>
      <c r="D158" s="21" t="s">
        <v>53</v>
      </c>
      <c r="E158" s="21" t="s">
        <v>160</v>
      </c>
      <c r="F158" s="21" t="s">
        <v>168</v>
      </c>
    </row>
    <row r="159" spans="1:7" x14ac:dyDescent="0.25">
      <c r="A159" s="21" t="s">
        <v>0</v>
      </c>
      <c r="B159" s="21" t="s">
        <v>32</v>
      </c>
      <c r="C159" s="21" t="s">
        <v>105</v>
      </c>
      <c r="D159" s="21" t="s">
        <v>53</v>
      </c>
      <c r="E159" s="21" t="s">
        <v>613</v>
      </c>
      <c r="F159" s="21" t="s">
        <v>168</v>
      </c>
    </row>
    <row r="160" spans="1:7" x14ac:dyDescent="0.25">
      <c r="A160" s="21" t="s">
        <v>0</v>
      </c>
      <c r="B160" s="21" t="s">
        <v>32</v>
      </c>
      <c r="C160" s="21" t="s">
        <v>105</v>
      </c>
      <c r="D160" s="21" t="s">
        <v>53</v>
      </c>
      <c r="E160" s="21" t="s">
        <v>174</v>
      </c>
      <c r="F160" s="21" t="s">
        <v>169</v>
      </c>
    </row>
    <row r="161" spans="1:6" x14ac:dyDescent="0.25">
      <c r="A161" s="21" t="s">
        <v>0</v>
      </c>
      <c r="B161" s="21" t="s">
        <v>32</v>
      </c>
      <c r="C161" s="21" t="s">
        <v>105</v>
      </c>
      <c r="D161" s="21" t="s">
        <v>53</v>
      </c>
      <c r="E161" s="21" t="s">
        <v>175</v>
      </c>
      <c r="F161" s="21" t="s">
        <v>169</v>
      </c>
    </row>
    <row r="162" spans="1:6" x14ac:dyDescent="0.25">
      <c r="A162" s="21" t="s">
        <v>0</v>
      </c>
      <c r="B162" s="21" t="s">
        <v>32</v>
      </c>
      <c r="C162" s="21" t="s">
        <v>108</v>
      </c>
      <c r="D162" s="21" t="s">
        <v>53</v>
      </c>
      <c r="E162" s="21" t="s">
        <v>160</v>
      </c>
      <c r="F162" s="21" t="s">
        <v>168</v>
      </c>
    </row>
    <row r="163" spans="1:6" x14ac:dyDescent="0.25">
      <c r="A163" s="21" t="s">
        <v>0</v>
      </c>
      <c r="B163" s="21" t="s">
        <v>32</v>
      </c>
      <c r="C163" s="21" t="s">
        <v>108</v>
      </c>
      <c r="D163" s="21" t="s">
        <v>53</v>
      </c>
      <c r="E163" s="21" t="s">
        <v>613</v>
      </c>
      <c r="F163" s="21" t="s">
        <v>168</v>
      </c>
    </row>
    <row r="164" spans="1:6" x14ac:dyDescent="0.25">
      <c r="A164" s="21" t="s">
        <v>0</v>
      </c>
      <c r="B164" s="21" t="s">
        <v>32</v>
      </c>
      <c r="C164" s="21" t="s">
        <v>108</v>
      </c>
      <c r="D164" s="21" t="s">
        <v>53</v>
      </c>
      <c r="E164" s="21" t="s">
        <v>174</v>
      </c>
      <c r="F164" s="21" t="s">
        <v>169</v>
      </c>
    </row>
    <row r="165" spans="1:6" x14ac:dyDescent="0.25">
      <c r="A165" s="21" t="s">
        <v>0</v>
      </c>
      <c r="B165" s="21" t="s">
        <v>32</v>
      </c>
      <c r="C165" s="21" t="s">
        <v>108</v>
      </c>
      <c r="D165" s="21" t="s">
        <v>53</v>
      </c>
      <c r="E165" s="21" t="s">
        <v>175</v>
      </c>
      <c r="F165" s="21" t="s">
        <v>169</v>
      </c>
    </row>
    <row r="166" spans="1:6" x14ac:dyDescent="0.25">
      <c r="A166" s="21" t="s">
        <v>0</v>
      </c>
      <c r="B166" s="21" t="s">
        <v>32</v>
      </c>
      <c r="C166" s="21" t="s">
        <v>109</v>
      </c>
      <c r="D166" s="21" t="s">
        <v>48</v>
      </c>
      <c r="E166" s="21" t="s">
        <v>174</v>
      </c>
      <c r="F166" s="21" t="s">
        <v>170</v>
      </c>
    </row>
    <row r="167" spans="1:6" x14ac:dyDescent="0.25">
      <c r="A167" s="21" t="s">
        <v>0</v>
      </c>
      <c r="B167" s="21" t="s">
        <v>32</v>
      </c>
      <c r="C167" s="21" t="s">
        <v>109</v>
      </c>
      <c r="D167" s="21" t="s">
        <v>48</v>
      </c>
      <c r="E167" s="21" t="s">
        <v>175</v>
      </c>
      <c r="F167" s="21" t="s">
        <v>170</v>
      </c>
    </row>
    <row r="168" spans="1:6" x14ac:dyDescent="0.25">
      <c r="A168" s="21" t="s">
        <v>0</v>
      </c>
      <c r="B168" s="21" t="s">
        <v>35</v>
      </c>
      <c r="C168" s="21" t="s">
        <v>111</v>
      </c>
      <c r="D168" s="21" t="s">
        <v>57</v>
      </c>
      <c r="E168" s="21" t="s">
        <v>160</v>
      </c>
      <c r="F168" s="21" t="s">
        <v>165</v>
      </c>
    </row>
    <row r="169" spans="1:6" x14ac:dyDescent="0.25">
      <c r="A169" s="21" t="s">
        <v>0</v>
      </c>
      <c r="B169" s="21" t="s">
        <v>35</v>
      </c>
      <c r="C169" s="21" t="s">
        <v>111</v>
      </c>
      <c r="D169" s="21" t="s">
        <v>57</v>
      </c>
      <c r="E169" s="21" t="s">
        <v>613</v>
      </c>
      <c r="F169" s="21" t="s">
        <v>165</v>
      </c>
    </row>
    <row r="170" spans="1:6" x14ac:dyDescent="0.25">
      <c r="A170" s="21" t="s">
        <v>0</v>
      </c>
      <c r="B170" s="21" t="s">
        <v>35</v>
      </c>
      <c r="C170" s="21" t="s">
        <v>111</v>
      </c>
      <c r="D170" s="21" t="s">
        <v>57</v>
      </c>
      <c r="E170" s="21" t="s">
        <v>176</v>
      </c>
      <c r="F170" s="21" t="s">
        <v>166</v>
      </c>
    </row>
    <row r="171" spans="1:6" x14ac:dyDescent="0.25">
      <c r="A171" s="21" t="s">
        <v>0</v>
      </c>
      <c r="B171" s="21" t="s">
        <v>35</v>
      </c>
      <c r="C171" s="21" t="s">
        <v>111</v>
      </c>
      <c r="D171" s="21" t="s">
        <v>57</v>
      </c>
      <c r="E171" s="21" t="s">
        <v>177</v>
      </c>
      <c r="F171" s="21" t="s">
        <v>166</v>
      </c>
    </row>
    <row r="172" spans="1:6" x14ac:dyDescent="0.25">
      <c r="A172" s="21" t="s">
        <v>0</v>
      </c>
      <c r="B172" s="21" t="s">
        <v>35</v>
      </c>
      <c r="C172" s="21" t="s">
        <v>111</v>
      </c>
      <c r="D172" s="21" t="s">
        <v>57</v>
      </c>
      <c r="E172" s="21" t="s">
        <v>1146</v>
      </c>
      <c r="F172" s="21" t="s">
        <v>167</v>
      </c>
    </row>
    <row r="173" spans="1:6" x14ac:dyDescent="0.25">
      <c r="A173" s="21" t="s">
        <v>0</v>
      </c>
      <c r="B173" s="21" t="s">
        <v>35</v>
      </c>
      <c r="C173" s="21" t="s">
        <v>111</v>
      </c>
      <c r="D173" s="21" t="s">
        <v>57</v>
      </c>
      <c r="E173" s="21" t="s">
        <v>1147</v>
      </c>
      <c r="F173" s="21" t="s">
        <v>167</v>
      </c>
    </row>
    <row r="174" spans="1:6" x14ac:dyDescent="0.25">
      <c r="A174" s="21" t="s">
        <v>0</v>
      </c>
      <c r="B174" s="21" t="s">
        <v>35</v>
      </c>
      <c r="C174" s="21" t="s">
        <v>112</v>
      </c>
      <c r="D174" s="21" t="s">
        <v>53</v>
      </c>
      <c r="E174" s="21" t="s">
        <v>160</v>
      </c>
      <c r="F174" s="21" t="s">
        <v>168</v>
      </c>
    </row>
    <row r="175" spans="1:6" x14ac:dyDescent="0.25">
      <c r="A175" s="21" t="s">
        <v>0</v>
      </c>
      <c r="B175" s="21" t="s">
        <v>35</v>
      </c>
      <c r="C175" s="21" t="s">
        <v>112</v>
      </c>
      <c r="D175" s="21" t="s">
        <v>53</v>
      </c>
      <c r="E175" s="21" t="s">
        <v>613</v>
      </c>
      <c r="F175" s="21" t="s">
        <v>168</v>
      </c>
    </row>
    <row r="176" spans="1:6" x14ac:dyDescent="0.25">
      <c r="A176" s="21" t="s">
        <v>0</v>
      </c>
      <c r="B176" s="21" t="s">
        <v>35</v>
      </c>
      <c r="C176" s="21" t="s">
        <v>112</v>
      </c>
      <c r="D176" s="21" t="s">
        <v>53</v>
      </c>
      <c r="E176" s="21" t="s">
        <v>176</v>
      </c>
      <c r="F176" s="21" t="s">
        <v>169</v>
      </c>
    </row>
    <row r="177" spans="1:7" x14ac:dyDescent="0.25">
      <c r="A177" s="21" t="s">
        <v>0</v>
      </c>
      <c r="B177" s="21" t="s">
        <v>35</v>
      </c>
      <c r="C177" s="21" t="s">
        <v>112</v>
      </c>
      <c r="D177" s="21" t="s">
        <v>53</v>
      </c>
      <c r="E177" s="21" t="s">
        <v>177</v>
      </c>
      <c r="F177" s="21" t="s">
        <v>169</v>
      </c>
    </row>
    <row r="178" spans="1:7" x14ac:dyDescent="0.25">
      <c r="A178" s="21" t="s">
        <v>0</v>
      </c>
      <c r="B178" s="21" t="s">
        <v>35</v>
      </c>
      <c r="C178" s="21" t="s">
        <v>110</v>
      </c>
      <c r="D178" s="21" t="s">
        <v>53</v>
      </c>
      <c r="E178" s="21" t="s">
        <v>160</v>
      </c>
      <c r="F178" s="21" t="s">
        <v>168</v>
      </c>
    </row>
    <row r="179" spans="1:7" x14ac:dyDescent="0.25">
      <c r="A179" s="21" t="s">
        <v>0</v>
      </c>
      <c r="B179" s="21" t="s">
        <v>35</v>
      </c>
      <c r="C179" s="21" t="s">
        <v>110</v>
      </c>
      <c r="D179" s="21" t="s">
        <v>53</v>
      </c>
      <c r="E179" s="21" t="s">
        <v>613</v>
      </c>
      <c r="F179" s="21" t="s">
        <v>168</v>
      </c>
    </row>
    <row r="180" spans="1:7" x14ac:dyDescent="0.25">
      <c r="A180" s="21" t="s">
        <v>0</v>
      </c>
      <c r="B180" s="21" t="s">
        <v>35</v>
      </c>
      <c r="C180" s="21" t="s">
        <v>110</v>
      </c>
      <c r="D180" s="21" t="s">
        <v>53</v>
      </c>
      <c r="E180" s="21" t="s">
        <v>176</v>
      </c>
      <c r="F180" s="21" t="s">
        <v>169</v>
      </c>
    </row>
    <row r="181" spans="1:7" x14ac:dyDescent="0.25">
      <c r="A181" s="21" t="s">
        <v>0</v>
      </c>
      <c r="B181" s="21" t="s">
        <v>35</v>
      </c>
      <c r="C181" s="21" t="s">
        <v>110</v>
      </c>
      <c r="D181" s="21" t="s">
        <v>53</v>
      </c>
      <c r="E181" s="21" t="s">
        <v>177</v>
      </c>
      <c r="F181" s="21" t="s">
        <v>169</v>
      </c>
    </row>
    <row r="182" spans="1:7" x14ac:dyDescent="0.25">
      <c r="A182" s="21" t="s">
        <v>0</v>
      </c>
      <c r="B182" s="21" t="s">
        <v>35</v>
      </c>
      <c r="C182" s="21" t="s">
        <v>113</v>
      </c>
      <c r="D182" s="21" t="s">
        <v>48</v>
      </c>
      <c r="E182" s="21" t="s">
        <v>176</v>
      </c>
      <c r="F182" s="21" t="s">
        <v>170</v>
      </c>
    </row>
    <row r="183" spans="1:7" x14ac:dyDescent="0.25">
      <c r="A183" s="21" t="s">
        <v>0</v>
      </c>
      <c r="B183" s="21" t="s">
        <v>35</v>
      </c>
      <c r="C183" s="21" t="s">
        <v>113</v>
      </c>
      <c r="D183" s="21" t="s">
        <v>48</v>
      </c>
      <c r="E183" s="21" t="s">
        <v>177</v>
      </c>
      <c r="F183" s="21" t="s">
        <v>170</v>
      </c>
    </row>
    <row r="184" spans="1:7" x14ac:dyDescent="0.25">
      <c r="A184" s="21" t="s">
        <v>0</v>
      </c>
      <c r="B184" s="21" t="s">
        <v>37</v>
      </c>
      <c r="C184" s="21" t="s">
        <v>121</v>
      </c>
      <c r="D184" s="21" t="s">
        <v>57</v>
      </c>
      <c r="E184" s="21" t="s">
        <v>155</v>
      </c>
      <c r="F184" s="21" t="s">
        <v>560</v>
      </c>
    </row>
    <row r="185" spans="1:7" x14ac:dyDescent="0.25">
      <c r="A185" s="21" t="s">
        <v>0</v>
      </c>
      <c r="B185" s="21" t="s">
        <v>37</v>
      </c>
      <c r="C185" s="21" t="s">
        <v>121</v>
      </c>
      <c r="D185" s="21" t="s">
        <v>57</v>
      </c>
      <c r="E185" s="21" t="s">
        <v>157</v>
      </c>
      <c r="F185" s="21" t="s">
        <v>560</v>
      </c>
    </row>
    <row r="186" spans="1:7" x14ac:dyDescent="0.25">
      <c r="A186" s="21" t="s">
        <v>0</v>
      </c>
      <c r="B186" s="21" t="s">
        <v>37</v>
      </c>
      <c r="C186" s="21" t="s">
        <v>121</v>
      </c>
      <c r="D186" s="21" t="s">
        <v>57</v>
      </c>
      <c r="E186" s="21" t="s">
        <v>178</v>
      </c>
      <c r="F186" s="21" t="s">
        <v>166</v>
      </c>
    </row>
    <row r="187" spans="1:7" x14ac:dyDescent="0.25">
      <c r="A187" s="21" t="s">
        <v>0</v>
      </c>
      <c r="B187" s="21" t="s">
        <v>37</v>
      </c>
      <c r="C187" s="21" t="s">
        <v>121</v>
      </c>
      <c r="D187" s="21" t="s">
        <v>57</v>
      </c>
      <c r="E187" s="21" t="s">
        <v>179</v>
      </c>
      <c r="F187" s="21" t="s">
        <v>166</v>
      </c>
    </row>
    <row r="188" spans="1:7" x14ac:dyDescent="0.25">
      <c r="A188" s="21" t="s">
        <v>0</v>
      </c>
      <c r="B188" s="21" t="s">
        <v>37</v>
      </c>
      <c r="C188" s="21" t="s">
        <v>121</v>
      </c>
      <c r="D188" s="21" t="s">
        <v>57</v>
      </c>
      <c r="E188" s="21" t="s">
        <v>162</v>
      </c>
      <c r="F188" s="21" t="s">
        <v>163</v>
      </c>
      <c r="G188" s="18" t="s">
        <v>484</v>
      </c>
    </row>
    <row r="189" spans="1:7" x14ac:dyDescent="0.25">
      <c r="A189" s="21" t="s">
        <v>0</v>
      </c>
      <c r="B189" s="21" t="s">
        <v>37</v>
      </c>
      <c r="C189" s="21" t="s">
        <v>121</v>
      </c>
      <c r="D189" s="21" t="s">
        <v>57</v>
      </c>
      <c r="E189" s="21" t="s">
        <v>164</v>
      </c>
      <c r="F189" s="21" t="s">
        <v>163</v>
      </c>
      <c r="G189" s="18" t="s">
        <v>484</v>
      </c>
    </row>
    <row r="190" spans="1:7" x14ac:dyDescent="0.25">
      <c r="A190" s="21" t="s">
        <v>0</v>
      </c>
      <c r="B190" s="21" t="s">
        <v>37</v>
      </c>
      <c r="C190" s="21" t="s">
        <v>122</v>
      </c>
      <c r="D190" s="21" t="s">
        <v>53</v>
      </c>
      <c r="E190" s="21" t="s">
        <v>155</v>
      </c>
      <c r="F190" s="21" t="s">
        <v>168</v>
      </c>
    </row>
    <row r="191" spans="1:7" x14ac:dyDescent="0.25">
      <c r="A191" s="21" t="s">
        <v>0</v>
      </c>
      <c r="B191" s="21" t="s">
        <v>37</v>
      </c>
      <c r="C191" s="21" t="s">
        <v>122</v>
      </c>
      <c r="D191" s="21" t="s">
        <v>53</v>
      </c>
      <c r="E191" s="21" t="s">
        <v>157</v>
      </c>
      <c r="F191" s="21" t="s">
        <v>168</v>
      </c>
    </row>
    <row r="192" spans="1:7" x14ac:dyDescent="0.25">
      <c r="A192" s="21" t="s">
        <v>0</v>
      </c>
      <c r="B192" s="21" t="s">
        <v>37</v>
      </c>
      <c r="C192" s="21" t="s">
        <v>122</v>
      </c>
      <c r="D192" s="21" t="s">
        <v>53</v>
      </c>
      <c r="E192" s="21" t="s">
        <v>178</v>
      </c>
      <c r="F192" s="21" t="s">
        <v>169</v>
      </c>
    </row>
    <row r="193" spans="1:6" x14ac:dyDescent="0.25">
      <c r="A193" s="21" t="s">
        <v>0</v>
      </c>
      <c r="B193" s="21" t="s">
        <v>37</v>
      </c>
      <c r="C193" s="21" t="s">
        <v>122</v>
      </c>
      <c r="D193" s="21" t="s">
        <v>53</v>
      </c>
      <c r="E193" s="21" t="s">
        <v>179</v>
      </c>
      <c r="F193" s="21" t="s">
        <v>169</v>
      </c>
    </row>
    <row r="194" spans="1:6" x14ac:dyDescent="0.25">
      <c r="A194" s="21" t="s">
        <v>0</v>
      </c>
      <c r="B194" s="21" t="s">
        <v>37</v>
      </c>
      <c r="C194" s="21" t="s">
        <v>120</v>
      </c>
      <c r="D194" s="21" t="s">
        <v>53</v>
      </c>
      <c r="E194" s="21" t="s">
        <v>155</v>
      </c>
      <c r="F194" s="21" t="s">
        <v>168</v>
      </c>
    </row>
    <row r="195" spans="1:6" x14ac:dyDescent="0.25">
      <c r="A195" s="21" t="s">
        <v>0</v>
      </c>
      <c r="B195" s="21" t="s">
        <v>37</v>
      </c>
      <c r="C195" s="21" t="s">
        <v>120</v>
      </c>
      <c r="D195" s="21" t="s">
        <v>53</v>
      </c>
      <c r="E195" s="21" t="s">
        <v>157</v>
      </c>
      <c r="F195" s="21" t="s">
        <v>168</v>
      </c>
    </row>
    <row r="196" spans="1:6" x14ac:dyDescent="0.25">
      <c r="A196" s="21" t="s">
        <v>0</v>
      </c>
      <c r="B196" s="21" t="s">
        <v>37</v>
      </c>
      <c r="C196" s="21" t="s">
        <v>120</v>
      </c>
      <c r="D196" s="21" t="s">
        <v>53</v>
      </c>
      <c r="E196" s="21" t="s">
        <v>178</v>
      </c>
      <c r="F196" s="21" t="s">
        <v>169</v>
      </c>
    </row>
    <row r="197" spans="1:6" x14ac:dyDescent="0.25">
      <c r="A197" s="21" t="s">
        <v>0</v>
      </c>
      <c r="B197" s="21" t="s">
        <v>37</v>
      </c>
      <c r="C197" s="21" t="s">
        <v>120</v>
      </c>
      <c r="D197" s="21" t="s">
        <v>53</v>
      </c>
      <c r="E197" s="21" t="s">
        <v>179</v>
      </c>
      <c r="F197" s="21" t="s">
        <v>169</v>
      </c>
    </row>
    <row r="198" spans="1:6" x14ac:dyDescent="0.25">
      <c r="A198" s="21" t="s">
        <v>0</v>
      </c>
      <c r="B198" s="21" t="s">
        <v>37</v>
      </c>
      <c r="C198" s="21" t="s">
        <v>123</v>
      </c>
      <c r="D198" s="21" t="s">
        <v>53</v>
      </c>
      <c r="E198" s="21" t="s">
        <v>155</v>
      </c>
      <c r="F198" s="21" t="s">
        <v>168</v>
      </c>
    </row>
    <row r="199" spans="1:6" x14ac:dyDescent="0.25">
      <c r="A199" s="21" t="s">
        <v>0</v>
      </c>
      <c r="B199" s="21" t="s">
        <v>37</v>
      </c>
      <c r="C199" s="21" t="s">
        <v>123</v>
      </c>
      <c r="D199" s="21" t="s">
        <v>53</v>
      </c>
      <c r="E199" s="21" t="s">
        <v>157</v>
      </c>
      <c r="F199" s="21" t="s">
        <v>168</v>
      </c>
    </row>
    <row r="200" spans="1:6" x14ac:dyDescent="0.25">
      <c r="A200" s="21" t="s">
        <v>0</v>
      </c>
      <c r="B200" s="21" t="s">
        <v>37</v>
      </c>
      <c r="C200" s="21" t="s">
        <v>123</v>
      </c>
      <c r="D200" s="21" t="s">
        <v>53</v>
      </c>
      <c r="E200" s="21" t="s">
        <v>178</v>
      </c>
      <c r="F200" s="21" t="s">
        <v>169</v>
      </c>
    </row>
    <row r="201" spans="1:6" x14ac:dyDescent="0.25">
      <c r="A201" s="21" t="s">
        <v>0</v>
      </c>
      <c r="B201" s="21" t="s">
        <v>37</v>
      </c>
      <c r="C201" s="21" t="s">
        <v>123</v>
      </c>
      <c r="D201" s="21" t="s">
        <v>53</v>
      </c>
      <c r="E201" s="21" t="s">
        <v>179</v>
      </c>
      <c r="F201" s="21" t="s">
        <v>169</v>
      </c>
    </row>
    <row r="202" spans="1:6" x14ac:dyDescent="0.25">
      <c r="A202" s="21" t="s">
        <v>0</v>
      </c>
      <c r="B202" s="21" t="s">
        <v>37</v>
      </c>
      <c r="C202" s="21" t="s">
        <v>124</v>
      </c>
      <c r="D202" s="21" t="s">
        <v>48</v>
      </c>
      <c r="E202" s="21" t="s">
        <v>178</v>
      </c>
      <c r="F202" s="21" t="s">
        <v>170</v>
      </c>
    </row>
    <row r="203" spans="1:6" x14ac:dyDescent="0.25">
      <c r="A203" s="21" t="s">
        <v>0</v>
      </c>
      <c r="B203" s="21" t="s">
        <v>37</v>
      </c>
      <c r="C203" s="21" t="s">
        <v>124</v>
      </c>
      <c r="D203" s="21" t="s">
        <v>48</v>
      </c>
      <c r="E203" s="21" t="s">
        <v>179</v>
      </c>
      <c r="F203" s="21" t="s">
        <v>170</v>
      </c>
    </row>
    <row r="204" spans="1:6" x14ac:dyDescent="0.25">
      <c r="A204" s="21" t="s">
        <v>0</v>
      </c>
      <c r="B204" s="21" t="s">
        <v>41</v>
      </c>
      <c r="C204" s="21" t="s">
        <v>126</v>
      </c>
      <c r="D204" s="21" t="s">
        <v>57</v>
      </c>
      <c r="E204" s="21" t="s">
        <v>155</v>
      </c>
      <c r="F204" s="21" t="s">
        <v>165</v>
      </c>
    </row>
    <row r="205" spans="1:6" x14ac:dyDescent="0.25">
      <c r="A205" s="21" t="s">
        <v>0</v>
      </c>
      <c r="B205" s="21" t="s">
        <v>41</v>
      </c>
      <c r="C205" s="21" t="s">
        <v>126</v>
      </c>
      <c r="D205" s="21" t="s">
        <v>57</v>
      </c>
      <c r="E205" s="21" t="s">
        <v>157</v>
      </c>
      <c r="F205" s="21" t="s">
        <v>165</v>
      </c>
    </row>
    <row r="206" spans="1:6" x14ac:dyDescent="0.25">
      <c r="A206" s="21" t="s">
        <v>0</v>
      </c>
      <c r="B206" s="21" t="s">
        <v>41</v>
      </c>
      <c r="C206" s="21" t="s">
        <v>126</v>
      </c>
      <c r="D206" s="21" t="s">
        <v>57</v>
      </c>
      <c r="E206" s="21" t="s">
        <v>180</v>
      </c>
      <c r="F206" s="21" t="s">
        <v>166</v>
      </c>
    </row>
    <row r="207" spans="1:6" x14ac:dyDescent="0.25">
      <c r="A207" s="21" t="s">
        <v>0</v>
      </c>
      <c r="B207" s="21" t="s">
        <v>41</v>
      </c>
      <c r="C207" s="21" t="s">
        <v>126</v>
      </c>
      <c r="D207" s="21" t="s">
        <v>57</v>
      </c>
      <c r="E207" s="21" t="s">
        <v>181</v>
      </c>
      <c r="F207" s="21" t="s">
        <v>166</v>
      </c>
    </row>
    <row r="208" spans="1:6" x14ac:dyDescent="0.25">
      <c r="A208" s="21" t="s">
        <v>0</v>
      </c>
      <c r="B208" s="21" t="s">
        <v>41</v>
      </c>
      <c r="C208" s="21" t="s">
        <v>126</v>
      </c>
      <c r="D208" s="21" t="s">
        <v>57</v>
      </c>
      <c r="E208" s="21" t="s">
        <v>1148</v>
      </c>
      <c r="F208" s="21" t="s">
        <v>167</v>
      </c>
    </row>
    <row r="209" spans="1:7" x14ac:dyDescent="0.25">
      <c r="A209" s="21" t="s">
        <v>0</v>
      </c>
      <c r="B209" s="21" t="s">
        <v>41</v>
      </c>
      <c r="C209" s="21" t="s">
        <v>126</v>
      </c>
      <c r="D209" s="21" t="s">
        <v>57</v>
      </c>
      <c r="E209" s="21" t="s">
        <v>1149</v>
      </c>
      <c r="F209" s="21" t="s">
        <v>167</v>
      </c>
    </row>
    <row r="210" spans="1:7" x14ac:dyDescent="0.25">
      <c r="A210" s="21" t="s">
        <v>0</v>
      </c>
      <c r="B210" s="21" t="s">
        <v>41</v>
      </c>
      <c r="C210" s="21" t="s">
        <v>127</v>
      </c>
      <c r="D210" s="21" t="s">
        <v>53</v>
      </c>
      <c r="E210" s="21" t="s">
        <v>155</v>
      </c>
      <c r="F210" s="21" t="s">
        <v>168</v>
      </c>
    </row>
    <row r="211" spans="1:7" x14ac:dyDescent="0.25">
      <c r="A211" s="21" t="s">
        <v>0</v>
      </c>
      <c r="B211" s="21" t="s">
        <v>41</v>
      </c>
      <c r="C211" s="21" t="s">
        <v>127</v>
      </c>
      <c r="D211" s="21" t="s">
        <v>53</v>
      </c>
      <c r="E211" s="21" t="s">
        <v>157</v>
      </c>
      <c r="F211" s="21" t="s">
        <v>168</v>
      </c>
    </row>
    <row r="212" spans="1:7" x14ac:dyDescent="0.25">
      <c r="A212" s="21" t="s">
        <v>0</v>
      </c>
      <c r="B212" s="21" t="s">
        <v>41</v>
      </c>
      <c r="C212" s="21" t="s">
        <v>127</v>
      </c>
      <c r="D212" s="21" t="s">
        <v>53</v>
      </c>
      <c r="E212" s="21" t="s">
        <v>180</v>
      </c>
      <c r="F212" s="21" t="s">
        <v>169</v>
      </c>
    </row>
    <row r="213" spans="1:7" x14ac:dyDescent="0.25">
      <c r="A213" s="21" t="s">
        <v>0</v>
      </c>
      <c r="B213" s="21" t="s">
        <v>41</v>
      </c>
      <c r="C213" s="21" t="s">
        <v>127</v>
      </c>
      <c r="D213" s="21" t="s">
        <v>53</v>
      </c>
      <c r="E213" s="21" t="s">
        <v>181</v>
      </c>
      <c r="F213" s="21" t="s">
        <v>169</v>
      </c>
    </row>
    <row r="214" spans="1:7" x14ac:dyDescent="0.25">
      <c r="A214" s="21" t="s">
        <v>0</v>
      </c>
      <c r="B214" s="21" t="s">
        <v>41</v>
      </c>
      <c r="C214" s="21" t="s">
        <v>125</v>
      </c>
      <c r="D214" s="21" t="s">
        <v>53</v>
      </c>
      <c r="E214" s="21" t="s">
        <v>155</v>
      </c>
      <c r="F214" s="21" t="s">
        <v>168</v>
      </c>
    </row>
    <row r="215" spans="1:7" x14ac:dyDescent="0.25">
      <c r="A215" s="21" t="s">
        <v>0</v>
      </c>
      <c r="B215" s="21" t="s">
        <v>41</v>
      </c>
      <c r="C215" s="21" t="s">
        <v>125</v>
      </c>
      <c r="D215" s="21" t="s">
        <v>53</v>
      </c>
      <c r="E215" s="21" t="s">
        <v>157</v>
      </c>
      <c r="F215" s="21" t="s">
        <v>168</v>
      </c>
    </row>
    <row r="216" spans="1:7" x14ac:dyDescent="0.25">
      <c r="A216" s="21" t="s">
        <v>0</v>
      </c>
      <c r="B216" s="21" t="s">
        <v>41</v>
      </c>
      <c r="C216" s="21" t="s">
        <v>125</v>
      </c>
      <c r="D216" s="21" t="s">
        <v>53</v>
      </c>
      <c r="E216" s="21" t="s">
        <v>180</v>
      </c>
      <c r="F216" s="21" t="s">
        <v>169</v>
      </c>
    </row>
    <row r="217" spans="1:7" x14ac:dyDescent="0.25">
      <c r="A217" s="21" t="s">
        <v>0</v>
      </c>
      <c r="B217" s="21" t="s">
        <v>41</v>
      </c>
      <c r="C217" s="21" t="s">
        <v>125</v>
      </c>
      <c r="D217" s="21" t="s">
        <v>53</v>
      </c>
      <c r="E217" s="21" t="s">
        <v>181</v>
      </c>
      <c r="F217" s="21" t="s">
        <v>169</v>
      </c>
    </row>
    <row r="218" spans="1:7" x14ac:dyDescent="0.25">
      <c r="A218" s="21" t="s">
        <v>0</v>
      </c>
      <c r="B218" s="21" t="s">
        <v>41</v>
      </c>
      <c r="C218" s="21" t="s">
        <v>128</v>
      </c>
      <c r="D218" s="21" t="s">
        <v>48</v>
      </c>
      <c r="E218" s="21" t="s">
        <v>180</v>
      </c>
      <c r="F218" s="21" t="s">
        <v>170</v>
      </c>
    </row>
    <row r="219" spans="1:7" x14ac:dyDescent="0.25">
      <c r="A219" s="21" t="s">
        <v>0</v>
      </c>
      <c r="B219" s="21" t="s">
        <v>41</v>
      </c>
      <c r="C219" s="21" t="s">
        <v>128</v>
      </c>
      <c r="D219" s="21" t="s">
        <v>48</v>
      </c>
      <c r="E219" s="21" t="s">
        <v>181</v>
      </c>
      <c r="F219" s="21" t="s">
        <v>170</v>
      </c>
    </row>
    <row r="220" spans="1:7" x14ac:dyDescent="0.25">
      <c r="A220" s="21" t="s">
        <v>0</v>
      </c>
      <c r="B220" s="21" t="s">
        <v>44</v>
      </c>
      <c r="C220" s="21" t="s">
        <v>130</v>
      </c>
      <c r="D220" s="21" t="s">
        <v>57</v>
      </c>
      <c r="E220" s="21" t="s">
        <v>155</v>
      </c>
      <c r="F220" s="21" t="s">
        <v>560</v>
      </c>
    </row>
    <row r="221" spans="1:7" x14ac:dyDescent="0.25">
      <c r="A221" s="21" t="s">
        <v>0</v>
      </c>
      <c r="B221" s="21" t="s">
        <v>44</v>
      </c>
      <c r="C221" s="21" t="s">
        <v>130</v>
      </c>
      <c r="D221" s="21" t="s">
        <v>57</v>
      </c>
      <c r="E221" s="21" t="s">
        <v>157</v>
      </c>
      <c r="F221" s="21" t="s">
        <v>560</v>
      </c>
    </row>
    <row r="222" spans="1:7" x14ac:dyDescent="0.25">
      <c r="A222" s="21" t="s">
        <v>0</v>
      </c>
      <c r="B222" s="21" t="s">
        <v>44</v>
      </c>
      <c r="C222" s="21" t="s">
        <v>130</v>
      </c>
      <c r="D222" s="21" t="s">
        <v>57</v>
      </c>
      <c r="E222" s="21" t="s">
        <v>182</v>
      </c>
      <c r="F222" s="21" t="s">
        <v>166</v>
      </c>
    </row>
    <row r="223" spans="1:7" x14ac:dyDescent="0.25">
      <c r="A223" s="21" t="s">
        <v>0</v>
      </c>
      <c r="B223" s="21" t="s">
        <v>44</v>
      </c>
      <c r="C223" s="21" t="s">
        <v>130</v>
      </c>
      <c r="D223" s="21" t="s">
        <v>57</v>
      </c>
      <c r="E223" s="21" t="s">
        <v>183</v>
      </c>
      <c r="F223" s="21" t="s">
        <v>166</v>
      </c>
    </row>
    <row r="224" spans="1:7" x14ac:dyDescent="0.25">
      <c r="A224" s="21" t="s">
        <v>0</v>
      </c>
      <c r="B224" s="21" t="s">
        <v>44</v>
      </c>
      <c r="C224" s="21" t="s">
        <v>130</v>
      </c>
      <c r="D224" s="21" t="s">
        <v>57</v>
      </c>
      <c r="E224" s="21" t="s">
        <v>162</v>
      </c>
      <c r="F224" s="21" t="s">
        <v>163</v>
      </c>
      <c r="G224" s="18" t="s">
        <v>484</v>
      </c>
    </row>
    <row r="225" spans="1:7" x14ac:dyDescent="0.25">
      <c r="A225" s="21" t="s">
        <v>0</v>
      </c>
      <c r="B225" s="21" t="s">
        <v>44</v>
      </c>
      <c r="C225" s="21" t="s">
        <v>130</v>
      </c>
      <c r="D225" s="21" t="s">
        <v>57</v>
      </c>
      <c r="E225" s="21" t="s">
        <v>164</v>
      </c>
      <c r="F225" s="21" t="s">
        <v>163</v>
      </c>
      <c r="G225" s="18" t="s">
        <v>484</v>
      </c>
    </row>
    <row r="226" spans="1:7" x14ac:dyDescent="0.25">
      <c r="A226" s="21" t="s">
        <v>0</v>
      </c>
      <c r="B226" s="21" t="s">
        <v>44</v>
      </c>
      <c r="C226" s="21" t="s">
        <v>131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44</v>
      </c>
      <c r="C227" s="21" t="s">
        <v>131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44</v>
      </c>
      <c r="C228" s="21" t="s">
        <v>131</v>
      </c>
      <c r="D228" s="21" t="s">
        <v>53</v>
      </c>
      <c r="E228" s="21" t="s">
        <v>182</v>
      </c>
      <c r="F228" s="21" t="s">
        <v>169</v>
      </c>
    </row>
    <row r="229" spans="1:7" x14ac:dyDescent="0.25">
      <c r="A229" s="21" t="s">
        <v>0</v>
      </c>
      <c r="B229" s="21" t="s">
        <v>44</v>
      </c>
      <c r="C229" s="21" t="s">
        <v>131</v>
      </c>
      <c r="D229" s="21" t="s">
        <v>53</v>
      </c>
      <c r="E229" s="21" t="s">
        <v>183</v>
      </c>
      <c r="F229" s="21" t="s">
        <v>169</v>
      </c>
    </row>
    <row r="230" spans="1:7" x14ac:dyDescent="0.25">
      <c r="A230" s="21" t="s">
        <v>0</v>
      </c>
      <c r="B230" s="21" t="s">
        <v>44</v>
      </c>
      <c r="C230" s="21" t="s">
        <v>129</v>
      </c>
      <c r="D230" s="21" t="s">
        <v>53</v>
      </c>
      <c r="E230" s="21" t="s">
        <v>155</v>
      </c>
      <c r="F230" s="21" t="s">
        <v>168</v>
      </c>
    </row>
    <row r="231" spans="1:7" x14ac:dyDescent="0.25">
      <c r="A231" s="21" t="s">
        <v>0</v>
      </c>
      <c r="B231" s="21" t="s">
        <v>44</v>
      </c>
      <c r="C231" s="21" t="s">
        <v>129</v>
      </c>
      <c r="D231" s="21" t="s">
        <v>53</v>
      </c>
      <c r="E231" s="21" t="s">
        <v>157</v>
      </c>
      <c r="F231" s="21" t="s">
        <v>168</v>
      </c>
    </row>
    <row r="232" spans="1:7" x14ac:dyDescent="0.25">
      <c r="A232" s="21" t="s">
        <v>0</v>
      </c>
      <c r="B232" s="21" t="s">
        <v>44</v>
      </c>
      <c r="C232" s="21" t="s">
        <v>129</v>
      </c>
      <c r="D232" s="21" t="s">
        <v>53</v>
      </c>
      <c r="E232" s="21" t="s">
        <v>182</v>
      </c>
      <c r="F232" s="21" t="s">
        <v>169</v>
      </c>
    </row>
    <row r="233" spans="1:7" x14ac:dyDescent="0.25">
      <c r="A233" s="21" t="s">
        <v>0</v>
      </c>
      <c r="B233" s="21" t="s">
        <v>44</v>
      </c>
      <c r="C233" s="21" t="s">
        <v>129</v>
      </c>
      <c r="D233" s="21" t="s">
        <v>53</v>
      </c>
      <c r="E233" s="21" t="s">
        <v>183</v>
      </c>
      <c r="F233" s="21" t="s">
        <v>169</v>
      </c>
    </row>
    <row r="234" spans="1:7" x14ac:dyDescent="0.25">
      <c r="A234" s="21" t="s">
        <v>0</v>
      </c>
      <c r="B234" s="21" t="s">
        <v>44</v>
      </c>
      <c r="C234" s="21" t="s">
        <v>132</v>
      </c>
      <c r="D234" s="21" t="s">
        <v>53</v>
      </c>
      <c r="E234" s="21" t="s">
        <v>155</v>
      </c>
      <c r="F234" s="21" t="s">
        <v>168</v>
      </c>
    </row>
    <row r="235" spans="1:7" x14ac:dyDescent="0.25">
      <c r="A235" s="21" t="s">
        <v>0</v>
      </c>
      <c r="B235" s="21" t="s">
        <v>44</v>
      </c>
      <c r="C235" s="21" t="s">
        <v>132</v>
      </c>
      <c r="D235" s="21" t="s">
        <v>53</v>
      </c>
      <c r="E235" s="21" t="s">
        <v>157</v>
      </c>
      <c r="F235" s="21" t="s">
        <v>168</v>
      </c>
    </row>
    <row r="236" spans="1:7" x14ac:dyDescent="0.25">
      <c r="A236" s="21" t="s">
        <v>0</v>
      </c>
      <c r="B236" s="21" t="s">
        <v>44</v>
      </c>
      <c r="C236" s="21" t="s">
        <v>132</v>
      </c>
      <c r="D236" s="21" t="s">
        <v>53</v>
      </c>
      <c r="E236" s="21" t="s">
        <v>182</v>
      </c>
      <c r="F236" s="21" t="s">
        <v>169</v>
      </c>
    </row>
    <row r="237" spans="1:7" x14ac:dyDescent="0.25">
      <c r="A237" s="21" t="s">
        <v>0</v>
      </c>
      <c r="B237" s="21" t="s">
        <v>44</v>
      </c>
      <c r="C237" s="21" t="s">
        <v>132</v>
      </c>
      <c r="D237" s="21" t="s">
        <v>53</v>
      </c>
      <c r="E237" s="21" t="s">
        <v>183</v>
      </c>
      <c r="F237" s="21" t="s">
        <v>169</v>
      </c>
    </row>
    <row r="238" spans="1:7" x14ac:dyDescent="0.25">
      <c r="A238" s="21" t="s">
        <v>0</v>
      </c>
      <c r="B238" s="21" t="s">
        <v>44</v>
      </c>
      <c r="C238" s="21" t="s">
        <v>133</v>
      </c>
      <c r="D238" s="21" t="s">
        <v>48</v>
      </c>
      <c r="E238" s="21" t="s">
        <v>182</v>
      </c>
      <c r="F238" s="21" t="s">
        <v>170</v>
      </c>
    </row>
    <row r="239" spans="1:7" x14ac:dyDescent="0.25">
      <c r="A239" s="21" t="s">
        <v>0</v>
      </c>
      <c r="B239" s="21" t="s">
        <v>44</v>
      </c>
      <c r="C239" s="21" t="s">
        <v>133</v>
      </c>
      <c r="D239" s="21" t="s">
        <v>48</v>
      </c>
      <c r="E239" s="21" t="s">
        <v>183</v>
      </c>
      <c r="F239" s="21" t="s">
        <v>170</v>
      </c>
    </row>
    <row r="240" spans="1:7" x14ac:dyDescent="0.25">
      <c r="A240" s="84" t="s">
        <v>0</v>
      </c>
      <c r="B240" s="84" t="s">
        <v>44</v>
      </c>
      <c r="C240" s="84" t="s">
        <v>1259</v>
      </c>
      <c r="D240" s="84" t="s">
        <v>48</v>
      </c>
      <c r="E240" s="84" t="s">
        <v>1261</v>
      </c>
      <c r="F240" s="84" t="s">
        <v>1273</v>
      </c>
      <c r="G240" s="84" t="s">
        <v>1263</v>
      </c>
    </row>
    <row r="241" spans="1:7" x14ac:dyDescent="0.25">
      <c r="A241" s="84" t="s">
        <v>0</v>
      </c>
      <c r="B241" s="84" t="s">
        <v>44</v>
      </c>
      <c r="C241" s="84" t="s">
        <v>1259</v>
      </c>
      <c r="D241" s="84" t="s">
        <v>48</v>
      </c>
      <c r="E241" s="84" t="s">
        <v>1262</v>
      </c>
      <c r="F241" s="84" t="s">
        <v>1273</v>
      </c>
      <c r="G241" s="84" t="s">
        <v>1263</v>
      </c>
    </row>
    <row r="242" spans="1:7" x14ac:dyDescent="0.25">
      <c r="A242" s="21" t="s">
        <v>0</v>
      </c>
      <c r="B242" s="21" t="s">
        <v>44</v>
      </c>
      <c r="C242" s="21" t="s">
        <v>184</v>
      </c>
      <c r="D242" s="21" t="s">
        <v>101</v>
      </c>
      <c r="E242" s="21" t="s">
        <v>182</v>
      </c>
      <c r="F242" s="21" t="s">
        <v>147</v>
      </c>
    </row>
    <row r="243" spans="1:7" x14ac:dyDescent="0.25">
      <c r="A243" s="21" t="s">
        <v>0</v>
      </c>
      <c r="B243" s="21" t="s">
        <v>44</v>
      </c>
      <c r="C243" s="21" t="s">
        <v>184</v>
      </c>
      <c r="D243" s="21" t="s">
        <v>101</v>
      </c>
      <c r="E243" s="21" t="s">
        <v>183</v>
      </c>
      <c r="F243" s="21" t="s">
        <v>147</v>
      </c>
    </row>
    <row r="244" spans="1:7" x14ac:dyDescent="0.25">
      <c r="A244" s="21" t="s">
        <v>0</v>
      </c>
      <c r="B244" s="21" t="s">
        <v>44</v>
      </c>
      <c r="C244" s="21" t="s">
        <v>184</v>
      </c>
      <c r="D244" s="21" t="s">
        <v>101</v>
      </c>
      <c r="E244" s="21" t="s">
        <v>155</v>
      </c>
      <c r="F244" s="21" t="s">
        <v>614</v>
      </c>
    </row>
    <row r="245" spans="1:7" x14ac:dyDescent="0.25">
      <c r="A245" s="21" t="s">
        <v>0</v>
      </c>
      <c r="B245" s="21" t="s">
        <v>44</v>
      </c>
      <c r="C245" s="21" t="s">
        <v>184</v>
      </c>
      <c r="D245" s="21" t="s">
        <v>101</v>
      </c>
      <c r="E245" s="21" t="s">
        <v>157</v>
      </c>
      <c r="F245" s="21" t="s">
        <v>614</v>
      </c>
    </row>
    <row r="246" spans="1:7" x14ac:dyDescent="0.25">
      <c r="A246" s="21" t="s">
        <v>0</v>
      </c>
      <c r="B246" s="21" t="s">
        <v>44</v>
      </c>
      <c r="C246" s="21" t="s">
        <v>134</v>
      </c>
      <c r="D246" s="21" t="s">
        <v>103</v>
      </c>
      <c r="E246" s="21" t="s">
        <v>155</v>
      </c>
      <c r="F246" s="21" t="s">
        <v>144</v>
      </c>
    </row>
    <row r="247" spans="1:7" x14ac:dyDescent="0.25">
      <c r="A247" s="21" t="s">
        <v>0</v>
      </c>
      <c r="B247" s="21" t="s">
        <v>44</v>
      </c>
      <c r="C247" s="21" t="s">
        <v>134</v>
      </c>
      <c r="D247" s="21" t="s">
        <v>103</v>
      </c>
      <c r="E247" s="21" t="s">
        <v>157</v>
      </c>
      <c r="F247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A2D7F-529B-4256-8BD9-65D431B74D3E}">
  <sheetPr codeName="Planilha29"/>
  <dimension ref="A1:I15"/>
  <sheetViews>
    <sheetView workbookViewId="0">
      <selection activeCell="G7" sqref="G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1231</v>
      </c>
      <c r="B2" s="61" t="s">
        <v>754</v>
      </c>
      <c r="C2" s="61">
        <v>1</v>
      </c>
      <c r="D2" s="7" t="s">
        <v>758</v>
      </c>
      <c r="E2" s="7" t="s">
        <v>355</v>
      </c>
      <c r="F2" s="7" t="s">
        <v>356</v>
      </c>
      <c r="G2" s="8" t="s">
        <v>379</v>
      </c>
      <c r="H2" s="7" t="s">
        <v>760</v>
      </c>
      <c r="I2" s="7"/>
    </row>
    <row r="3" spans="1:9" x14ac:dyDescent="0.25">
      <c r="A3" s="64"/>
      <c r="B3" s="61"/>
      <c r="C3" s="61"/>
      <c r="D3" s="7" t="s">
        <v>761</v>
      </c>
      <c r="E3" s="7" t="s">
        <v>355</v>
      </c>
      <c r="F3" s="7" t="s">
        <v>356</v>
      </c>
      <c r="G3" s="8"/>
      <c r="H3" s="7" t="s">
        <v>762</v>
      </c>
      <c r="I3" s="7"/>
    </row>
    <row r="4" spans="1:9" x14ac:dyDescent="0.25">
      <c r="A4" s="64" t="s">
        <v>1232</v>
      </c>
      <c r="B4" s="61" t="s">
        <v>727</v>
      </c>
      <c r="C4" s="61">
        <v>1</v>
      </c>
      <c r="D4" s="7" t="s">
        <v>728</v>
      </c>
      <c r="E4" s="7" t="s">
        <v>355</v>
      </c>
      <c r="F4" s="7" t="s">
        <v>356</v>
      </c>
      <c r="G4" s="8" t="s">
        <v>379</v>
      </c>
      <c r="H4" s="7" t="s">
        <v>1233</v>
      </c>
      <c r="I4" s="7"/>
    </row>
    <row r="5" spans="1:9" x14ac:dyDescent="0.25">
      <c r="A5" s="64"/>
      <c r="B5" s="61"/>
      <c r="C5" s="61"/>
      <c r="D5" s="7" t="s">
        <v>730</v>
      </c>
      <c r="E5" s="7" t="s">
        <v>355</v>
      </c>
      <c r="F5" s="7" t="s">
        <v>356</v>
      </c>
      <c r="G5" s="8" t="s">
        <v>379</v>
      </c>
      <c r="H5" s="7" t="s">
        <v>731</v>
      </c>
      <c r="I5" s="7"/>
    </row>
    <row r="6" spans="1:9" x14ac:dyDescent="0.25">
      <c r="A6" s="64"/>
      <c r="B6" s="61"/>
      <c r="C6" s="61"/>
      <c r="D6" s="7" t="s">
        <v>732</v>
      </c>
      <c r="E6" s="7" t="s">
        <v>355</v>
      </c>
      <c r="F6" s="7" t="s">
        <v>356</v>
      </c>
      <c r="G6" s="8"/>
      <c r="H6" s="7" t="s">
        <v>734</v>
      </c>
      <c r="I6" s="7"/>
    </row>
    <row r="7" spans="1:9" x14ac:dyDescent="0.25">
      <c r="A7" s="64"/>
      <c r="B7" s="61"/>
      <c r="C7" s="61"/>
      <c r="D7" s="7" t="s">
        <v>735</v>
      </c>
      <c r="E7" s="7" t="s">
        <v>355</v>
      </c>
      <c r="F7" s="7" t="s">
        <v>356</v>
      </c>
      <c r="G7" s="8"/>
      <c r="H7" s="7" t="s">
        <v>736</v>
      </c>
      <c r="I7" s="7"/>
    </row>
    <row r="8" spans="1:9" x14ac:dyDescent="0.25">
      <c r="A8" s="64" t="s">
        <v>1234</v>
      </c>
      <c r="B8" s="61" t="s">
        <v>727</v>
      </c>
      <c r="C8" s="61">
        <v>1</v>
      </c>
      <c r="D8" s="7" t="s">
        <v>728</v>
      </c>
      <c r="E8" s="7" t="s">
        <v>355</v>
      </c>
      <c r="F8" s="7" t="s">
        <v>356</v>
      </c>
      <c r="G8" s="8" t="s">
        <v>379</v>
      </c>
      <c r="H8" s="7" t="s">
        <v>1235</v>
      </c>
      <c r="I8" s="7"/>
    </row>
    <row r="9" spans="1:9" x14ac:dyDescent="0.25">
      <c r="A9" s="64"/>
      <c r="B9" s="61"/>
      <c r="C9" s="61"/>
      <c r="D9" s="7" t="s">
        <v>730</v>
      </c>
      <c r="E9" s="7" t="s">
        <v>355</v>
      </c>
      <c r="F9" s="7" t="s">
        <v>356</v>
      </c>
      <c r="G9" s="8" t="s">
        <v>379</v>
      </c>
      <c r="H9" s="7" t="s">
        <v>731</v>
      </c>
      <c r="I9" s="7"/>
    </row>
    <row r="10" spans="1:9" x14ac:dyDescent="0.25">
      <c r="A10" s="64"/>
      <c r="B10" s="61"/>
      <c r="C10" s="61"/>
      <c r="D10" s="7" t="s">
        <v>732</v>
      </c>
      <c r="E10" s="7" t="s">
        <v>355</v>
      </c>
      <c r="F10" s="7" t="s">
        <v>356</v>
      </c>
      <c r="G10" s="8"/>
      <c r="H10" s="7" t="s">
        <v>734</v>
      </c>
      <c r="I10" s="7"/>
    </row>
    <row r="11" spans="1:9" x14ac:dyDescent="0.25">
      <c r="A11" s="64"/>
      <c r="B11" s="61"/>
      <c r="C11" s="61"/>
      <c r="D11" s="7" t="s">
        <v>735</v>
      </c>
      <c r="E11" s="7" t="s">
        <v>355</v>
      </c>
      <c r="F11" s="7" t="s">
        <v>356</v>
      </c>
      <c r="G11" s="8"/>
      <c r="H11" s="7" t="s">
        <v>736</v>
      </c>
      <c r="I11" s="7"/>
    </row>
    <row r="12" spans="1:9" x14ac:dyDescent="0.25">
      <c r="A12" s="10" t="s">
        <v>1236</v>
      </c>
      <c r="B12" s="8" t="s">
        <v>767</v>
      </c>
      <c r="C12" s="8">
        <v>1</v>
      </c>
      <c r="D12" s="7" t="s">
        <v>771</v>
      </c>
      <c r="E12" s="7" t="s">
        <v>355</v>
      </c>
      <c r="F12" s="7" t="s">
        <v>356</v>
      </c>
      <c r="G12" s="8" t="s">
        <v>379</v>
      </c>
      <c r="H12" s="7" t="s">
        <v>772</v>
      </c>
      <c r="I12" s="7"/>
    </row>
    <row r="13" spans="1:9" x14ac:dyDescent="0.25">
      <c r="A13" s="10" t="s">
        <v>1237</v>
      </c>
      <c r="B13" s="8" t="s">
        <v>738</v>
      </c>
      <c r="C13" s="8">
        <v>1</v>
      </c>
      <c r="D13" s="7" t="s">
        <v>739</v>
      </c>
      <c r="E13" s="7" t="s">
        <v>355</v>
      </c>
      <c r="F13" s="7" t="s">
        <v>356</v>
      </c>
      <c r="G13" s="8" t="s">
        <v>379</v>
      </c>
      <c r="H13" s="7" t="s">
        <v>740</v>
      </c>
      <c r="I13" s="7"/>
    </row>
    <row r="14" spans="1:9" x14ac:dyDescent="0.25">
      <c r="A14" s="10" t="s">
        <v>1238</v>
      </c>
      <c r="B14" s="8" t="s">
        <v>764</v>
      </c>
      <c r="C14" s="8">
        <v>1</v>
      </c>
      <c r="D14" s="7" t="s">
        <v>739</v>
      </c>
      <c r="E14" s="7" t="s">
        <v>355</v>
      </c>
      <c r="F14" s="7" t="s">
        <v>356</v>
      </c>
      <c r="G14" s="8" t="s">
        <v>379</v>
      </c>
      <c r="H14" s="7" t="s">
        <v>765</v>
      </c>
      <c r="I14" s="7"/>
    </row>
    <row r="15" spans="1:9" x14ac:dyDescent="0.25">
      <c r="A15" s="10" t="s">
        <v>1252</v>
      </c>
      <c r="B15" s="8" t="s">
        <v>710</v>
      </c>
      <c r="C15" s="8">
        <v>1</v>
      </c>
      <c r="D15" s="21" t="s">
        <v>711</v>
      </c>
      <c r="E15" s="7" t="s">
        <v>355</v>
      </c>
      <c r="F15" s="7" t="s">
        <v>356</v>
      </c>
      <c r="G15" s="8" t="s">
        <v>379</v>
      </c>
      <c r="H15" s="7" t="s">
        <v>1253</v>
      </c>
      <c r="I15" s="7"/>
    </row>
  </sheetData>
  <mergeCells count="9">
    <mergeCell ref="A8:A11"/>
    <mergeCell ref="B8:B11"/>
    <mergeCell ref="C8:C11"/>
    <mergeCell ref="A2:A3"/>
    <mergeCell ref="B2:B3"/>
    <mergeCell ref="C2:C3"/>
    <mergeCell ref="A4:A7"/>
    <mergeCell ref="B4:B7"/>
    <mergeCell ref="C4:C7"/>
  </mergeCells>
  <dataValidations count="2">
    <dataValidation type="list" allowBlank="1" showInputMessage="1" showErrorMessage="1" sqref="G2:G15" xr:uid="{3248B31B-5C94-4BB7-AD93-8760F4E2F6AA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:A2 A4 A8 A12:A1048576" xr:uid="{D9C98C2F-7129-46EE-B17D-74792127560F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8C24-882D-4814-838A-D3C8E9A1258C}">
  <sheetPr codeName="Planilha27"/>
  <dimension ref="A1:I1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1231</v>
      </c>
      <c r="B2" s="61" t="s">
        <v>754</v>
      </c>
      <c r="C2" s="61">
        <v>1</v>
      </c>
      <c r="D2" s="7" t="s">
        <v>758</v>
      </c>
      <c r="E2" s="7" t="s">
        <v>355</v>
      </c>
      <c r="F2" s="7" t="s">
        <v>356</v>
      </c>
      <c r="G2" s="8" t="s">
        <v>379</v>
      </c>
      <c r="H2" s="7" t="s">
        <v>760</v>
      </c>
      <c r="I2" s="7"/>
    </row>
    <row r="3" spans="1:9" x14ac:dyDescent="0.25">
      <c r="A3" s="64"/>
      <c r="B3" s="61"/>
      <c r="C3" s="61"/>
      <c r="D3" s="7" t="s">
        <v>761</v>
      </c>
      <c r="E3" s="7" t="s">
        <v>355</v>
      </c>
      <c r="F3" s="7" t="s">
        <v>356</v>
      </c>
      <c r="G3" s="8"/>
      <c r="H3" s="7" t="s">
        <v>762</v>
      </c>
      <c r="I3" s="7"/>
    </row>
    <row r="4" spans="1:9" x14ac:dyDescent="0.25">
      <c r="A4" s="64" t="s">
        <v>1232</v>
      </c>
      <c r="B4" s="61" t="s">
        <v>727</v>
      </c>
      <c r="C4" s="61">
        <v>1</v>
      </c>
      <c r="D4" s="7" t="s">
        <v>728</v>
      </c>
      <c r="E4" s="7" t="s">
        <v>355</v>
      </c>
      <c r="F4" s="7" t="s">
        <v>356</v>
      </c>
      <c r="G4" s="8" t="s">
        <v>379</v>
      </c>
      <c r="H4" s="7" t="s">
        <v>1233</v>
      </c>
      <c r="I4" s="7"/>
    </row>
    <row r="5" spans="1:9" x14ac:dyDescent="0.25">
      <c r="A5" s="64"/>
      <c r="B5" s="61"/>
      <c r="C5" s="61"/>
      <c r="D5" s="7" t="s">
        <v>730</v>
      </c>
      <c r="E5" s="7" t="s">
        <v>355</v>
      </c>
      <c r="F5" s="7" t="s">
        <v>356</v>
      </c>
      <c r="G5" s="8" t="s">
        <v>379</v>
      </c>
      <c r="H5" s="7" t="s">
        <v>731</v>
      </c>
      <c r="I5" s="7"/>
    </row>
    <row r="6" spans="1:9" x14ac:dyDescent="0.25">
      <c r="A6" s="64"/>
      <c r="B6" s="61"/>
      <c r="C6" s="61"/>
      <c r="D6" s="7" t="s">
        <v>732</v>
      </c>
      <c r="E6" s="7" t="s">
        <v>355</v>
      </c>
      <c r="F6" s="7" t="s">
        <v>356</v>
      </c>
      <c r="G6" s="8"/>
      <c r="H6" s="7" t="s">
        <v>734</v>
      </c>
      <c r="I6" s="7"/>
    </row>
    <row r="7" spans="1:9" x14ac:dyDescent="0.25">
      <c r="A7" s="64"/>
      <c r="B7" s="61"/>
      <c r="C7" s="61"/>
      <c r="D7" s="7" t="s">
        <v>735</v>
      </c>
      <c r="E7" s="7" t="s">
        <v>355</v>
      </c>
      <c r="F7" s="7" t="s">
        <v>356</v>
      </c>
      <c r="G7" s="8"/>
      <c r="H7" s="7" t="s">
        <v>736</v>
      </c>
      <c r="I7" s="7"/>
    </row>
    <row r="8" spans="1:9" x14ac:dyDescent="0.25">
      <c r="A8" s="64" t="s">
        <v>1234</v>
      </c>
      <c r="B8" s="61" t="s">
        <v>727</v>
      </c>
      <c r="C8" s="61">
        <v>1</v>
      </c>
      <c r="D8" s="7" t="s">
        <v>728</v>
      </c>
      <c r="E8" s="7" t="s">
        <v>355</v>
      </c>
      <c r="F8" s="7" t="s">
        <v>356</v>
      </c>
      <c r="G8" s="8" t="s">
        <v>379</v>
      </c>
      <c r="H8" s="7" t="s">
        <v>1235</v>
      </c>
      <c r="I8" s="7"/>
    </row>
    <row r="9" spans="1:9" x14ac:dyDescent="0.25">
      <c r="A9" s="64"/>
      <c r="B9" s="61"/>
      <c r="C9" s="61"/>
      <c r="D9" s="7" t="s">
        <v>730</v>
      </c>
      <c r="E9" s="7" t="s">
        <v>355</v>
      </c>
      <c r="F9" s="7" t="s">
        <v>356</v>
      </c>
      <c r="G9" s="8" t="s">
        <v>379</v>
      </c>
      <c r="H9" s="7" t="s">
        <v>731</v>
      </c>
      <c r="I9" s="7"/>
    </row>
    <row r="10" spans="1:9" x14ac:dyDescent="0.25">
      <c r="A10" s="64"/>
      <c r="B10" s="61"/>
      <c r="C10" s="61"/>
      <c r="D10" s="7" t="s">
        <v>732</v>
      </c>
      <c r="E10" s="7" t="s">
        <v>355</v>
      </c>
      <c r="F10" s="7" t="s">
        <v>356</v>
      </c>
      <c r="G10" s="8"/>
      <c r="H10" s="7" t="s">
        <v>734</v>
      </c>
      <c r="I10" s="7"/>
    </row>
    <row r="11" spans="1:9" x14ac:dyDescent="0.25">
      <c r="A11" s="64"/>
      <c r="B11" s="61"/>
      <c r="C11" s="61"/>
      <c r="D11" s="7" t="s">
        <v>735</v>
      </c>
      <c r="E11" s="7" t="s">
        <v>355</v>
      </c>
      <c r="F11" s="7" t="s">
        <v>356</v>
      </c>
      <c r="G11" s="8"/>
      <c r="H11" s="7" t="s">
        <v>736</v>
      </c>
      <c r="I11" s="7"/>
    </row>
    <row r="12" spans="1:9" x14ac:dyDescent="0.25">
      <c r="A12" s="10" t="s">
        <v>1236</v>
      </c>
      <c r="B12" s="8" t="s">
        <v>767</v>
      </c>
      <c r="C12" s="8">
        <v>1</v>
      </c>
      <c r="D12" s="7" t="s">
        <v>771</v>
      </c>
      <c r="E12" s="7" t="s">
        <v>355</v>
      </c>
      <c r="F12" s="7" t="s">
        <v>356</v>
      </c>
      <c r="G12" s="8" t="s">
        <v>379</v>
      </c>
      <c r="H12" s="7" t="s">
        <v>772</v>
      </c>
      <c r="I12" s="7"/>
    </row>
    <row r="13" spans="1:9" x14ac:dyDescent="0.25">
      <c r="A13" s="10" t="s">
        <v>1237</v>
      </c>
      <c r="B13" s="8" t="s">
        <v>738</v>
      </c>
      <c r="C13" s="8">
        <v>1</v>
      </c>
      <c r="D13" s="7" t="s">
        <v>739</v>
      </c>
      <c r="E13" s="7" t="s">
        <v>355</v>
      </c>
      <c r="F13" s="7" t="s">
        <v>356</v>
      </c>
      <c r="G13" s="8" t="s">
        <v>379</v>
      </c>
      <c r="H13" s="7" t="s">
        <v>740</v>
      </c>
      <c r="I13" s="7"/>
    </row>
    <row r="14" spans="1:9" x14ac:dyDescent="0.25">
      <c r="A14" s="10" t="s">
        <v>1238</v>
      </c>
      <c r="B14" s="8" t="s">
        <v>764</v>
      </c>
      <c r="C14" s="8">
        <v>1</v>
      </c>
      <c r="D14" s="7" t="s">
        <v>739</v>
      </c>
      <c r="E14" s="7" t="s">
        <v>355</v>
      </c>
      <c r="F14" s="7" t="s">
        <v>356</v>
      </c>
      <c r="G14" s="8" t="s">
        <v>379</v>
      </c>
      <c r="H14" s="7" t="s">
        <v>765</v>
      </c>
      <c r="I14" s="7"/>
    </row>
  </sheetData>
  <mergeCells count="9">
    <mergeCell ref="C4:C7"/>
    <mergeCell ref="A8:A11"/>
    <mergeCell ref="B8:B11"/>
    <mergeCell ref="C8:C11"/>
    <mergeCell ref="A2:A3"/>
    <mergeCell ref="B2:B3"/>
    <mergeCell ref="C2:C3"/>
    <mergeCell ref="A4:A7"/>
    <mergeCell ref="B4:B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:A2 A4 A8 A12:A1048576" xr:uid="{D0FADFE7-0091-4E9C-88CD-8058DABC42CC}">
      <formula1>0</formula1>
      <formula2>8</formula2>
    </dataValidation>
    <dataValidation type="list" allowBlank="1" showInputMessage="1" showErrorMessage="1" sqref="G2:G14" xr:uid="{375078B6-8ADB-4806-AC35-58A0949BF0A0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DFDE-A7F4-43FB-BC6B-D73E0DA3913E}">
  <sheetPr codeName="Planilha28"/>
  <dimension ref="A1:I9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4" t="s">
        <v>1231</v>
      </c>
      <c r="B2" s="61" t="s">
        <v>754</v>
      </c>
      <c r="C2" s="61">
        <v>1</v>
      </c>
      <c r="D2" s="7" t="s">
        <v>758</v>
      </c>
      <c r="E2" s="7" t="s">
        <v>355</v>
      </c>
      <c r="F2" s="7" t="s">
        <v>356</v>
      </c>
      <c r="G2" s="8" t="s">
        <v>357</v>
      </c>
      <c r="H2" s="7" t="s">
        <v>760</v>
      </c>
      <c r="I2" s="7"/>
    </row>
    <row r="3" spans="1:9" x14ac:dyDescent="0.25">
      <c r="A3" s="64"/>
      <c r="B3" s="61"/>
      <c r="C3" s="61"/>
      <c r="D3" s="7" t="s">
        <v>761</v>
      </c>
      <c r="E3" s="7" t="s">
        <v>355</v>
      </c>
      <c r="F3" s="7" t="s">
        <v>356</v>
      </c>
      <c r="G3" s="8"/>
      <c r="H3" s="7" t="s">
        <v>762</v>
      </c>
      <c r="I3" s="7"/>
    </row>
    <row r="4" spans="1:9" x14ac:dyDescent="0.25">
      <c r="A4" s="64" t="s">
        <v>1234</v>
      </c>
      <c r="B4" s="61" t="s">
        <v>727</v>
      </c>
      <c r="C4" s="61">
        <v>1</v>
      </c>
      <c r="D4" s="7" t="s">
        <v>728</v>
      </c>
      <c r="E4" s="7" t="s">
        <v>355</v>
      </c>
      <c r="F4" s="7" t="s">
        <v>356</v>
      </c>
      <c r="G4" s="8" t="s">
        <v>357</v>
      </c>
      <c r="H4" s="7" t="s">
        <v>1235</v>
      </c>
      <c r="I4" s="7"/>
    </row>
    <row r="5" spans="1:9" x14ac:dyDescent="0.25">
      <c r="A5" s="64"/>
      <c r="B5" s="61"/>
      <c r="C5" s="61"/>
      <c r="D5" s="7" t="s">
        <v>730</v>
      </c>
      <c r="E5" s="7" t="s">
        <v>355</v>
      </c>
      <c r="F5" s="7" t="s">
        <v>356</v>
      </c>
      <c r="G5" s="8" t="s">
        <v>357</v>
      </c>
      <c r="H5" s="7" t="s">
        <v>731</v>
      </c>
      <c r="I5" s="7"/>
    </row>
    <row r="6" spans="1:9" x14ac:dyDescent="0.25">
      <c r="A6" s="64"/>
      <c r="B6" s="61"/>
      <c r="C6" s="61"/>
      <c r="D6" s="7" t="s">
        <v>732</v>
      </c>
      <c r="E6" s="7" t="s">
        <v>355</v>
      </c>
      <c r="F6" s="7" t="s">
        <v>356</v>
      </c>
      <c r="G6" s="8"/>
      <c r="H6" s="7" t="s">
        <v>734</v>
      </c>
      <c r="I6" s="7"/>
    </row>
    <row r="7" spans="1:9" x14ac:dyDescent="0.25">
      <c r="A7" s="64"/>
      <c r="B7" s="61"/>
      <c r="C7" s="61"/>
      <c r="D7" s="7" t="s">
        <v>735</v>
      </c>
      <c r="E7" s="7" t="s">
        <v>355</v>
      </c>
      <c r="F7" s="7" t="s">
        <v>356</v>
      </c>
      <c r="G7" s="8"/>
      <c r="H7" s="7" t="s">
        <v>736</v>
      </c>
      <c r="I7" s="7"/>
    </row>
    <row r="8" spans="1:9" x14ac:dyDescent="0.25">
      <c r="A8" s="10" t="s">
        <v>1236</v>
      </c>
      <c r="B8" s="8" t="s">
        <v>767</v>
      </c>
      <c r="C8" s="8">
        <v>1</v>
      </c>
      <c r="D8" s="7" t="s">
        <v>771</v>
      </c>
      <c r="E8" s="7" t="s">
        <v>355</v>
      </c>
      <c r="F8" s="7" t="s">
        <v>356</v>
      </c>
      <c r="G8" s="8" t="s">
        <v>357</v>
      </c>
      <c r="H8" s="7" t="s">
        <v>772</v>
      </c>
      <c r="I8" s="7"/>
    </row>
    <row r="9" spans="1:9" x14ac:dyDescent="0.25">
      <c r="A9" s="10" t="s">
        <v>1237</v>
      </c>
      <c r="B9" s="8" t="s">
        <v>738</v>
      </c>
      <c r="C9" s="8">
        <v>1</v>
      </c>
      <c r="D9" s="7" t="s">
        <v>739</v>
      </c>
      <c r="E9" s="7" t="s">
        <v>355</v>
      </c>
      <c r="F9" s="7" t="s">
        <v>356</v>
      </c>
      <c r="G9" s="8" t="s">
        <v>357</v>
      </c>
      <c r="H9" s="7" t="s">
        <v>740</v>
      </c>
      <c r="I9" s="7"/>
    </row>
  </sheetData>
  <mergeCells count="6">
    <mergeCell ref="A4:A7"/>
    <mergeCell ref="B4:B7"/>
    <mergeCell ref="C4:C7"/>
    <mergeCell ref="A2:A3"/>
    <mergeCell ref="B2:B3"/>
    <mergeCell ref="C2:C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:A2 A4 A8:A1048576" xr:uid="{A045E143-3A4B-4D13-9604-04AC3439EF56}">
      <formula1>0</formula1>
      <formula2>8</formula2>
    </dataValidation>
    <dataValidation type="list" allowBlank="1" showInputMessage="1" showErrorMessage="1" sqref="G2:G9" xr:uid="{B4DD47FF-AB07-40EF-9156-AA71154B3105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G2" sqref="G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504</v>
      </c>
      <c r="I2" s="7"/>
    </row>
    <row r="3" spans="1:9" x14ac:dyDescent="0.25">
      <c r="A3" s="8" t="s">
        <v>505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506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507</v>
      </c>
      <c r="I4" s="7"/>
    </row>
    <row r="5" spans="1:9" x14ac:dyDescent="0.25">
      <c r="A5" s="6" t="s">
        <v>534</v>
      </c>
      <c r="B5" s="8" t="s">
        <v>388</v>
      </c>
      <c r="C5" s="8">
        <v>1</v>
      </c>
      <c r="D5" s="7" t="s">
        <v>391</v>
      </c>
      <c r="E5" s="7" t="s">
        <v>355</v>
      </c>
      <c r="F5" s="7" t="s">
        <v>356</v>
      </c>
      <c r="G5" s="8" t="s">
        <v>394</v>
      </c>
      <c r="H5" s="7" t="s">
        <v>535</v>
      </c>
      <c r="I5" s="7"/>
    </row>
    <row r="6" spans="1:9" x14ac:dyDescent="0.25">
      <c r="A6" s="6" t="s">
        <v>438</v>
      </c>
      <c r="B6" s="6" t="s">
        <v>388</v>
      </c>
      <c r="C6" s="6">
        <v>1</v>
      </c>
      <c r="D6" s="7" t="s">
        <v>391</v>
      </c>
      <c r="E6" s="7" t="s">
        <v>355</v>
      </c>
      <c r="F6" s="7" t="s">
        <v>356</v>
      </c>
      <c r="G6" s="8" t="s">
        <v>394</v>
      </c>
      <c r="H6" s="7" t="s">
        <v>536</v>
      </c>
      <c r="I6" s="7"/>
    </row>
    <row r="7" spans="1:9" x14ac:dyDescent="0.25">
      <c r="A7" s="13" t="s">
        <v>537</v>
      </c>
      <c r="B7" s="15" t="s">
        <v>388</v>
      </c>
      <c r="C7" s="15">
        <v>1</v>
      </c>
      <c r="D7" s="14" t="s">
        <v>391</v>
      </c>
      <c r="E7" s="14" t="s">
        <v>355</v>
      </c>
      <c r="F7" s="14" t="s">
        <v>356</v>
      </c>
      <c r="G7" s="15" t="s">
        <v>394</v>
      </c>
      <c r="H7" s="14" t="s">
        <v>538</v>
      </c>
      <c r="I7" s="14" t="s">
        <v>539</v>
      </c>
    </row>
    <row r="8" spans="1:9" x14ac:dyDescent="0.25">
      <c r="A8" s="15" t="s">
        <v>540</v>
      </c>
      <c r="B8" s="15" t="s">
        <v>388</v>
      </c>
      <c r="C8" s="15">
        <v>1</v>
      </c>
      <c r="D8" s="14" t="s">
        <v>389</v>
      </c>
      <c r="E8" s="14" t="s">
        <v>355</v>
      </c>
      <c r="F8" s="14" t="s">
        <v>356</v>
      </c>
      <c r="G8" s="15" t="s">
        <v>394</v>
      </c>
      <c r="H8" s="14" t="s">
        <v>541</v>
      </c>
      <c r="I8" s="14" t="s">
        <v>542</v>
      </c>
    </row>
    <row r="9" spans="1:9" x14ac:dyDescent="0.25">
      <c r="A9" s="58" t="s">
        <v>508</v>
      </c>
      <c r="B9" s="58" t="s">
        <v>509</v>
      </c>
      <c r="C9" s="58">
        <v>1</v>
      </c>
      <c r="D9" s="7" t="s">
        <v>510</v>
      </c>
      <c r="E9" s="7" t="s">
        <v>464</v>
      </c>
      <c r="F9" s="7" t="s">
        <v>511</v>
      </c>
      <c r="G9" s="8" t="s">
        <v>379</v>
      </c>
      <c r="H9" s="7" t="s">
        <v>512</v>
      </c>
      <c r="I9" s="7"/>
    </row>
    <row r="10" spans="1:9" x14ac:dyDescent="0.25">
      <c r="A10" s="59"/>
      <c r="B10" s="59"/>
      <c r="C10" s="59"/>
      <c r="D10" s="7" t="s">
        <v>513</v>
      </c>
      <c r="E10" s="7" t="s">
        <v>464</v>
      </c>
      <c r="F10" s="7" t="s">
        <v>511</v>
      </c>
      <c r="G10" s="8" t="s">
        <v>379</v>
      </c>
      <c r="H10" s="7" t="s">
        <v>514</v>
      </c>
      <c r="I10" s="7"/>
    </row>
    <row r="11" spans="1:9" x14ac:dyDescent="0.25">
      <c r="A11" s="59"/>
      <c r="B11" s="59"/>
      <c r="C11" s="59"/>
      <c r="D11" s="7" t="s">
        <v>515</v>
      </c>
      <c r="E11" s="7" t="s">
        <v>464</v>
      </c>
      <c r="F11" s="7" t="s">
        <v>511</v>
      </c>
      <c r="G11" s="8" t="s">
        <v>379</v>
      </c>
      <c r="H11" s="7" t="s">
        <v>516</v>
      </c>
      <c r="I11" s="7"/>
    </row>
    <row r="12" spans="1:9" x14ac:dyDescent="0.25">
      <c r="A12" s="59"/>
      <c r="B12" s="59"/>
      <c r="C12" s="59"/>
      <c r="D12" s="7" t="s">
        <v>517</v>
      </c>
      <c r="E12" s="7" t="s">
        <v>464</v>
      </c>
      <c r="F12" s="7" t="s">
        <v>511</v>
      </c>
      <c r="G12" s="8"/>
      <c r="H12" s="7" t="s">
        <v>518</v>
      </c>
      <c r="I12" s="7"/>
    </row>
    <row r="13" spans="1:9" x14ac:dyDescent="0.25">
      <c r="A13" s="59"/>
      <c r="B13" s="59"/>
      <c r="C13" s="59"/>
      <c r="D13" s="65" t="s">
        <v>519</v>
      </c>
      <c r="E13" s="7" t="s">
        <v>520</v>
      </c>
      <c r="F13" s="7" t="s">
        <v>511</v>
      </c>
      <c r="G13" s="8"/>
      <c r="H13" s="7" t="s">
        <v>521</v>
      </c>
      <c r="I13" s="7"/>
    </row>
    <row r="14" spans="1:9" x14ac:dyDescent="0.25">
      <c r="A14" s="59"/>
      <c r="B14" s="59"/>
      <c r="C14" s="59"/>
      <c r="D14" s="66"/>
      <c r="E14" s="7" t="s">
        <v>522</v>
      </c>
      <c r="F14" s="7" t="s">
        <v>511</v>
      </c>
      <c r="G14" s="8"/>
      <c r="H14" s="7" t="s">
        <v>523</v>
      </c>
      <c r="I14" s="7"/>
    </row>
    <row r="15" spans="1:9" x14ac:dyDescent="0.25">
      <c r="A15" s="59"/>
      <c r="B15" s="59"/>
      <c r="C15" s="59"/>
      <c r="D15" s="67"/>
      <c r="E15" s="7" t="s">
        <v>524</v>
      </c>
      <c r="F15" s="7" t="s">
        <v>511</v>
      </c>
      <c r="G15" s="8"/>
      <c r="H15" s="7" t="s">
        <v>525</v>
      </c>
      <c r="I15" s="7"/>
    </row>
    <row r="16" spans="1:9" x14ac:dyDescent="0.25">
      <c r="A16" s="59"/>
      <c r="B16" s="59"/>
      <c r="C16" s="59"/>
      <c r="D16" s="65" t="s">
        <v>526</v>
      </c>
      <c r="E16" s="7" t="s">
        <v>520</v>
      </c>
      <c r="F16" s="7" t="s">
        <v>511</v>
      </c>
      <c r="G16" s="8"/>
      <c r="H16" s="7" t="s">
        <v>527</v>
      </c>
      <c r="I16" s="7"/>
    </row>
    <row r="17" spans="1:9" x14ac:dyDescent="0.25">
      <c r="A17" s="59"/>
      <c r="B17" s="59"/>
      <c r="C17" s="59"/>
      <c r="D17" s="66"/>
      <c r="E17" s="7" t="s">
        <v>522</v>
      </c>
      <c r="F17" s="7" t="s">
        <v>511</v>
      </c>
      <c r="G17" s="8"/>
      <c r="H17" s="7" t="s">
        <v>528</v>
      </c>
      <c r="I17" s="7"/>
    </row>
    <row r="18" spans="1:9" x14ac:dyDescent="0.25">
      <c r="A18" s="59"/>
      <c r="B18" s="59"/>
      <c r="C18" s="59"/>
      <c r="D18" s="67"/>
      <c r="E18" s="7" t="s">
        <v>524</v>
      </c>
      <c r="F18" s="7" t="s">
        <v>511</v>
      </c>
      <c r="G18" s="8"/>
      <c r="H18" s="7" t="s">
        <v>529</v>
      </c>
      <c r="I18" s="7"/>
    </row>
    <row r="19" spans="1:9" x14ac:dyDescent="0.25">
      <c r="A19" s="59"/>
      <c r="B19" s="59"/>
      <c r="C19" s="59"/>
      <c r="D19" s="7" t="s">
        <v>530</v>
      </c>
      <c r="E19" s="7" t="s">
        <v>464</v>
      </c>
      <c r="F19" s="7" t="s">
        <v>511</v>
      </c>
      <c r="G19" s="8" t="s">
        <v>379</v>
      </c>
      <c r="H19" s="7" t="s">
        <v>531</v>
      </c>
      <c r="I19" s="7"/>
    </row>
    <row r="20" spans="1:9" x14ac:dyDescent="0.25">
      <c r="A20" s="60"/>
      <c r="B20" s="60"/>
      <c r="C20" s="60"/>
      <c r="D20" s="7" t="s">
        <v>532</v>
      </c>
      <c r="E20" s="7" t="s">
        <v>464</v>
      </c>
      <c r="F20" s="7" t="s">
        <v>511</v>
      </c>
      <c r="G20" s="8" t="s">
        <v>379</v>
      </c>
      <c r="H20" s="7" t="s">
        <v>533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543</v>
      </c>
      <c r="B2" s="8" t="s">
        <v>544</v>
      </c>
      <c r="C2" s="8">
        <v>1</v>
      </c>
      <c r="D2" s="7" t="s">
        <v>545</v>
      </c>
      <c r="E2" s="7" t="s">
        <v>355</v>
      </c>
      <c r="F2" s="7" t="s">
        <v>356</v>
      </c>
      <c r="G2" s="8" t="s">
        <v>379</v>
      </c>
      <c r="H2" s="7" t="s">
        <v>610</v>
      </c>
      <c r="I2" s="7"/>
    </row>
    <row r="3" spans="1:9" x14ac:dyDescent="0.25">
      <c r="A3" s="8" t="s">
        <v>543</v>
      </c>
      <c r="B3" s="8" t="s">
        <v>544</v>
      </c>
      <c r="C3" s="8">
        <v>2</v>
      </c>
      <c r="D3" s="7" t="s">
        <v>545</v>
      </c>
      <c r="E3" s="7" t="s">
        <v>355</v>
      </c>
      <c r="F3" s="7" t="s">
        <v>356</v>
      </c>
      <c r="G3" s="8" t="s">
        <v>379</v>
      </c>
      <c r="H3" s="7" t="s">
        <v>611</v>
      </c>
      <c r="I3" s="7"/>
    </row>
    <row r="4" spans="1:9" x14ac:dyDescent="0.25">
      <c r="A4" s="8" t="s">
        <v>543</v>
      </c>
      <c r="B4" s="8" t="s">
        <v>544</v>
      </c>
      <c r="C4" s="8">
        <v>3</v>
      </c>
      <c r="D4" s="7" t="s">
        <v>545</v>
      </c>
      <c r="E4" s="7" t="s">
        <v>355</v>
      </c>
      <c r="F4" s="7" t="s">
        <v>356</v>
      </c>
      <c r="G4" s="8" t="s">
        <v>379</v>
      </c>
      <c r="H4" s="7" t="s">
        <v>612</v>
      </c>
      <c r="I4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544</v>
      </c>
      <c r="C2" s="58">
        <v>1</v>
      </c>
      <c r="D2" s="7" t="s">
        <v>545</v>
      </c>
      <c r="E2" s="7" t="s">
        <v>355</v>
      </c>
      <c r="F2" s="7" t="s">
        <v>356</v>
      </c>
      <c r="G2" s="8" t="s">
        <v>402</v>
      </c>
      <c r="H2" s="7" t="s">
        <v>546</v>
      </c>
      <c r="I2" s="7"/>
    </row>
    <row r="3" spans="1:9" x14ac:dyDescent="0.25">
      <c r="A3" s="60"/>
      <c r="B3" s="60"/>
      <c r="C3" s="60"/>
      <c r="D3" s="7" t="s">
        <v>547</v>
      </c>
      <c r="E3" s="7" t="s">
        <v>489</v>
      </c>
      <c r="F3" s="7" t="s">
        <v>490</v>
      </c>
      <c r="G3" s="8" t="s">
        <v>491</v>
      </c>
      <c r="H3" s="7" t="s">
        <v>548</v>
      </c>
      <c r="I3" s="7"/>
    </row>
    <row r="4" spans="1:9" x14ac:dyDescent="0.25">
      <c r="A4" s="58" t="s">
        <v>493</v>
      </c>
      <c r="B4" s="58" t="s">
        <v>544</v>
      </c>
      <c r="C4" s="58">
        <v>1</v>
      </c>
      <c r="D4" s="7" t="s">
        <v>545</v>
      </c>
      <c r="E4" s="7" t="s">
        <v>355</v>
      </c>
      <c r="F4" s="7" t="s">
        <v>356</v>
      </c>
      <c r="G4" s="8" t="s">
        <v>402</v>
      </c>
      <c r="H4" s="7" t="s">
        <v>549</v>
      </c>
      <c r="I4" s="7"/>
    </row>
    <row r="5" spans="1:9" x14ac:dyDescent="0.25">
      <c r="A5" s="60"/>
      <c r="B5" s="60"/>
      <c r="C5" s="60"/>
      <c r="D5" s="7" t="s">
        <v>547</v>
      </c>
      <c r="E5" s="7" t="s">
        <v>489</v>
      </c>
      <c r="F5" s="7" t="s">
        <v>490</v>
      </c>
      <c r="G5" s="8" t="s">
        <v>491</v>
      </c>
      <c r="H5" s="7" t="s">
        <v>550</v>
      </c>
      <c r="I5" s="7"/>
    </row>
    <row r="6" spans="1:9" x14ac:dyDescent="0.25">
      <c r="A6" s="58" t="s">
        <v>495</v>
      </c>
      <c r="B6" s="58" t="s">
        <v>544</v>
      </c>
      <c r="C6" s="58">
        <v>1</v>
      </c>
      <c r="D6" s="7" t="s">
        <v>545</v>
      </c>
      <c r="E6" s="7" t="s">
        <v>355</v>
      </c>
      <c r="F6" s="7" t="s">
        <v>356</v>
      </c>
      <c r="G6" s="8" t="s">
        <v>402</v>
      </c>
      <c r="H6" s="7" t="s">
        <v>551</v>
      </c>
      <c r="I6" s="7"/>
    </row>
    <row r="7" spans="1:9" x14ac:dyDescent="0.25">
      <c r="A7" s="60"/>
      <c r="B7" s="60"/>
      <c r="C7" s="60"/>
      <c r="D7" s="7" t="s">
        <v>547</v>
      </c>
      <c r="E7" s="7" t="s">
        <v>489</v>
      </c>
      <c r="F7" s="7" t="s">
        <v>490</v>
      </c>
      <c r="G7" s="8" t="s">
        <v>491</v>
      </c>
      <c r="H7" s="7" t="s">
        <v>552</v>
      </c>
      <c r="I7" s="7"/>
    </row>
    <row r="8" spans="1:9" x14ac:dyDescent="0.25">
      <c r="A8" s="58" t="s">
        <v>497</v>
      </c>
      <c r="B8" s="58" t="s">
        <v>544</v>
      </c>
      <c r="C8" s="58">
        <v>1</v>
      </c>
      <c r="D8" s="7" t="s">
        <v>545</v>
      </c>
      <c r="E8" s="7" t="s">
        <v>355</v>
      </c>
      <c r="F8" s="7" t="s">
        <v>356</v>
      </c>
      <c r="G8" s="8" t="s">
        <v>402</v>
      </c>
      <c r="H8" s="7" t="s">
        <v>553</v>
      </c>
      <c r="I8" s="7" t="s">
        <v>498</v>
      </c>
    </row>
    <row r="9" spans="1:9" x14ac:dyDescent="0.25">
      <c r="A9" s="60"/>
      <c r="B9" s="60"/>
      <c r="C9" s="60"/>
      <c r="D9" s="7" t="s">
        <v>547</v>
      </c>
      <c r="E9" s="7" t="s">
        <v>489</v>
      </c>
      <c r="F9" s="7" t="s">
        <v>490</v>
      </c>
      <c r="G9" s="8" t="s">
        <v>491</v>
      </c>
      <c r="H9" s="7" t="s">
        <v>554</v>
      </c>
      <c r="I9" s="7" t="s">
        <v>498</v>
      </c>
    </row>
    <row r="10" spans="1:9" x14ac:dyDescent="0.25">
      <c r="A10" s="58" t="s">
        <v>500</v>
      </c>
      <c r="B10" s="58" t="s">
        <v>544</v>
      </c>
      <c r="C10" s="58">
        <v>1</v>
      </c>
      <c r="D10" s="7" t="s">
        <v>545</v>
      </c>
      <c r="E10" s="7" t="s">
        <v>355</v>
      </c>
      <c r="F10" s="7" t="s">
        <v>356</v>
      </c>
      <c r="G10" s="8" t="s">
        <v>402</v>
      </c>
      <c r="H10" s="7" t="s">
        <v>555</v>
      </c>
      <c r="I10" s="7" t="s">
        <v>498</v>
      </c>
    </row>
    <row r="11" spans="1:9" x14ac:dyDescent="0.25">
      <c r="A11" s="60"/>
      <c r="B11" s="60"/>
      <c r="C11" s="60"/>
      <c r="D11" s="7" t="s">
        <v>547</v>
      </c>
      <c r="E11" s="7" t="s">
        <v>489</v>
      </c>
      <c r="F11" s="7" t="s">
        <v>490</v>
      </c>
      <c r="G11" s="8" t="s">
        <v>491</v>
      </c>
      <c r="H11" s="7" t="s">
        <v>556</v>
      </c>
      <c r="I11" s="7" t="s">
        <v>498</v>
      </c>
    </row>
    <row r="12" spans="1:9" x14ac:dyDescent="0.25">
      <c r="A12" s="58" t="s">
        <v>502</v>
      </c>
      <c r="B12" s="58" t="s">
        <v>544</v>
      </c>
      <c r="C12" s="58">
        <v>1</v>
      </c>
      <c r="D12" s="7" t="s">
        <v>545</v>
      </c>
      <c r="E12" s="7" t="s">
        <v>355</v>
      </c>
      <c r="F12" s="7" t="s">
        <v>356</v>
      </c>
      <c r="G12" s="8" t="s">
        <v>402</v>
      </c>
      <c r="H12" s="7" t="s">
        <v>557</v>
      </c>
      <c r="I12" s="7" t="s">
        <v>498</v>
      </c>
    </row>
    <row r="13" spans="1:9" x14ac:dyDescent="0.25">
      <c r="A13" s="60"/>
      <c r="B13" s="60"/>
      <c r="C13" s="60"/>
      <c r="D13" s="7" t="s">
        <v>547</v>
      </c>
      <c r="E13" s="7" t="s">
        <v>489</v>
      </c>
      <c r="F13" s="7" t="s">
        <v>490</v>
      </c>
      <c r="G13" s="8" t="s">
        <v>491</v>
      </c>
      <c r="H13" s="7" t="s">
        <v>558</v>
      </c>
      <c r="I13" s="7" t="s">
        <v>498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topLeftCell="A13"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592</v>
      </c>
      <c r="B2" s="58" t="s">
        <v>410</v>
      </c>
      <c r="C2" s="58">
        <v>1</v>
      </c>
      <c r="D2" s="65" t="s">
        <v>411</v>
      </c>
      <c r="E2" s="7" t="s">
        <v>401</v>
      </c>
      <c r="F2" s="7" t="s">
        <v>356</v>
      </c>
      <c r="G2" s="8" t="s">
        <v>357</v>
      </c>
      <c r="H2" s="7" t="s">
        <v>412</v>
      </c>
      <c r="I2" s="7"/>
    </row>
    <row r="3" spans="1:9" x14ac:dyDescent="0.25">
      <c r="A3" s="59"/>
      <c r="B3" s="59"/>
      <c r="C3" s="59"/>
      <c r="D3" s="66"/>
      <c r="E3" s="7" t="s">
        <v>413</v>
      </c>
      <c r="F3" s="7" t="s">
        <v>356</v>
      </c>
      <c r="G3" s="8" t="s">
        <v>357</v>
      </c>
      <c r="H3" s="7" t="s">
        <v>414</v>
      </c>
      <c r="I3" s="7"/>
    </row>
    <row r="4" spans="1:9" x14ac:dyDescent="0.25">
      <c r="A4" s="59"/>
      <c r="B4" s="59"/>
      <c r="C4" s="59"/>
      <c r="D4" s="66"/>
      <c r="E4" s="7" t="s">
        <v>415</v>
      </c>
      <c r="F4" s="7" t="s">
        <v>356</v>
      </c>
      <c r="G4" s="8" t="s">
        <v>357</v>
      </c>
      <c r="H4" s="7" t="s">
        <v>416</v>
      </c>
      <c r="I4" s="7"/>
    </row>
    <row r="5" spans="1:9" x14ac:dyDescent="0.25">
      <c r="A5" s="59"/>
      <c r="B5" s="59"/>
      <c r="C5" s="59"/>
      <c r="D5" s="66"/>
      <c r="E5" s="7" t="s">
        <v>417</v>
      </c>
      <c r="F5" s="7" t="s">
        <v>356</v>
      </c>
      <c r="G5" s="8" t="s">
        <v>357</v>
      </c>
      <c r="H5" s="7" t="s">
        <v>418</v>
      </c>
      <c r="I5" s="7"/>
    </row>
    <row r="6" spans="1:9" x14ac:dyDescent="0.25">
      <c r="A6" s="59"/>
      <c r="B6" s="59"/>
      <c r="C6" s="59"/>
      <c r="D6" s="65" t="s">
        <v>408</v>
      </c>
      <c r="E6" s="7" t="s">
        <v>401</v>
      </c>
      <c r="F6" s="7" t="s">
        <v>356</v>
      </c>
      <c r="G6" s="8" t="s">
        <v>379</v>
      </c>
      <c r="H6" s="7" t="s">
        <v>419</v>
      </c>
      <c r="I6" s="7"/>
    </row>
    <row r="7" spans="1:9" x14ac:dyDescent="0.25">
      <c r="A7" s="59"/>
      <c r="B7" s="59"/>
      <c r="C7" s="59"/>
      <c r="D7" s="66"/>
      <c r="E7" s="7" t="s">
        <v>413</v>
      </c>
      <c r="F7" s="7" t="s">
        <v>356</v>
      </c>
      <c r="G7" s="8" t="s">
        <v>357</v>
      </c>
      <c r="H7" s="7" t="s">
        <v>420</v>
      </c>
      <c r="I7" s="7"/>
    </row>
    <row r="8" spans="1:9" x14ac:dyDescent="0.25">
      <c r="A8" s="59"/>
      <c r="B8" s="59"/>
      <c r="C8" s="59"/>
      <c r="D8" s="66"/>
      <c r="E8" s="7" t="s">
        <v>415</v>
      </c>
      <c r="F8" s="7" t="s">
        <v>356</v>
      </c>
      <c r="G8" s="8" t="s">
        <v>357</v>
      </c>
      <c r="H8" s="7" t="s">
        <v>421</v>
      </c>
      <c r="I8" s="7"/>
    </row>
    <row r="9" spans="1:9" x14ac:dyDescent="0.25">
      <c r="A9" s="59"/>
      <c r="B9" s="59"/>
      <c r="C9" s="59"/>
      <c r="D9" s="66"/>
      <c r="E9" s="7" t="s">
        <v>417</v>
      </c>
      <c r="F9" s="7" t="s">
        <v>356</v>
      </c>
      <c r="G9" s="8" t="s">
        <v>357</v>
      </c>
      <c r="H9" s="7" t="s">
        <v>422</v>
      </c>
      <c r="I9" s="7"/>
    </row>
    <row r="10" spans="1:9" x14ac:dyDescent="0.25">
      <c r="A10" s="58" t="s">
        <v>568</v>
      </c>
      <c r="B10" s="58" t="s">
        <v>407</v>
      </c>
      <c r="C10" s="58">
        <v>1</v>
      </c>
      <c r="D10" s="65" t="s">
        <v>408</v>
      </c>
      <c r="E10" s="7" t="s">
        <v>401</v>
      </c>
      <c r="F10" s="7" t="s">
        <v>356</v>
      </c>
      <c r="G10" s="8" t="s">
        <v>379</v>
      </c>
      <c r="H10" s="7" t="s">
        <v>569</v>
      </c>
      <c r="I10" s="7" t="s">
        <v>593</v>
      </c>
    </row>
    <row r="11" spans="1:9" x14ac:dyDescent="0.25">
      <c r="A11" s="59"/>
      <c r="B11" s="59"/>
      <c r="C11" s="59"/>
      <c r="D11" s="66"/>
      <c r="E11" s="7" t="s">
        <v>413</v>
      </c>
      <c r="F11" s="7" t="s">
        <v>356</v>
      </c>
      <c r="G11" s="8" t="s">
        <v>357</v>
      </c>
      <c r="H11" s="7" t="s">
        <v>570</v>
      </c>
      <c r="I11" s="7" t="s">
        <v>593</v>
      </c>
    </row>
    <row r="12" spans="1:9" x14ac:dyDescent="0.25">
      <c r="A12" s="59"/>
      <c r="B12" s="59"/>
      <c r="C12" s="59"/>
      <c r="D12" s="66"/>
      <c r="E12" s="7" t="s">
        <v>415</v>
      </c>
      <c r="F12" s="7" t="s">
        <v>356</v>
      </c>
      <c r="G12" s="8" t="s">
        <v>357</v>
      </c>
      <c r="H12" s="7" t="s">
        <v>571</v>
      </c>
      <c r="I12" s="7" t="s">
        <v>593</v>
      </c>
    </row>
    <row r="13" spans="1:9" x14ac:dyDescent="0.25">
      <c r="A13" s="59"/>
      <c r="B13" s="59"/>
      <c r="C13" s="59"/>
      <c r="D13" s="66"/>
      <c r="E13" s="7" t="s">
        <v>417</v>
      </c>
      <c r="F13" s="7" t="s">
        <v>356</v>
      </c>
      <c r="G13" s="8" t="s">
        <v>357</v>
      </c>
      <c r="H13" s="7" t="s">
        <v>572</v>
      </c>
      <c r="I13" s="7" t="s">
        <v>593</v>
      </c>
    </row>
    <row r="14" spans="1:9" x14ac:dyDescent="0.25">
      <c r="A14" s="60"/>
      <c r="B14" s="60"/>
      <c r="C14" s="60"/>
      <c r="D14" s="67"/>
      <c r="E14" s="7" t="s">
        <v>567</v>
      </c>
      <c r="F14" s="7" t="s">
        <v>356</v>
      </c>
      <c r="G14" s="8" t="s">
        <v>357</v>
      </c>
      <c r="H14" s="7" t="s">
        <v>573</v>
      </c>
      <c r="I14" s="7" t="s">
        <v>593</v>
      </c>
    </row>
    <row r="15" spans="1:9" x14ac:dyDescent="0.25">
      <c r="A15" s="58" t="s">
        <v>574</v>
      </c>
      <c r="B15" s="58" t="s">
        <v>407</v>
      </c>
      <c r="C15" s="58">
        <v>1</v>
      </c>
      <c r="D15" s="65" t="s">
        <v>408</v>
      </c>
      <c r="E15" s="7" t="s">
        <v>401</v>
      </c>
      <c r="F15" s="7" t="s">
        <v>356</v>
      </c>
      <c r="G15" s="8" t="s">
        <v>379</v>
      </c>
      <c r="H15" s="7" t="s">
        <v>569</v>
      </c>
      <c r="I15" s="7" t="s">
        <v>594</v>
      </c>
    </row>
    <row r="16" spans="1:9" x14ac:dyDescent="0.25">
      <c r="A16" s="59"/>
      <c r="B16" s="59"/>
      <c r="C16" s="59"/>
      <c r="D16" s="66"/>
      <c r="E16" s="7" t="s">
        <v>413</v>
      </c>
      <c r="F16" s="7" t="s">
        <v>356</v>
      </c>
      <c r="G16" s="8" t="s">
        <v>357</v>
      </c>
      <c r="H16" s="7" t="s">
        <v>570</v>
      </c>
      <c r="I16" s="7" t="s">
        <v>594</v>
      </c>
    </row>
    <row r="17" spans="1:9" x14ac:dyDescent="0.25">
      <c r="A17" s="59"/>
      <c r="B17" s="59"/>
      <c r="C17" s="59"/>
      <c r="D17" s="66"/>
      <c r="E17" s="7" t="s">
        <v>415</v>
      </c>
      <c r="F17" s="7" t="s">
        <v>356</v>
      </c>
      <c r="G17" s="8" t="s">
        <v>357</v>
      </c>
      <c r="H17" s="7" t="s">
        <v>571</v>
      </c>
      <c r="I17" s="7" t="s">
        <v>594</v>
      </c>
    </row>
    <row r="18" spans="1:9" x14ac:dyDescent="0.25">
      <c r="A18" s="59"/>
      <c r="B18" s="59"/>
      <c r="C18" s="59"/>
      <c r="D18" s="66"/>
      <c r="E18" s="7" t="s">
        <v>417</v>
      </c>
      <c r="F18" s="7" t="s">
        <v>356</v>
      </c>
      <c r="G18" s="8" t="s">
        <v>357</v>
      </c>
      <c r="H18" s="7" t="s">
        <v>572</v>
      </c>
      <c r="I18" s="7" t="s">
        <v>594</v>
      </c>
    </row>
    <row r="19" spans="1:9" x14ac:dyDescent="0.25">
      <c r="A19" s="60"/>
      <c r="B19" s="60"/>
      <c r="C19" s="60"/>
      <c r="D19" s="67"/>
      <c r="E19" s="7" t="s">
        <v>567</v>
      </c>
      <c r="F19" s="7" t="s">
        <v>356</v>
      </c>
      <c r="G19" s="8" t="s">
        <v>357</v>
      </c>
      <c r="H19" s="7" t="s">
        <v>573</v>
      </c>
      <c r="I19" s="7" t="s">
        <v>594</v>
      </c>
    </row>
    <row r="20" spans="1:9" x14ac:dyDescent="0.25">
      <c r="A20" s="58" t="s">
        <v>575</v>
      </c>
      <c r="B20" s="58" t="s">
        <v>576</v>
      </c>
      <c r="C20" s="58">
        <v>1</v>
      </c>
      <c r="D20" s="65" t="s">
        <v>408</v>
      </c>
      <c r="E20" s="7" t="s">
        <v>401</v>
      </c>
      <c r="F20" s="7" t="s">
        <v>356</v>
      </c>
      <c r="G20" s="8" t="s">
        <v>379</v>
      </c>
      <c r="H20" s="7" t="s">
        <v>577</v>
      </c>
      <c r="I20" s="7" t="s">
        <v>593</v>
      </c>
    </row>
    <row r="21" spans="1:9" x14ac:dyDescent="0.25">
      <c r="A21" s="60"/>
      <c r="B21" s="60"/>
      <c r="C21" s="60"/>
      <c r="D21" s="67"/>
      <c r="E21" s="7" t="s">
        <v>567</v>
      </c>
      <c r="F21" s="7" t="s">
        <v>356</v>
      </c>
      <c r="G21" s="8" t="s">
        <v>357</v>
      </c>
      <c r="H21" s="7" t="s">
        <v>578</v>
      </c>
      <c r="I21" s="7" t="s">
        <v>593</v>
      </c>
    </row>
    <row r="22" spans="1:9" x14ac:dyDescent="0.25">
      <c r="A22" s="58" t="s">
        <v>579</v>
      </c>
      <c r="B22" s="58" t="s">
        <v>576</v>
      </c>
      <c r="C22" s="58">
        <v>1</v>
      </c>
      <c r="D22" s="65" t="s">
        <v>408</v>
      </c>
      <c r="E22" s="7" t="s">
        <v>401</v>
      </c>
      <c r="F22" s="7" t="s">
        <v>356</v>
      </c>
      <c r="G22" s="8" t="s">
        <v>379</v>
      </c>
      <c r="H22" s="7" t="s">
        <v>577</v>
      </c>
      <c r="I22" s="7" t="s">
        <v>594</v>
      </c>
    </row>
    <row r="23" spans="1:9" x14ac:dyDescent="0.25">
      <c r="A23" s="60"/>
      <c r="B23" s="60"/>
      <c r="C23" s="60"/>
      <c r="D23" s="67"/>
      <c r="E23" s="7" t="s">
        <v>567</v>
      </c>
      <c r="F23" s="7" t="s">
        <v>356</v>
      </c>
      <c r="G23" s="8" t="s">
        <v>357</v>
      </c>
      <c r="H23" s="7" t="s">
        <v>578</v>
      </c>
      <c r="I23" s="7" t="s">
        <v>594</v>
      </c>
    </row>
    <row r="24" spans="1:9" x14ac:dyDescent="0.25">
      <c r="A24" s="58" t="s">
        <v>580</v>
      </c>
      <c r="B24" s="58" t="s">
        <v>576</v>
      </c>
      <c r="C24" s="58">
        <v>1</v>
      </c>
      <c r="D24" s="65" t="s">
        <v>411</v>
      </c>
      <c r="E24" s="7" t="s">
        <v>401</v>
      </c>
      <c r="F24" s="7" t="s">
        <v>356</v>
      </c>
      <c r="G24" s="8" t="s">
        <v>357</v>
      </c>
      <c r="H24" s="7" t="s">
        <v>581</v>
      </c>
      <c r="I24" s="7" t="s">
        <v>593</v>
      </c>
    </row>
    <row r="25" spans="1:9" x14ac:dyDescent="0.25">
      <c r="A25" s="59"/>
      <c r="B25" s="59"/>
      <c r="C25" s="59"/>
      <c r="D25" s="66"/>
      <c r="E25" s="7" t="s">
        <v>413</v>
      </c>
      <c r="F25" s="7" t="s">
        <v>356</v>
      </c>
      <c r="G25" s="8" t="s">
        <v>357</v>
      </c>
      <c r="H25" s="7" t="s">
        <v>582</v>
      </c>
      <c r="I25" s="7" t="s">
        <v>593</v>
      </c>
    </row>
    <row r="26" spans="1:9" x14ac:dyDescent="0.25">
      <c r="A26" s="59"/>
      <c r="B26" s="59"/>
      <c r="C26" s="59"/>
      <c r="D26" s="66"/>
      <c r="E26" s="7" t="s">
        <v>415</v>
      </c>
      <c r="F26" s="7" t="s">
        <v>356</v>
      </c>
      <c r="G26" s="8" t="s">
        <v>357</v>
      </c>
      <c r="H26" s="7" t="s">
        <v>583</v>
      </c>
      <c r="I26" s="7" t="s">
        <v>593</v>
      </c>
    </row>
    <row r="27" spans="1:9" x14ac:dyDescent="0.25">
      <c r="A27" s="59"/>
      <c r="B27" s="59"/>
      <c r="C27" s="59"/>
      <c r="D27" s="66"/>
      <c r="E27" s="7" t="s">
        <v>417</v>
      </c>
      <c r="F27" s="7" t="s">
        <v>356</v>
      </c>
      <c r="G27" s="8" t="s">
        <v>357</v>
      </c>
      <c r="H27" s="7" t="s">
        <v>584</v>
      </c>
      <c r="I27" s="7" t="s">
        <v>593</v>
      </c>
    </row>
    <row r="28" spans="1:9" x14ac:dyDescent="0.25">
      <c r="A28" s="59"/>
      <c r="B28" s="59"/>
      <c r="C28" s="59"/>
      <c r="D28" s="67"/>
      <c r="E28" s="7" t="s">
        <v>567</v>
      </c>
      <c r="F28" s="7" t="s">
        <v>356</v>
      </c>
      <c r="G28" s="8" t="s">
        <v>357</v>
      </c>
      <c r="H28" s="7" t="s">
        <v>585</v>
      </c>
      <c r="I28" s="7" t="s">
        <v>593</v>
      </c>
    </row>
    <row r="29" spans="1:9" x14ac:dyDescent="0.25">
      <c r="A29" s="59"/>
      <c r="B29" s="59"/>
      <c r="C29" s="59"/>
      <c r="D29" s="65" t="s">
        <v>408</v>
      </c>
      <c r="E29" s="7" t="s">
        <v>401</v>
      </c>
      <c r="F29" s="7" t="s">
        <v>356</v>
      </c>
      <c r="G29" s="8" t="s">
        <v>379</v>
      </c>
      <c r="H29" s="7" t="s">
        <v>586</v>
      </c>
      <c r="I29" s="7" t="s">
        <v>593</v>
      </c>
    </row>
    <row r="30" spans="1:9" x14ac:dyDescent="0.25">
      <c r="A30" s="59"/>
      <c r="B30" s="59"/>
      <c r="C30" s="59"/>
      <c r="D30" s="66"/>
      <c r="E30" s="7" t="s">
        <v>413</v>
      </c>
      <c r="F30" s="7" t="s">
        <v>356</v>
      </c>
      <c r="G30" s="8" t="s">
        <v>357</v>
      </c>
      <c r="H30" s="7" t="s">
        <v>587</v>
      </c>
      <c r="I30" s="7" t="s">
        <v>593</v>
      </c>
    </row>
    <row r="31" spans="1:9" x14ac:dyDescent="0.25">
      <c r="A31" s="59"/>
      <c r="B31" s="59"/>
      <c r="C31" s="59"/>
      <c r="D31" s="66"/>
      <c r="E31" s="7" t="s">
        <v>415</v>
      </c>
      <c r="F31" s="7" t="s">
        <v>356</v>
      </c>
      <c r="G31" s="8" t="s">
        <v>357</v>
      </c>
      <c r="H31" s="7" t="s">
        <v>588</v>
      </c>
      <c r="I31" s="7" t="s">
        <v>593</v>
      </c>
    </row>
    <row r="32" spans="1:9" x14ac:dyDescent="0.25">
      <c r="A32" s="59"/>
      <c r="B32" s="59"/>
      <c r="C32" s="59"/>
      <c r="D32" s="66"/>
      <c r="E32" s="7" t="s">
        <v>417</v>
      </c>
      <c r="F32" s="7" t="s">
        <v>356</v>
      </c>
      <c r="G32" s="8" t="s">
        <v>357</v>
      </c>
      <c r="H32" s="7" t="s">
        <v>589</v>
      </c>
      <c r="I32" s="7" t="s">
        <v>593</v>
      </c>
    </row>
    <row r="33" spans="1:9" x14ac:dyDescent="0.25">
      <c r="A33" s="60"/>
      <c r="B33" s="60"/>
      <c r="C33" s="60"/>
      <c r="D33" s="67"/>
      <c r="E33" s="7" t="s">
        <v>567</v>
      </c>
      <c r="F33" s="7" t="s">
        <v>356</v>
      </c>
      <c r="G33" s="8" t="s">
        <v>357</v>
      </c>
      <c r="H33" s="7" t="s">
        <v>590</v>
      </c>
      <c r="I33" s="7" t="s">
        <v>593</v>
      </c>
    </row>
    <row r="34" spans="1:9" x14ac:dyDescent="0.25">
      <c r="A34" s="58" t="s">
        <v>591</v>
      </c>
      <c r="B34" s="58" t="s">
        <v>576</v>
      </c>
      <c r="C34" s="58">
        <v>1</v>
      </c>
      <c r="D34" s="65" t="s">
        <v>411</v>
      </c>
      <c r="E34" s="7" t="s">
        <v>401</v>
      </c>
      <c r="F34" s="7" t="s">
        <v>356</v>
      </c>
      <c r="G34" s="8" t="s">
        <v>357</v>
      </c>
      <c r="H34" s="7" t="s">
        <v>581</v>
      </c>
      <c r="I34" s="7" t="s">
        <v>594</v>
      </c>
    </row>
    <row r="35" spans="1:9" x14ac:dyDescent="0.25">
      <c r="A35" s="59"/>
      <c r="B35" s="59"/>
      <c r="C35" s="59"/>
      <c r="D35" s="66"/>
      <c r="E35" s="7" t="s">
        <v>413</v>
      </c>
      <c r="F35" s="7" t="s">
        <v>356</v>
      </c>
      <c r="G35" s="8" t="s">
        <v>357</v>
      </c>
      <c r="H35" s="7" t="s">
        <v>582</v>
      </c>
      <c r="I35" s="7" t="s">
        <v>594</v>
      </c>
    </row>
    <row r="36" spans="1:9" x14ac:dyDescent="0.25">
      <c r="A36" s="59"/>
      <c r="B36" s="59"/>
      <c r="C36" s="59"/>
      <c r="D36" s="66"/>
      <c r="E36" s="7" t="s">
        <v>415</v>
      </c>
      <c r="F36" s="7" t="s">
        <v>356</v>
      </c>
      <c r="G36" s="8" t="s">
        <v>357</v>
      </c>
      <c r="H36" s="7" t="s">
        <v>583</v>
      </c>
      <c r="I36" s="7" t="s">
        <v>594</v>
      </c>
    </row>
    <row r="37" spans="1:9" x14ac:dyDescent="0.25">
      <c r="A37" s="59"/>
      <c r="B37" s="59"/>
      <c r="C37" s="59"/>
      <c r="D37" s="66"/>
      <c r="E37" s="7" t="s">
        <v>417</v>
      </c>
      <c r="F37" s="7" t="s">
        <v>356</v>
      </c>
      <c r="G37" s="8" t="s">
        <v>357</v>
      </c>
      <c r="H37" s="7" t="s">
        <v>584</v>
      </c>
      <c r="I37" s="7" t="s">
        <v>594</v>
      </c>
    </row>
    <row r="38" spans="1:9" x14ac:dyDescent="0.25">
      <c r="A38" s="59"/>
      <c r="B38" s="59"/>
      <c r="C38" s="59"/>
      <c r="D38" s="67"/>
      <c r="E38" s="7" t="s">
        <v>567</v>
      </c>
      <c r="F38" s="7" t="s">
        <v>356</v>
      </c>
      <c r="G38" s="8" t="s">
        <v>357</v>
      </c>
      <c r="H38" s="7" t="s">
        <v>585</v>
      </c>
      <c r="I38" s="7" t="s">
        <v>594</v>
      </c>
    </row>
    <row r="39" spans="1:9" x14ac:dyDescent="0.25">
      <c r="A39" s="59"/>
      <c r="B39" s="59"/>
      <c r="C39" s="59"/>
      <c r="D39" s="65" t="s">
        <v>408</v>
      </c>
      <c r="E39" s="7" t="s">
        <v>401</v>
      </c>
      <c r="F39" s="7" t="s">
        <v>356</v>
      </c>
      <c r="G39" s="8" t="s">
        <v>379</v>
      </c>
      <c r="H39" s="7" t="s">
        <v>586</v>
      </c>
      <c r="I39" s="7" t="s">
        <v>594</v>
      </c>
    </row>
    <row r="40" spans="1:9" x14ac:dyDescent="0.25">
      <c r="A40" s="59"/>
      <c r="B40" s="59"/>
      <c r="C40" s="59"/>
      <c r="D40" s="66"/>
      <c r="E40" s="7" t="s">
        <v>413</v>
      </c>
      <c r="F40" s="7" t="s">
        <v>356</v>
      </c>
      <c r="G40" s="8" t="s">
        <v>357</v>
      </c>
      <c r="H40" s="7" t="s">
        <v>587</v>
      </c>
      <c r="I40" s="7" t="s">
        <v>594</v>
      </c>
    </row>
    <row r="41" spans="1:9" x14ac:dyDescent="0.25">
      <c r="A41" s="59"/>
      <c r="B41" s="59"/>
      <c r="C41" s="59"/>
      <c r="D41" s="66"/>
      <c r="E41" s="7" t="s">
        <v>415</v>
      </c>
      <c r="F41" s="7" t="s">
        <v>356</v>
      </c>
      <c r="G41" s="8" t="s">
        <v>357</v>
      </c>
      <c r="H41" s="7" t="s">
        <v>588</v>
      </c>
      <c r="I41" s="7" t="s">
        <v>594</v>
      </c>
    </row>
    <row r="42" spans="1:9" x14ac:dyDescent="0.25">
      <c r="A42" s="59"/>
      <c r="B42" s="59"/>
      <c r="C42" s="59"/>
      <c r="D42" s="66"/>
      <c r="E42" s="7" t="s">
        <v>417</v>
      </c>
      <c r="F42" s="7" t="s">
        <v>356</v>
      </c>
      <c r="G42" s="8" t="s">
        <v>357</v>
      </c>
      <c r="H42" s="7" t="s">
        <v>589</v>
      </c>
      <c r="I42" s="7" t="s">
        <v>594</v>
      </c>
    </row>
    <row r="43" spans="1:9" x14ac:dyDescent="0.25">
      <c r="A43" s="60"/>
      <c r="B43" s="60"/>
      <c r="C43" s="60"/>
      <c r="D43" s="67"/>
      <c r="E43" s="7" t="s">
        <v>567</v>
      </c>
      <c r="F43" s="7" t="s">
        <v>356</v>
      </c>
      <c r="G43" s="8" t="s">
        <v>357</v>
      </c>
      <c r="H43" s="7" t="s">
        <v>590</v>
      </c>
      <c r="I43" s="7" t="s">
        <v>594</v>
      </c>
    </row>
    <row r="44" spans="1:9" x14ac:dyDescent="0.25">
      <c r="A44" s="61" t="s">
        <v>595</v>
      </c>
      <c r="B44" s="61" t="s">
        <v>596</v>
      </c>
      <c r="C44" s="61">
        <v>1</v>
      </c>
      <c r="D44" s="17" t="s">
        <v>597</v>
      </c>
      <c r="E44" s="7" t="s">
        <v>401</v>
      </c>
      <c r="F44" s="7" t="s">
        <v>356</v>
      </c>
      <c r="G44" s="8" t="s">
        <v>357</v>
      </c>
      <c r="H44" s="7" t="s">
        <v>600</v>
      </c>
      <c r="I44" s="7" t="s">
        <v>542</v>
      </c>
    </row>
    <row r="45" spans="1:9" x14ac:dyDescent="0.25">
      <c r="A45" s="61"/>
      <c r="B45" s="61"/>
      <c r="C45" s="61"/>
      <c r="D45" s="17" t="s">
        <v>598</v>
      </c>
      <c r="E45" s="7" t="s">
        <v>401</v>
      </c>
      <c r="F45" s="7" t="s">
        <v>356</v>
      </c>
      <c r="G45" s="8" t="s">
        <v>357</v>
      </c>
      <c r="H45" s="7" t="s">
        <v>601</v>
      </c>
      <c r="I45" s="7" t="s">
        <v>542</v>
      </c>
    </row>
    <row r="46" spans="1:9" x14ac:dyDescent="0.25">
      <c r="A46" s="61"/>
      <c r="B46" s="61"/>
      <c r="C46" s="61"/>
      <c r="D46" s="7" t="s">
        <v>408</v>
      </c>
      <c r="E46" s="7" t="s">
        <v>401</v>
      </c>
      <c r="F46" s="7" t="s">
        <v>356</v>
      </c>
      <c r="G46" s="8" t="s">
        <v>379</v>
      </c>
      <c r="H46" s="7" t="s">
        <v>604</v>
      </c>
      <c r="I46" s="7" t="s">
        <v>542</v>
      </c>
    </row>
    <row r="47" spans="1:9" x14ac:dyDescent="0.25">
      <c r="A47" s="61" t="s">
        <v>595</v>
      </c>
      <c r="B47" s="61" t="s">
        <v>596</v>
      </c>
      <c r="C47" s="61">
        <v>2</v>
      </c>
      <c r="D47" s="17" t="s">
        <v>597</v>
      </c>
      <c r="E47" s="7" t="s">
        <v>401</v>
      </c>
      <c r="F47" s="7" t="s">
        <v>356</v>
      </c>
      <c r="G47" s="8" t="s">
        <v>357</v>
      </c>
      <c r="H47" s="7" t="s">
        <v>602</v>
      </c>
      <c r="I47" s="7" t="s">
        <v>542</v>
      </c>
    </row>
    <row r="48" spans="1:9" x14ac:dyDescent="0.25">
      <c r="A48" s="61"/>
      <c r="B48" s="61"/>
      <c r="C48" s="61"/>
      <c r="D48" s="17" t="s">
        <v>598</v>
      </c>
      <c r="E48" s="7" t="s">
        <v>401</v>
      </c>
      <c r="F48" s="7" t="s">
        <v>356</v>
      </c>
      <c r="G48" s="8" t="s">
        <v>357</v>
      </c>
      <c r="H48" s="7" t="s">
        <v>603</v>
      </c>
      <c r="I48" s="7" t="s">
        <v>542</v>
      </c>
    </row>
    <row r="49" spans="1:9" x14ac:dyDescent="0.25">
      <c r="A49" s="61"/>
      <c r="B49" s="61"/>
      <c r="C49" s="61"/>
      <c r="D49" s="7" t="s">
        <v>408</v>
      </c>
      <c r="E49" s="7" t="s">
        <v>401</v>
      </c>
      <c r="F49" s="7" t="s">
        <v>356</v>
      </c>
      <c r="G49" s="8" t="s">
        <v>379</v>
      </c>
      <c r="H49" s="7" t="s">
        <v>605</v>
      </c>
      <c r="I49" s="7" t="s">
        <v>542</v>
      </c>
    </row>
    <row r="50" spans="1:9" x14ac:dyDescent="0.25">
      <c r="A50" s="58" t="s">
        <v>423</v>
      </c>
      <c r="B50" s="58" t="s">
        <v>424</v>
      </c>
      <c r="C50" s="58">
        <v>1</v>
      </c>
      <c r="D50" s="65" t="s">
        <v>425</v>
      </c>
      <c r="E50" s="7" t="s">
        <v>401</v>
      </c>
      <c r="F50" s="7" t="s">
        <v>356</v>
      </c>
      <c r="G50" s="8" t="s">
        <v>402</v>
      </c>
      <c r="H50" s="7" t="s">
        <v>599</v>
      </c>
      <c r="I50" s="7"/>
    </row>
    <row r="51" spans="1:9" x14ac:dyDescent="0.25">
      <c r="A51" s="59"/>
      <c r="B51" s="59"/>
      <c r="C51" s="59"/>
      <c r="D51" s="66"/>
      <c r="E51" s="7" t="s">
        <v>413</v>
      </c>
      <c r="F51" s="7" t="s">
        <v>356</v>
      </c>
      <c r="G51" s="8"/>
      <c r="H51" s="7" t="s">
        <v>428</v>
      </c>
      <c r="I51" s="7"/>
    </row>
    <row r="52" spans="1:9" x14ac:dyDescent="0.25">
      <c r="A52" s="59"/>
      <c r="B52" s="59"/>
      <c r="C52" s="59"/>
      <c r="D52" s="66"/>
      <c r="E52" s="7" t="s">
        <v>415</v>
      </c>
      <c r="F52" s="7" t="s">
        <v>356</v>
      </c>
      <c r="G52" s="8"/>
      <c r="H52" s="7" t="s">
        <v>428</v>
      </c>
      <c r="I52" s="7"/>
    </row>
    <row r="53" spans="1:9" x14ac:dyDescent="0.25">
      <c r="A53" s="60"/>
      <c r="B53" s="60"/>
      <c r="C53" s="60"/>
      <c r="D53" s="67"/>
      <c r="E53" s="7" t="s">
        <v>417</v>
      </c>
      <c r="F53" s="7" t="s">
        <v>356</v>
      </c>
      <c r="G53" s="8"/>
      <c r="H53" s="7" t="s">
        <v>428</v>
      </c>
      <c r="I53" s="7"/>
    </row>
  </sheetData>
  <mergeCells count="41"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  <mergeCell ref="A24:A33"/>
    <mergeCell ref="B24:B33"/>
    <mergeCell ref="C24:C33"/>
    <mergeCell ref="D24:D28"/>
    <mergeCell ref="D29:D33"/>
    <mergeCell ref="A20:A21"/>
    <mergeCell ref="B20:B21"/>
    <mergeCell ref="C20:C21"/>
    <mergeCell ref="D20:D21"/>
    <mergeCell ref="A22:A23"/>
    <mergeCell ref="B22:B23"/>
    <mergeCell ref="C22:C23"/>
    <mergeCell ref="D22:D23"/>
    <mergeCell ref="A15:A19"/>
    <mergeCell ref="B15:B19"/>
    <mergeCell ref="C15:C19"/>
    <mergeCell ref="D15:D19"/>
    <mergeCell ref="A10:A14"/>
    <mergeCell ref="B10:B14"/>
    <mergeCell ref="C10:C14"/>
    <mergeCell ref="D10:D14"/>
    <mergeCell ref="A2:A9"/>
    <mergeCell ref="B2:B9"/>
    <mergeCell ref="C2:C9"/>
    <mergeCell ref="D2:D5"/>
    <mergeCell ref="D6:D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504</v>
      </c>
      <c r="I2" s="7"/>
    </row>
    <row r="3" spans="1:9" x14ac:dyDescent="0.25">
      <c r="A3" s="8" t="s">
        <v>505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506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507</v>
      </c>
      <c r="I4" s="7"/>
    </row>
    <row r="5" spans="1:9" x14ac:dyDescent="0.25">
      <c r="A5" s="58" t="s">
        <v>508</v>
      </c>
      <c r="B5" s="58" t="s">
        <v>509</v>
      </c>
      <c r="C5" s="58">
        <v>1</v>
      </c>
      <c r="D5" s="7" t="s">
        <v>510</v>
      </c>
      <c r="E5" s="7" t="s">
        <v>464</v>
      </c>
      <c r="F5" s="7" t="s">
        <v>511</v>
      </c>
      <c r="G5" s="8" t="s">
        <v>379</v>
      </c>
      <c r="H5" s="7" t="s">
        <v>512</v>
      </c>
      <c r="I5" s="7"/>
    </row>
    <row r="6" spans="1:9" x14ac:dyDescent="0.25">
      <c r="A6" s="59"/>
      <c r="B6" s="59"/>
      <c r="C6" s="59"/>
      <c r="D6" s="7" t="s">
        <v>513</v>
      </c>
      <c r="E6" s="7" t="s">
        <v>464</v>
      </c>
      <c r="F6" s="7" t="s">
        <v>511</v>
      </c>
      <c r="G6" s="8" t="s">
        <v>379</v>
      </c>
      <c r="H6" s="7" t="s">
        <v>514</v>
      </c>
      <c r="I6" s="7"/>
    </row>
    <row r="7" spans="1:9" x14ac:dyDescent="0.25">
      <c r="A7" s="59"/>
      <c r="B7" s="59"/>
      <c r="C7" s="59"/>
      <c r="D7" s="7" t="s">
        <v>515</v>
      </c>
      <c r="E7" s="7" t="s">
        <v>464</v>
      </c>
      <c r="F7" s="7" t="s">
        <v>511</v>
      </c>
      <c r="G7" s="8" t="s">
        <v>379</v>
      </c>
      <c r="H7" s="7" t="s">
        <v>516</v>
      </c>
      <c r="I7" s="7"/>
    </row>
    <row r="8" spans="1:9" x14ac:dyDescent="0.25">
      <c r="A8" s="59"/>
      <c r="B8" s="59"/>
      <c r="C8" s="59"/>
      <c r="D8" s="7" t="s">
        <v>517</v>
      </c>
      <c r="E8" s="7" t="s">
        <v>464</v>
      </c>
      <c r="F8" s="7" t="s">
        <v>511</v>
      </c>
      <c r="G8" s="8"/>
      <c r="H8" s="7" t="s">
        <v>518</v>
      </c>
      <c r="I8" s="7"/>
    </row>
    <row r="9" spans="1:9" x14ac:dyDescent="0.25">
      <c r="A9" s="59"/>
      <c r="B9" s="59"/>
      <c r="C9" s="59"/>
      <c r="D9" s="65" t="s">
        <v>519</v>
      </c>
      <c r="E9" s="7" t="s">
        <v>520</v>
      </c>
      <c r="F9" s="7" t="s">
        <v>511</v>
      </c>
      <c r="G9" s="8"/>
      <c r="H9" s="7" t="s">
        <v>521</v>
      </c>
      <c r="I9" s="7"/>
    </row>
    <row r="10" spans="1:9" x14ac:dyDescent="0.25">
      <c r="A10" s="59"/>
      <c r="B10" s="59"/>
      <c r="C10" s="59"/>
      <c r="D10" s="66"/>
      <c r="E10" s="7" t="s">
        <v>522</v>
      </c>
      <c r="F10" s="7" t="s">
        <v>511</v>
      </c>
      <c r="G10" s="8"/>
      <c r="H10" s="7" t="s">
        <v>523</v>
      </c>
      <c r="I10" s="7"/>
    </row>
    <row r="11" spans="1:9" x14ac:dyDescent="0.25">
      <c r="A11" s="59"/>
      <c r="B11" s="59"/>
      <c r="C11" s="59"/>
      <c r="D11" s="67"/>
      <c r="E11" s="7" t="s">
        <v>524</v>
      </c>
      <c r="F11" s="7" t="s">
        <v>511</v>
      </c>
      <c r="G11" s="8"/>
      <c r="H11" s="7" t="s">
        <v>525</v>
      </c>
      <c r="I11" s="7"/>
    </row>
    <row r="12" spans="1:9" x14ac:dyDescent="0.25">
      <c r="A12" s="59"/>
      <c r="B12" s="59"/>
      <c r="C12" s="59"/>
      <c r="D12" s="65" t="s">
        <v>526</v>
      </c>
      <c r="E12" s="7" t="s">
        <v>520</v>
      </c>
      <c r="F12" s="7" t="s">
        <v>511</v>
      </c>
      <c r="G12" s="8"/>
      <c r="H12" s="7" t="s">
        <v>527</v>
      </c>
      <c r="I12" s="7"/>
    </row>
    <row r="13" spans="1:9" x14ac:dyDescent="0.25">
      <c r="A13" s="59"/>
      <c r="B13" s="59"/>
      <c r="C13" s="59"/>
      <c r="D13" s="66"/>
      <c r="E13" s="7" t="s">
        <v>522</v>
      </c>
      <c r="F13" s="7" t="s">
        <v>511</v>
      </c>
      <c r="G13" s="8"/>
      <c r="H13" s="7" t="s">
        <v>528</v>
      </c>
      <c r="I13" s="7"/>
    </row>
    <row r="14" spans="1:9" x14ac:dyDescent="0.25">
      <c r="A14" s="59"/>
      <c r="B14" s="59"/>
      <c r="C14" s="59"/>
      <c r="D14" s="67"/>
      <c r="E14" s="7" t="s">
        <v>524</v>
      </c>
      <c r="F14" s="7" t="s">
        <v>511</v>
      </c>
      <c r="G14" s="8"/>
      <c r="H14" s="7" t="s">
        <v>529</v>
      </c>
      <c r="I14" s="7"/>
    </row>
    <row r="15" spans="1:9" x14ac:dyDescent="0.25">
      <c r="A15" s="59"/>
      <c r="B15" s="59"/>
      <c r="C15" s="59"/>
      <c r="D15" s="7" t="s">
        <v>530</v>
      </c>
      <c r="E15" s="7" t="s">
        <v>464</v>
      </c>
      <c r="F15" s="7" t="s">
        <v>511</v>
      </c>
      <c r="G15" s="8" t="s">
        <v>379</v>
      </c>
      <c r="H15" s="7" t="s">
        <v>531</v>
      </c>
      <c r="I15" s="7"/>
    </row>
    <row r="16" spans="1:9" x14ac:dyDescent="0.25">
      <c r="A16" s="60"/>
      <c r="B16" s="60"/>
      <c r="C16" s="60"/>
      <c r="D16" s="7" t="s">
        <v>532</v>
      </c>
      <c r="E16" s="7" t="s">
        <v>464</v>
      </c>
      <c r="F16" s="7" t="s">
        <v>511</v>
      </c>
      <c r="G16" s="8" t="s">
        <v>379</v>
      </c>
      <c r="H16" s="7" t="s">
        <v>533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H3" sqref="H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486</v>
      </c>
      <c r="C2" s="58">
        <v>1</v>
      </c>
      <c r="D2" s="7" t="s">
        <v>487</v>
      </c>
      <c r="E2" s="7" t="s">
        <v>355</v>
      </c>
      <c r="F2" s="7" t="s">
        <v>356</v>
      </c>
      <c r="G2" s="8" t="s">
        <v>402</v>
      </c>
      <c r="H2" s="7" t="s">
        <v>1269</v>
      </c>
      <c r="I2" s="7"/>
    </row>
    <row r="3" spans="1:9" x14ac:dyDescent="0.25">
      <c r="A3" s="60"/>
      <c r="B3" s="60"/>
      <c r="C3" s="60"/>
      <c r="D3" s="7" t="s">
        <v>488</v>
      </c>
      <c r="E3" s="7" t="s">
        <v>489</v>
      </c>
      <c r="F3" s="7" t="s">
        <v>490</v>
      </c>
      <c r="G3" s="8" t="s">
        <v>491</v>
      </c>
      <c r="H3" s="7" t="s">
        <v>492</v>
      </c>
      <c r="I3" s="7"/>
    </row>
    <row r="4" spans="1:9" x14ac:dyDescent="0.25">
      <c r="A4" s="58" t="s">
        <v>493</v>
      </c>
      <c r="B4" s="58" t="s">
        <v>486</v>
      </c>
      <c r="C4" s="58">
        <v>1</v>
      </c>
      <c r="D4" s="7" t="s">
        <v>487</v>
      </c>
      <c r="E4" s="7" t="s">
        <v>355</v>
      </c>
      <c r="F4" s="7" t="s">
        <v>356</v>
      </c>
      <c r="G4" s="8" t="s">
        <v>402</v>
      </c>
      <c r="H4" s="7" t="s">
        <v>1268</v>
      </c>
      <c r="I4" s="7"/>
    </row>
    <row r="5" spans="1:9" x14ac:dyDescent="0.25">
      <c r="A5" s="60"/>
      <c r="B5" s="60"/>
      <c r="C5" s="60"/>
      <c r="D5" s="7" t="s">
        <v>488</v>
      </c>
      <c r="E5" s="7" t="s">
        <v>489</v>
      </c>
      <c r="F5" s="7" t="s">
        <v>490</v>
      </c>
      <c r="G5" s="8" t="s">
        <v>491</v>
      </c>
      <c r="H5" s="7" t="s">
        <v>494</v>
      </c>
      <c r="I5" s="7"/>
    </row>
    <row r="6" spans="1:9" x14ac:dyDescent="0.25">
      <c r="A6" s="58" t="s">
        <v>495</v>
      </c>
      <c r="B6" s="58" t="s">
        <v>486</v>
      </c>
      <c r="C6" s="58">
        <v>1</v>
      </c>
      <c r="D6" s="7" t="s">
        <v>487</v>
      </c>
      <c r="E6" s="7" t="s">
        <v>355</v>
      </c>
      <c r="F6" s="7" t="s">
        <v>356</v>
      </c>
      <c r="G6" s="8" t="s">
        <v>402</v>
      </c>
      <c r="H6" s="7" t="s">
        <v>1267</v>
      </c>
      <c r="I6" s="7"/>
    </row>
    <row r="7" spans="1:9" x14ac:dyDescent="0.25">
      <c r="A7" s="60"/>
      <c r="B7" s="60"/>
      <c r="C7" s="60"/>
      <c r="D7" s="7" t="s">
        <v>488</v>
      </c>
      <c r="E7" s="7" t="s">
        <v>489</v>
      </c>
      <c r="F7" s="7" t="s">
        <v>490</v>
      </c>
      <c r="G7" s="8" t="s">
        <v>491</v>
      </c>
      <c r="H7" s="7" t="s">
        <v>496</v>
      </c>
      <c r="I7" s="7"/>
    </row>
    <row r="8" spans="1:9" x14ac:dyDescent="0.25">
      <c r="A8" s="58" t="s">
        <v>497</v>
      </c>
      <c r="B8" s="58" t="s">
        <v>486</v>
      </c>
      <c r="C8" s="58">
        <v>1</v>
      </c>
      <c r="D8" s="7" t="s">
        <v>487</v>
      </c>
      <c r="E8" s="7" t="s">
        <v>355</v>
      </c>
      <c r="F8" s="7" t="s">
        <v>356</v>
      </c>
      <c r="G8" s="8" t="s">
        <v>402</v>
      </c>
      <c r="H8" s="7" t="s">
        <v>1266</v>
      </c>
      <c r="I8" s="7" t="s">
        <v>498</v>
      </c>
    </row>
    <row r="9" spans="1:9" x14ac:dyDescent="0.25">
      <c r="A9" s="60"/>
      <c r="B9" s="60"/>
      <c r="C9" s="60"/>
      <c r="D9" s="7" t="s">
        <v>488</v>
      </c>
      <c r="E9" s="7" t="s">
        <v>489</v>
      </c>
      <c r="F9" s="7" t="s">
        <v>490</v>
      </c>
      <c r="G9" s="8" t="s">
        <v>491</v>
      </c>
      <c r="H9" s="7" t="s">
        <v>499</v>
      </c>
      <c r="I9" s="7" t="s">
        <v>498</v>
      </c>
    </row>
    <row r="10" spans="1:9" x14ac:dyDescent="0.25">
      <c r="A10" s="58" t="s">
        <v>500</v>
      </c>
      <c r="B10" s="58" t="s">
        <v>486</v>
      </c>
      <c r="C10" s="58">
        <v>1</v>
      </c>
      <c r="D10" s="7" t="s">
        <v>487</v>
      </c>
      <c r="E10" s="7" t="s">
        <v>355</v>
      </c>
      <c r="F10" s="7" t="s">
        <v>356</v>
      </c>
      <c r="G10" s="8" t="s">
        <v>402</v>
      </c>
      <c r="H10" s="7" t="s">
        <v>1265</v>
      </c>
      <c r="I10" s="7" t="s">
        <v>498</v>
      </c>
    </row>
    <row r="11" spans="1:9" x14ac:dyDescent="0.25">
      <c r="A11" s="60"/>
      <c r="B11" s="60"/>
      <c r="C11" s="60"/>
      <c r="D11" s="7" t="s">
        <v>488</v>
      </c>
      <c r="E11" s="7" t="s">
        <v>489</v>
      </c>
      <c r="F11" s="7" t="s">
        <v>490</v>
      </c>
      <c r="G11" s="8" t="s">
        <v>491</v>
      </c>
      <c r="H11" s="7" t="s">
        <v>501</v>
      </c>
      <c r="I11" s="7" t="s">
        <v>498</v>
      </c>
    </row>
    <row r="12" spans="1:9" x14ac:dyDescent="0.25">
      <c r="A12" s="58" t="s">
        <v>502</v>
      </c>
      <c r="B12" s="58" t="s">
        <v>486</v>
      </c>
      <c r="C12" s="58">
        <v>1</v>
      </c>
      <c r="D12" s="7" t="s">
        <v>487</v>
      </c>
      <c r="E12" s="7" t="s">
        <v>355</v>
      </c>
      <c r="F12" s="7" t="s">
        <v>356</v>
      </c>
      <c r="G12" s="8" t="s">
        <v>402</v>
      </c>
      <c r="H12" s="7" t="s">
        <v>1264</v>
      </c>
      <c r="I12" s="7" t="s">
        <v>498</v>
      </c>
    </row>
    <row r="13" spans="1:9" x14ac:dyDescent="0.25">
      <c r="A13" s="60"/>
      <c r="B13" s="60"/>
      <c r="C13" s="60"/>
      <c r="D13" s="7" t="s">
        <v>488</v>
      </c>
      <c r="E13" s="7" t="s">
        <v>489</v>
      </c>
      <c r="F13" s="7" t="s">
        <v>490</v>
      </c>
      <c r="G13" s="8" t="s">
        <v>491</v>
      </c>
      <c r="H13" s="7" t="s">
        <v>503</v>
      </c>
      <c r="I13" s="7" t="s">
        <v>498</v>
      </c>
    </row>
  </sheetData>
  <mergeCells count="18">
    <mergeCell ref="A10:A11"/>
    <mergeCell ref="B10:B11"/>
    <mergeCell ref="C10:C11"/>
    <mergeCell ref="A12:A13"/>
    <mergeCell ref="B12:B13"/>
    <mergeCell ref="C12:C13"/>
    <mergeCell ref="A6:A7"/>
    <mergeCell ref="B6:B7"/>
    <mergeCell ref="C6:C7"/>
    <mergeCell ref="A8:A9"/>
    <mergeCell ref="B8:B9"/>
    <mergeCell ref="C8:C9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1BF4-AC3D-4781-A5DF-C437674BAFBA}">
  <sheetPr codeName="Planilha30"/>
  <dimension ref="A1:I7"/>
  <sheetViews>
    <sheetView workbookViewId="0">
      <selection activeCell="H6" sqref="H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486</v>
      </c>
      <c r="C2" s="58">
        <v>1</v>
      </c>
      <c r="D2" s="7" t="s">
        <v>487</v>
      </c>
      <c r="E2" s="7" t="s">
        <v>355</v>
      </c>
      <c r="F2" s="7" t="s">
        <v>356</v>
      </c>
      <c r="G2" s="8" t="s">
        <v>402</v>
      </c>
      <c r="H2" s="7" t="s">
        <v>1270</v>
      </c>
      <c r="I2" s="7"/>
    </row>
    <row r="3" spans="1:9" x14ac:dyDescent="0.25">
      <c r="A3" s="60"/>
      <c r="B3" s="60"/>
      <c r="C3" s="60"/>
      <c r="D3" s="7" t="s">
        <v>488</v>
      </c>
      <c r="E3" s="7" t="s">
        <v>489</v>
      </c>
      <c r="F3" s="7" t="s">
        <v>490</v>
      </c>
      <c r="G3" s="8" t="s">
        <v>491</v>
      </c>
      <c r="H3" s="7" t="s">
        <v>492</v>
      </c>
      <c r="I3" s="7"/>
    </row>
    <row r="4" spans="1:9" x14ac:dyDescent="0.25">
      <c r="A4" s="58" t="s">
        <v>493</v>
      </c>
      <c r="B4" s="58" t="s">
        <v>486</v>
      </c>
      <c r="C4" s="58">
        <v>1</v>
      </c>
      <c r="D4" s="7" t="s">
        <v>487</v>
      </c>
      <c r="E4" s="7" t="s">
        <v>355</v>
      </c>
      <c r="F4" s="7" t="s">
        <v>356</v>
      </c>
      <c r="G4" s="8" t="s">
        <v>402</v>
      </c>
      <c r="H4" s="7" t="s">
        <v>1271</v>
      </c>
      <c r="I4" s="7"/>
    </row>
    <row r="5" spans="1:9" x14ac:dyDescent="0.25">
      <c r="A5" s="60"/>
      <c r="B5" s="60"/>
      <c r="C5" s="60"/>
      <c r="D5" s="7" t="s">
        <v>488</v>
      </c>
      <c r="E5" s="7" t="s">
        <v>489</v>
      </c>
      <c r="F5" s="7" t="s">
        <v>490</v>
      </c>
      <c r="G5" s="8" t="s">
        <v>491</v>
      </c>
      <c r="H5" s="7" t="s">
        <v>494</v>
      </c>
      <c r="I5" s="7"/>
    </row>
    <row r="6" spans="1:9" x14ac:dyDescent="0.25">
      <c r="A6" s="58" t="s">
        <v>495</v>
      </c>
      <c r="B6" s="58" t="s">
        <v>486</v>
      </c>
      <c r="C6" s="58">
        <v>1</v>
      </c>
      <c r="D6" s="7" t="s">
        <v>487</v>
      </c>
      <c r="E6" s="7" t="s">
        <v>355</v>
      </c>
      <c r="F6" s="7" t="s">
        <v>356</v>
      </c>
      <c r="G6" s="8" t="s">
        <v>402</v>
      </c>
      <c r="H6" s="85" t="s">
        <v>1272</v>
      </c>
      <c r="I6" s="7"/>
    </row>
    <row r="7" spans="1:9" x14ac:dyDescent="0.25">
      <c r="A7" s="60"/>
      <c r="B7" s="60"/>
      <c r="C7" s="60"/>
      <c r="D7" s="7" t="s">
        <v>488</v>
      </c>
      <c r="E7" s="7" t="s">
        <v>489</v>
      </c>
      <c r="F7" s="7" t="s">
        <v>490</v>
      </c>
      <c r="G7" s="8" t="s">
        <v>491</v>
      </c>
      <c r="H7" s="7" t="s">
        <v>496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8:A1048576" xr:uid="{C254FC21-61CC-498A-9787-7B506C012852}">
      <formula1>0</formula1>
      <formula2>8</formula2>
    </dataValidation>
    <dataValidation type="list" allowBlank="1" showInputMessage="1" showErrorMessage="1" sqref="G2:G7" xr:uid="{1059AA9D-CC3C-4717-96E9-A54FDCAB3A6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H46" sqref="H4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8" t="s">
        <v>352</v>
      </c>
      <c r="B2" s="68" t="s">
        <v>429</v>
      </c>
      <c r="C2" s="68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8"/>
      <c r="B3" s="68"/>
      <c r="C3" s="68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8"/>
      <c r="B4" s="68"/>
      <c r="C4" s="68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8"/>
      <c r="B5" s="68"/>
      <c r="C5" s="68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8"/>
      <c r="B6" s="68"/>
      <c r="C6" s="68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8"/>
      <c r="B7" s="68"/>
      <c r="C7" s="68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8"/>
      <c r="B8" s="68"/>
      <c r="C8" s="68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8" t="s">
        <v>444</v>
      </c>
      <c r="B9" s="68" t="s">
        <v>445</v>
      </c>
      <c r="C9" s="68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8"/>
      <c r="B10" s="68"/>
      <c r="C10" s="68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8"/>
      <c r="B11" s="68"/>
      <c r="C11" s="68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8" t="s">
        <v>370</v>
      </c>
      <c r="B12" s="68" t="s">
        <v>371</v>
      </c>
      <c r="C12" s="68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8"/>
      <c r="B13" s="68"/>
      <c r="C13" s="68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8"/>
      <c r="B14" s="68"/>
      <c r="C14" s="68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8" t="s">
        <v>381</v>
      </c>
      <c r="B21" s="58" t="s">
        <v>382</v>
      </c>
      <c r="C21" s="58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465</v>
      </c>
      <c r="I21" s="7"/>
    </row>
    <row r="22" spans="1:9" x14ac:dyDescent="0.25">
      <c r="A22" s="60"/>
      <c r="B22" s="60"/>
      <c r="C22" s="60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8" t="s">
        <v>387</v>
      </c>
      <c r="B23" s="58" t="s">
        <v>388</v>
      </c>
      <c r="C23" s="58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466</v>
      </c>
      <c r="I23" s="7"/>
    </row>
    <row r="24" spans="1:9" x14ac:dyDescent="0.25">
      <c r="A24" s="60"/>
      <c r="B24" s="60"/>
      <c r="C24" s="60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467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468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469</v>
      </c>
      <c r="I26" s="7"/>
    </row>
    <row r="27" spans="1:9" x14ac:dyDescent="0.25">
      <c r="A27" s="69" t="s">
        <v>470</v>
      </c>
      <c r="B27" s="58" t="s">
        <v>471</v>
      </c>
      <c r="C27" s="58">
        <v>1</v>
      </c>
      <c r="D27" s="7" t="s">
        <v>472</v>
      </c>
      <c r="E27" s="7" t="s">
        <v>355</v>
      </c>
      <c r="F27" s="7" t="s">
        <v>356</v>
      </c>
      <c r="G27" s="9"/>
      <c r="H27" s="7" t="s">
        <v>473</v>
      </c>
      <c r="I27" s="7"/>
    </row>
    <row r="28" spans="1:9" x14ac:dyDescent="0.25">
      <c r="A28" s="70"/>
      <c r="B28" s="59"/>
      <c r="C28" s="59"/>
      <c r="D28" s="7" t="s">
        <v>474</v>
      </c>
      <c r="E28" s="7" t="s">
        <v>355</v>
      </c>
      <c r="F28" s="7" t="s">
        <v>356</v>
      </c>
      <c r="G28" s="8" t="s">
        <v>379</v>
      </c>
      <c r="H28" s="7" t="s">
        <v>475</v>
      </c>
      <c r="I28" s="7"/>
    </row>
    <row r="29" spans="1:9" x14ac:dyDescent="0.25">
      <c r="A29" s="70"/>
      <c r="B29" s="59"/>
      <c r="C29" s="59"/>
      <c r="D29" s="7" t="s">
        <v>476</v>
      </c>
      <c r="E29" s="7" t="s">
        <v>355</v>
      </c>
      <c r="F29" s="7" t="s">
        <v>356</v>
      </c>
      <c r="G29" s="8" t="s">
        <v>379</v>
      </c>
      <c r="H29" s="7" t="s">
        <v>477</v>
      </c>
      <c r="I29" s="7"/>
    </row>
    <row r="30" spans="1:9" x14ac:dyDescent="0.25">
      <c r="A30" s="71"/>
      <c r="B30" s="60"/>
      <c r="C30" s="60"/>
      <c r="D30" s="7" t="s">
        <v>478</v>
      </c>
      <c r="E30" s="7" t="s">
        <v>355</v>
      </c>
      <c r="F30" s="7" t="s">
        <v>356</v>
      </c>
      <c r="G30" s="8" t="s">
        <v>379</v>
      </c>
      <c r="H30" s="7" t="s">
        <v>479</v>
      </c>
      <c r="I30" s="7"/>
    </row>
    <row r="31" spans="1:9" x14ac:dyDescent="0.25">
      <c r="A31" s="8" t="s">
        <v>480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481</v>
      </c>
      <c r="I31" s="7"/>
    </row>
    <row r="32" spans="1:9" x14ac:dyDescent="0.25">
      <c r="A32" s="19" t="s">
        <v>482</v>
      </c>
      <c r="B32" s="19" t="s">
        <v>388</v>
      </c>
      <c r="C32" s="19">
        <v>1</v>
      </c>
      <c r="D32" s="18" t="s">
        <v>391</v>
      </c>
      <c r="E32" s="18" t="s">
        <v>355</v>
      </c>
      <c r="F32" s="18" t="s">
        <v>356</v>
      </c>
      <c r="G32" s="19" t="s">
        <v>394</v>
      </c>
      <c r="H32" s="18" t="s">
        <v>483</v>
      </c>
      <c r="I32" s="18" t="s">
        <v>484</v>
      </c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8" t="s">
        <v>352</v>
      </c>
      <c r="B2" s="68" t="s">
        <v>429</v>
      </c>
      <c r="C2" s="68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8"/>
      <c r="B3" s="68"/>
      <c r="C3" s="68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8"/>
      <c r="B4" s="68"/>
      <c r="C4" s="68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8"/>
      <c r="B5" s="68"/>
      <c r="C5" s="68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8"/>
      <c r="B6" s="68"/>
      <c r="C6" s="68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8"/>
      <c r="B7" s="68"/>
      <c r="C7" s="68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8"/>
      <c r="B8" s="68"/>
      <c r="C8" s="68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8" t="s">
        <v>444</v>
      </c>
      <c r="B9" s="68" t="s">
        <v>445</v>
      </c>
      <c r="C9" s="68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8"/>
      <c r="B10" s="68"/>
      <c r="C10" s="68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8"/>
      <c r="B11" s="68"/>
      <c r="C11" s="68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8" t="s">
        <v>370</v>
      </c>
      <c r="B12" s="68" t="s">
        <v>371</v>
      </c>
      <c r="C12" s="68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8"/>
      <c r="B13" s="68"/>
      <c r="C13" s="68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8"/>
      <c r="B14" s="68"/>
      <c r="C14" s="68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8" t="s">
        <v>381</v>
      </c>
      <c r="B21" s="58" t="s">
        <v>382</v>
      </c>
      <c r="C21" s="58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465</v>
      </c>
      <c r="I21" s="7"/>
    </row>
    <row r="22" spans="1:9" x14ac:dyDescent="0.25">
      <c r="A22" s="60"/>
      <c r="B22" s="60"/>
      <c r="C22" s="60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8" t="s">
        <v>387</v>
      </c>
      <c r="B23" s="58" t="s">
        <v>388</v>
      </c>
      <c r="C23" s="58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466</v>
      </c>
      <c r="I23" s="7"/>
    </row>
    <row r="24" spans="1:9" x14ac:dyDescent="0.25">
      <c r="A24" s="60"/>
      <c r="B24" s="60"/>
      <c r="C24" s="60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467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468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469</v>
      </c>
      <c r="I26" s="7"/>
    </row>
    <row r="27" spans="1:9" x14ac:dyDescent="0.25">
      <c r="A27" s="69" t="s">
        <v>470</v>
      </c>
      <c r="B27" s="58" t="s">
        <v>471</v>
      </c>
      <c r="C27" s="58">
        <v>1</v>
      </c>
      <c r="D27" s="7" t="s">
        <v>472</v>
      </c>
      <c r="E27" s="7" t="s">
        <v>355</v>
      </c>
      <c r="F27" s="7" t="s">
        <v>356</v>
      </c>
      <c r="G27" s="9"/>
      <c r="H27" s="7" t="s">
        <v>473</v>
      </c>
      <c r="I27" s="7"/>
    </row>
    <row r="28" spans="1:9" x14ac:dyDescent="0.25">
      <c r="A28" s="70"/>
      <c r="B28" s="59"/>
      <c r="C28" s="59"/>
      <c r="D28" s="7" t="s">
        <v>474</v>
      </c>
      <c r="E28" s="7" t="s">
        <v>355</v>
      </c>
      <c r="F28" s="7" t="s">
        <v>356</v>
      </c>
      <c r="G28" s="8" t="s">
        <v>379</v>
      </c>
      <c r="H28" s="7" t="s">
        <v>475</v>
      </c>
      <c r="I28" s="7"/>
    </row>
    <row r="29" spans="1:9" x14ac:dyDescent="0.25">
      <c r="A29" s="70"/>
      <c r="B29" s="59"/>
      <c r="C29" s="59"/>
      <c r="D29" s="7" t="s">
        <v>476</v>
      </c>
      <c r="E29" s="7" t="s">
        <v>355</v>
      </c>
      <c r="F29" s="7" t="s">
        <v>356</v>
      </c>
      <c r="G29" s="8" t="s">
        <v>379</v>
      </c>
      <c r="H29" s="7" t="s">
        <v>477</v>
      </c>
      <c r="I29" s="7"/>
    </row>
    <row r="30" spans="1:9" x14ac:dyDescent="0.25">
      <c r="A30" s="71"/>
      <c r="B30" s="60"/>
      <c r="C30" s="60"/>
      <c r="D30" s="7" t="s">
        <v>478</v>
      </c>
      <c r="E30" s="7" t="s">
        <v>355</v>
      </c>
      <c r="F30" s="7" t="s">
        <v>356</v>
      </c>
      <c r="G30" s="8" t="s">
        <v>379</v>
      </c>
      <c r="H30" s="7" t="s">
        <v>479</v>
      </c>
      <c r="I30" s="7"/>
    </row>
    <row r="31" spans="1:9" x14ac:dyDescent="0.25">
      <c r="A31" s="8" t="s">
        <v>480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481</v>
      </c>
      <c r="I31" s="7"/>
    </row>
  </sheetData>
  <mergeCells count="18">
    <mergeCell ref="A23:A24"/>
    <mergeCell ref="B23:B24"/>
    <mergeCell ref="C23:C24"/>
    <mergeCell ref="A27:A30"/>
    <mergeCell ref="B27:B30"/>
    <mergeCell ref="C27:C30"/>
    <mergeCell ref="A12:A14"/>
    <mergeCell ref="B12:B14"/>
    <mergeCell ref="C12:C14"/>
    <mergeCell ref="A21:A22"/>
    <mergeCell ref="B21:B22"/>
    <mergeCell ref="C21:C22"/>
    <mergeCell ref="A2:A8"/>
    <mergeCell ref="B2:B8"/>
    <mergeCell ref="C2:C8"/>
    <mergeCell ref="A9:A11"/>
    <mergeCell ref="B9:B11"/>
    <mergeCell ref="C9:C11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23"/>
  <sheetViews>
    <sheetView workbookViewId="0">
      <selection activeCell="B22" sqref="B2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352</v>
      </c>
      <c r="B2" s="61" t="s">
        <v>429</v>
      </c>
      <c r="C2" s="61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61"/>
      <c r="B3" s="61"/>
      <c r="C3" s="61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61"/>
      <c r="B4" s="61"/>
      <c r="C4" s="61"/>
      <c r="D4" s="7" t="s">
        <v>364</v>
      </c>
      <c r="E4" s="7" t="s">
        <v>355</v>
      </c>
      <c r="F4" s="7" t="s">
        <v>356</v>
      </c>
      <c r="G4" s="8" t="s">
        <v>357</v>
      </c>
      <c r="H4" s="7" t="s">
        <v>365</v>
      </c>
      <c r="I4" s="7"/>
    </row>
    <row r="5" spans="1:9" x14ac:dyDescent="0.25">
      <c r="A5" s="61"/>
      <c r="B5" s="61"/>
      <c r="C5" s="61"/>
      <c r="D5" s="7" t="s">
        <v>430</v>
      </c>
      <c r="E5" s="7" t="s">
        <v>355</v>
      </c>
      <c r="F5" s="7" t="s">
        <v>356</v>
      </c>
      <c r="G5" s="8" t="s">
        <v>402</v>
      </c>
      <c r="H5" s="7" t="s">
        <v>431</v>
      </c>
      <c r="I5" s="7"/>
    </row>
    <row r="6" spans="1:9" x14ac:dyDescent="0.25">
      <c r="A6" s="61"/>
      <c r="B6" s="61"/>
      <c r="C6" s="61"/>
      <c r="D6" s="7" t="s">
        <v>367</v>
      </c>
      <c r="E6" s="7" t="s">
        <v>368</v>
      </c>
      <c r="F6" s="7" t="s">
        <v>432</v>
      </c>
      <c r="G6" s="8" t="s">
        <v>402</v>
      </c>
      <c r="H6" s="7" t="s">
        <v>433</v>
      </c>
      <c r="I6" s="7"/>
    </row>
    <row r="7" spans="1:9" x14ac:dyDescent="0.25">
      <c r="A7" s="61"/>
      <c r="B7" s="61"/>
      <c r="C7" s="61"/>
      <c r="D7" s="7" t="s">
        <v>434</v>
      </c>
      <c r="E7" s="7" t="s">
        <v>368</v>
      </c>
      <c r="F7" s="7" t="s">
        <v>356</v>
      </c>
      <c r="G7" s="8" t="s">
        <v>402</v>
      </c>
      <c r="H7" s="7" t="s">
        <v>435</v>
      </c>
      <c r="I7" s="7"/>
    </row>
    <row r="8" spans="1:9" x14ac:dyDescent="0.25">
      <c r="A8" s="61"/>
      <c r="B8" s="61"/>
      <c r="C8" s="61"/>
      <c r="D8" s="7" t="s">
        <v>436</v>
      </c>
      <c r="E8" s="7" t="s">
        <v>368</v>
      </c>
      <c r="F8" s="7" t="s">
        <v>356</v>
      </c>
      <c r="G8" s="8" t="s">
        <v>357</v>
      </c>
      <c r="H8" s="7" t="s">
        <v>437</v>
      </c>
      <c r="I8" s="7"/>
    </row>
    <row r="9" spans="1:9" x14ac:dyDescent="0.25">
      <c r="A9" s="19" t="s">
        <v>438</v>
      </c>
      <c r="B9" s="19" t="s">
        <v>429</v>
      </c>
      <c r="C9" s="19">
        <v>1</v>
      </c>
      <c r="D9" s="18" t="s">
        <v>367</v>
      </c>
      <c r="E9" s="18" t="s">
        <v>368</v>
      </c>
      <c r="F9" s="18" t="s">
        <v>439</v>
      </c>
      <c r="G9" s="19" t="s">
        <v>402</v>
      </c>
      <c r="H9" s="18" t="s">
        <v>440</v>
      </c>
      <c r="I9" s="18" t="s">
        <v>441</v>
      </c>
    </row>
    <row r="10" spans="1:9" x14ac:dyDescent="0.25">
      <c r="A10" s="19" t="s">
        <v>438</v>
      </c>
      <c r="B10" s="19" t="s">
        <v>429</v>
      </c>
      <c r="C10" s="19">
        <v>2</v>
      </c>
      <c r="D10" s="18" t="s">
        <v>367</v>
      </c>
      <c r="E10" s="18" t="s">
        <v>368</v>
      </c>
      <c r="F10" s="18" t="s">
        <v>439</v>
      </c>
      <c r="G10" s="19" t="s">
        <v>402</v>
      </c>
      <c r="H10" s="18" t="s">
        <v>442</v>
      </c>
      <c r="I10" s="18" t="s">
        <v>441</v>
      </c>
    </row>
    <row r="11" spans="1:9" x14ac:dyDescent="0.25">
      <c r="A11" s="19" t="s">
        <v>438</v>
      </c>
      <c r="B11" s="19" t="s">
        <v>429</v>
      </c>
      <c r="C11" s="19">
        <v>3</v>
      </c>
      <c r="D11" s="18" t="s">
        <v>367</v>
      </c>
      <c r="E11" s="18" t="s">
        <v>368</v>
      </c>
      <c r="F11" s="18" t="s">
        <v>439</v>
      </c>
      <c r="G11" s="19" t="s">
        <v>402</v>
      </c>
      <c r="H11" s="18" t="s">
        <v>443</v>
      </c>
      <c r="I11" s="18" t="s">
        <v>441</v>
      </c>
    </row>
    <row r="12" spans="1:9" x14ac:dyDescent="0.25">
      <c r="A12" s="61" t="s">
        <v>444</v>
      </c>
      <c r="B12" s="61" t="s">
        <v>445</v>
      </c>
      <c r="C12" s="61">
        <v>1</v>
      </c>
      <c r="D12" s="7" t="s">
        <v>446</v>
      </c>
      <c r="E12" s="7" t="s">
        <v>355</v>
      </c>
      <c r="F12" s="7" t="s">
        <v>356</v>
      </c>
      <c r="G12" s="8" t="s">
        <v>357</v>
      </c>
      <c r="H12" s="7" t="s">
        <v>447</v>
      </c>
      <c r="I12" s="7"/>
    </row>
    <row r="13" spans="1:9" x14ac:dyDescent="0.25">
      <c r="A13" s="61"/>
      <c r="B13" s="61"/>
      <c r="C13" s="61"/>
      <c r="D13" s="7" t="s">
        <v>448</v>
      </c>
      <c r="E13" s="7" t="s">
        <v>355</v>
      </c>
      <c r="F13" s="7" t="s">
        <v>356</v>
      </c>
      <c r="G13" s="8" t="s">
        <v>402</v>
      </c>
      <c r="H13" s="7" t="s">
        <v>449</v>
      </c>
      <c r="I13" s="7"/>
    </row>
    <row r="14" spans="1:9" x14ac:dyDescent="0.25">
      <c r="A14" s="61"/>
      <c r="B14" s="61"/>
      <c r="C14" s="61"/>
      <c r="D14" s="7" t="s">
        <v>450</v>
      </c>
      <c r="E14" s="7" t="s">
        <v>355</v>
      </c>
      <c r="F14" s="7" t="s">
        <v>356</v>
      </c>
      <c r="G14" s="8" t="s">
        <v>402</v>
      </c>
      <c r="H14" s="7" t="s">
        <v>451</v>
      </c>
      <c r="I14" s="7"/>
    </row>
    <row r="15" spans="1:9" x14ac:dyDescent="0.25">
      <c r="A15" s="61" t="s">
        <v>370</v>
      </c>
      <c r="B15" s="61" t="s">
        <v>371</v>
      </c>
      <c r="C15" s="61">
        <v>1</v>
      </c>
      <c r="D15" s="7" t="s">
        <v>452</v>
      </c>
      <c r="E15" s="7" t="s">
        <v>453</v>
      </c>
      <c r="F15" s="7" t="s">
        <v>356</v>
      </c>
      <c r="G15" s="8" t="s">
        <v>357</v>
      </c>
      <c r="H15" s="7" t="s">
        <v>454</v>
      </c>
      <c r="I15" s="7"/>
    </row>
    <row r="16" spans="1:9" x14ac:dyDescent="0.25">
      <c r="A16" s="61"/>
      <c r="B16" s="61"/>
      <c r="C16" s="61"/>
      <c r="D16" s="7" t="s">
        <v>455</v>
      </c>
      <c r="E16" s="7" t="s">
        <v>355</v>
      </c>
      <c r="F16" s="7" t="s">
        <v>356</v>
      </c>
      <c r="G16" s="8" t="s">
        <v>357</v>
      </c>
      <c r="H16" s="7" t="s">
        <v>456</v>
      </c>
      <c r="I16" s="7"/>
    </row>
    <row r="17" spans="1:9" x14ac:dyDescent="0.25">
      <c r="A17" s="61"/>
      <c r="B17" s="61"/>
      <c r="C17" s="61"/>
      <c r="D17" s="7" t="s">
        <v>372</v>
      </c>
      <c r="E17" s="7" t="s">
        <v>355</v>
      </c>
      <c r="F17" s="7" t="s">
        <v>356</v>
      </c>
      <c r="G17" s="8" t="s">
        <v>357</v>
      </c>
      <c r="H17" s="7" t="s">
        <v>373</v>
      </c>
      <c r="I17" s="7"/>
    </row>
    <row r="18" spans="1:9" x14ac:dyDescent="0.25">
      <c r="A18" s="10" t="s">
        <v>375</v>
      </c>
      <c r="B18" s="8" t="s">
        <v>376</v>
      </c>
      <c r="C18" s="8">
        <v>1</v>
      </c>
      <c r="D18" s="7" t="s">
        <v>377</v>
      </c>
      <c r="E18" s="7" t="s">
        <v>355</v>
      </c>
      <c r="F18" s="7" t="s">
        <v>356</v>
      </c>
      <c r="G18" s="8" t="s">
        <v>402</v>
      </c>
      <c r="H18" s="7" t="s">
        <v>457</v>
      </c>
      <c r="I18" s="7"/>
    </row>
    <row r="19" spans="1:9" x14ac:dyDescent="0.25">
      <c r="A19" s="10" t="s">
        <v>375</v>
      </c>
      <c r="B19" s="8" t="s">
        <v>376</v>
      </c>
      <c r="C19" s="8">
        <v>2</v>
      </c>
      <c r="D19" s="7" t="s">
        <v>377</v>
      </c>
      <c r="E19" s="7" t="s">
        <v>355</v>
      </c>
      <c r="F19" s="7" t="s">
        <v>356</v>
      </c>
      <c r="G19" s="8" t="s">
        <v>402</v>
      </c>
      <c r="H19" s="7" t="s">
        <v>458</v>
      </c>
      <c r="I19" s="7"/>
    </row>
    <row r="20" spans="1:9" x14ac:dyDescent="0.25">
      <c r="A20" s="10" t="s">
        <v>375</v>
      </c>
      <c r="B20" s="8" t="s">
        <v>376</v>
      </c>
      <c r="C20" s="8">
        <v>3</v>
      </c>
      <c r="D20" s="7" t="s">
        <v>377</v>
      </c>
      <c r="E20" s="7" t="s">
        <v>355</v>
      </c>
      <c r="F20" s="7" t="s">
        <v>356</v>
      </c>
      <c r="G20" s="8" t="s">
        <v>357</v>
      </c>
      <c r="H20" s="7" t="s">
        <v>459</v>
      </c>
      <c r="I20" s="7"/>
    </row>
    <row r="21" spans="1:9" x14ac:dyDescent="0.25">
      <c r="A21" s="10" t="s">
        <v>460</v>
      </c>
      <c r="B21" s="8" t="s">
        <v>376</v>
      </c>
      <c r="C21" s="8">
        <v>1</v>
      </c>
      <c r="D21" s="7" t="s">
        <v>377</v>
      </c>
      <c r="E21" s="7" t="s">
        <v>355</v>
      </c>
      <c r="F21" s="7" t="s">
        <v>356</v>
      </c>
      <c r="G21" s="8" t="s">
        <v>402</v>
      </c>
      <c r="H21" s="7" t="s">
        <v>461</v>
      </c>
      <c r="I21" s="7"/>
    </row>
    <row r="22" spans="1:9" x14ac:dyDescent="0.25">
      <c r="A22" s="10" t="s">
        <v>460</v>
      </c>
      <c r="B22" s="8" t="s">
        <v>376</v>
      </c>
      <c r="C22" s="8">
        <v>2</v>
      </c>
      <c r="D22" s="7" t="s">
        <v>377</v>
      </c>
      <c r="E22" s="7" t="s">
        <v>355</v>
      </c>
      <c r="F22" s="7" t="s">
        <v>356</v>
      </c>
      <c r="G22" s="8" t="s">
        <v>402</v>
      </c>
      <c r="H22" s="7" t="s">
        <v>462</v>
      </c>
      <c r="I22" s="7"/>
    </row>
    <row r="23" spans="1:9" x14ac:dyDescent="0.25">
      <c r="A23" s="10" t="s">
        <v>460</v>
      </c>
      <c r="B23" s="8" t="s">
        <v>376</v>
      </c>
      <c r="C23" s="8">
        <v>3</v>
      </c>
      <c r="D23" s="7" t="s">
        <v>377</v>
      </c>
      <c r="E23" s="7" t="s">
        <v>355</v>
      </c>
      <c r="F23" s="7" t="s">
        <v>356</v>
      </c>
      <c r="G23" s="8" t="s">
        <v>357</v>
      </c>
      <c r="H23" s="7" t="s">
        <v>463</v>
      </c>
      <c r="I23" s="7"/>
    </row>
  </sheetData>
  <mergeCells count="9">
    <mergeCell ref="A15:A17"/>
    <mergeCell ref="B15:B17"/>
    <mergeCell ref="C15:C17"/>
    <mergeCell ref="A2:A8"/>
    <mergeCell ref="B2:B8"/>
    <mergeCell ref="C2:C8"/>
    <mergeCell ref="A12:A14"/>
    <mergeCell ref="B12:B14"/>
    <mergeCell ref="C12:C14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24:A1048576" xr:uid="{41F6749D-1779-4142-8399-D30B9EF33466}">
      <formula1>0</formula1>
      <formula2>8</formula2>
    </dataValidation>
    <dataValidation type="list" allowBlank="1" showInputMessage="1" showErrorMessage="1" sqref="G2:G23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8"/>
  <sheetViews>
    <sheetView workbookViewId="0">
      <selection activeCell="A2" sqref="A2:A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2" t="s">
        <v>423</v>
      </c>
      <c r="B2" s="72" t="s">
        <v>424</v>
      </c>
      <c r="C2" s="72">
        <v>1</v>
      </c>
      <c r="D2" s="75" t="s">
        <v>425</v>
      </c>
      <c r="E2" s="18" t="s">
        <v>401</v>
      </c>
      <c r="F2" s="18" t="s">
        <v>356</v>
      </c>
      <c r="G2" s="19" t="s">
        <v>402</v>
      </c>
      <c r="H2" s="18" t="s">
        <v>426</v>
      </c>
      <c r="I2" s="18" t="s">
        <v>427</v>
      </c>
    </row>
    <row r="3" spans="1:9" x14ac:dyDescent="0.25">
      <c r="A3" s="73"/>
      <c r="B3" s="73"/>
      <c r="C3" s="73"/>
      <c r="D3" s="76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3"/>
      <c r="B4" s="73"/>
      <c r="C4" s="73"/>
      <c r="D4" s="76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4"/>
      <c r="B5" s="74"/>
      <c r="C5" s="74"/>
      <c r="D5" s="77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61" t="s">
        <v>398</v>
      </c>
      <c r="B6" s="61" t="s">
        <v>399</v>
      </c>
      <c r="C6" s="61">
        <v>1</v>
      </c>
      <c r="D6" s="7" t="s">
        <v>400</v>
      </c>
      <c r="E6" s="7" t="s">
        <v>401</v>
      </c>
      <c r="F6" s="7" t="s">
        <v>356</v>
      </c>
      <c r="G6" s="8" t="s">
        <v>402</v>
      </c>
      <c r="H6" s="7" t="s">
        <v>403</v>
      </c>
      <c r="I6" s="7"/>
    </row>
    <row r="7" spans="1:9" x14ac:dyDescent="0.25">
      <c r="A7" s="61"/>
      <c r="B7" s="61"/>
      <c r="C7" s="61"/>
      <c r="D7" s="7" t="s">
        <v>404</v>
      </c>
      <c r="E7" s="7" t="s">
        <v>401</v>
      </c>
      <c r="F7" s="7" t="s">
        <v>356</v>
      </c>
      <c r="G7" s="8" t="s">
        <v>402</v>
      </c>
      <c r="H7" s="7" t="s">
        <v>405</v>
      </c>
      <c r="I7" s="7"/>
    </row>
    <row r="8" spans="1:9" x14ac:dyDescent="0.25">
      <c r="A8" s="8" t="s">
        <v>406</v>
      </c>
      <c r="B8" s="8" t="s">
        <v>407</v>
      </c>
      <c r="C8" s="8">
        <v>1</v>
      </c>
      <c r="D8" s="17" t="s">
        <v>408</v>
      </c>
      <c r="E8" s="7" t="s">
        <v>401</v>
      </c>
      <c r="F8" s="7" t="s">
        <v>356</v>
      </c>
      <c r="G8" s="8" t="s">
        <v>402</v>
      </c>
      <c r="H8" s="7" t="s">
        <v>409</v>
      </c>
      <c r="I8" s="7"/>
    </row>
  </sheetData>
  <mergeCells count="7">
    <mergeCell ref="A2:A5"/>
    <mergeCell ref="B2:B5"/>
    <mergeCell ref="C2:C5"/>
    <mergeCell ref="D2:D5"/>
    <mergeCell ref="A6:A7"/>
    <mergeCell ref="B6:B7"/>
    <mergeCell ref="C6:C7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9:A1048576" xr:uid="{3AC03DF9-B85A-41C3-8DBE-68A3C4C252A5}">
      <formula1>0</formula1>
      <formula2>8</formula2>
    </dataValidation>
    <dataValidation type="list" allowBlank="1" showInputMessage="1" showErrorMessage="1" sqref="G2:G8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1" t="s">
        <v>398</v>
      </c>
      <c r="B2" s="61" t="s">
        <v>399</v>
      </c>
      <c r="C2" s="61">
        <v>1</v>
      </c>
      <c r="D2" s="7" t="s">
        <v>400</v>
      </c>
      <c r="E2" s="7" t="s">
        <v>401</v>
      </c>
      <c r="F2" s="7" t="s">
        <v>356</v>
      </c>
      <c r="G2" s="8" t="s">
        <v>402</v>
      </c>
      <c r="H2" s="7" t="s">
        <v>403</v>
      </c>
      <c r="I2" s="7"/>
    </row>
    <row r="3" spans="1:9" x14ac:dyDescent="0.25">
      <c r="A3" s="61"/>
      <c r="B3" s="61"/>
      <c r="C3" s="61"/>
      <c r="D3" s="7" t="s">
        <v>404</v>
      </c>
      <c r="E3" s="7" t="s">
        <v>401</v>
      </c>
      <c r="F3" s="7" t="s">
        <v>356</v>
      </c>
      <c r="G3" s="8" t="s">
        <v>402</v>
      </c>
      <c r="H3" s="7" t="s">
        <v>405</v>
      </c>
      <c r="I3" s="7"/>
    </row>
    <row r="4" spans="1:9" x14ac:dyDescent="0.25">
      <c r="A4" s="8" t="s">
        <v>406</v>
      </c>
      <c r="B4" s="8" t="s">
        <v>407</v>
      </c>
      <c r="C4" s="8">
        <v>1</v>
      </c>
      <c r="D4" s="17" t="s">
        <v>408</v>
      </c>
      <c r="E4" s="7" t="s">
        <v>401</v>
      </c>
      <c r="F4" s="7" t="s">
        <v>356</v>
      </c>
      <c r="G4" s="8" t="s">
        <v>402</v>
      </c>
      <c r="H4" s="7" t="s">
        <v>409</v>
      </c>
      <c r="I4" s="7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8" t="s">
        <v>352</v>
      </c>
      <c r="B2" s="78" t="s">
        <v>353</v>
      </c>
      <c r="C2" s="78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14"/>
    </row>
    <row r="3" spans="1:9" x14ac:dyDescent="0.25">
      <c r="A3" s="79"/>
      <c r="B3" s="79"/>
      <c r="C3" s="79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14"/>
    </row>
    <row r="4" spans="1:9" x14ac:dyDescent="0.25">
      <c r="A4" s="79"/>
      <c r="B4" s="79"/>
      <c r="C4" s="79"/>
      <c r="D4" s="14" t="s">
        <v>361</v>
      </c>
      <c r="E4" s="14" t="s">
        <v>355</v>
      </c>
      <c r="F4" s="14" t="s">
        <v>362</v>
      </c>
      <c r="G4" s="15"/>
      <c r="H4" s="14" t="s">
        <v>363</v>
      </c>
      <c r="I4" s="14"/>
    </row>
    <row r="5" spans="1:9" x14ac:dyDescent="0.25">
      <c r="A5" s="79"/>
      <c r="B5" s="79"/>
      <c r="C5" s="79"/>
      <c r="D5" s="14" t="s">
        <v>364</v>
      </c>
      <c r="E5" s="14" t="s">
        <v>355</v>
      </c>
      <c r="F5" s="14" t="s">
        <v>356</v>
      </c>
      <c r="G5" s="15" t="s">
        <v>379</v>
      </c>
      <c r="H5" s="14" t="s">
        <v>365</v>
      </c>
      <c r="I5" s="14"/>
    </row>
    <row r="6" spans="1:9" x14ac:dyDescent="0.25">
      <c r="A6" s="80"/>
      <c r="B6" s="80"/>
      <c r="C6" s="80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369</v>
      </c>
      <c r="I6" s="14"/>
    </row>
    <row r="7" spans="1:9" x14ac:dyDescent="0.25">
      <c r="A7" s="13" t="s">
        <v>370</v>
      </c>
      <c r="B7" s="13" t="s">
        <v>371</v>
      </c>
      <c r="C7" s="13">
        <v>1</v>
      </c>
      <c r="D7" s="14" t="s">
        <v>372</v>
      </c>
      <c r="E7" s="14" t="s">
        <v>355</v>
      </c>
      <c r="F7" s="14" t="s">
        <v>356</v>
      </c>
      <c r="G7" s="15" t="s">
        <v>379</v>
      </c>
      <c r="H7" s="14" t="s">
        <v>373</v>
      </c>
      <c r="I7" s="14"/>
    </row>
    <row r="8" spans="1:9" x14ac:dyDescent="0.25">
      <c r="A8" s="16" t="s">
        <v>375</v>
      </c>
      <c r="B8" s="15" t="s">
        <v>376</v>
      </c>
      <c r="C8" s="15">
        <v>1</v>
      </c>
      <c r="D8" s="14" t="s">
        <v>377</v>
      </c>
      <c r="E8" s="14" t="s">
        <v>355</v>
      </c>
      <c r="F8" s="14" t="s">
        <v>356</v>
      </c>
      <c r="G8" s="15" t="s">
        <v>379</v>
      </c>
      <c r="H8" s="14" t="s">
        <v>378</v>
      </c>
      <c r="I8" s="14"/>
    </row>
    <row r="9" spans="1:9" x14ac:dyDescent="0.25">
      <c r="A9" s="58" t="s">
        <v>381</v>
      </c>
      <c r="B9" s="58" t="s">
        <v>382</v>
      </c>
      <c r="C9" s="58">
        <v>1</v>
      </c>
      <c r="D9" s="7" t="s">
        <v>367</v>
      </c>
      <c r="E9" s="7" t="s">
        <v>368</v>
      </c>
      <c r="F9" s="7" t="s">
        <v>383</v>
      </c>
      <c r="G9" s="8" t="s">
        <v>357</v>
      </c>
      <c r="H9" s="7" t="s">
        <v>384</v>
      </c>
      <c r="I9" s="7"/>
    </row>
    <row r="10" spans="1:9" x14ac:dyDescent="0.25">
      <c r="A10" s="60"/>
      <c r="B10" s="60"/>
      <c r="C10" s="60"/>
      <c r="D10" s="7" t="s">
        <v>385</v>
      </c>
      <c r="E10" s="7" t="s">
        <v>368</v>
      </c>
      <c r="F10" s="7" t="s">
        <v>383</v>
      </c>
      <c r="G10" s="8" t="s">
        <v>379</v>
      </c>
      <c r="H10" s="7" t="s">
        <v>386</v>
      </c>
      <c r="I10" s="7"/>
    </row>
    <row r="11" spans="1:9" x14ac:dyDescent="0.25">
      <c r="A11" s="58" t="s">
        <v>387</v>
      </c>
      <c r="B11" s="58" t="s">
        <v>388</v>
      </c>
      <c r="C11" s="58">
        <v>1</v>
      </c>
      <c r="D11" s="7" t="s">
        <v>389</v>
      </c>
      <c r="E11" s="7" t="s">
        <v>355</v>
      </c>
      <c r="F11" s="7" t="s">
        <v>356</v>
      </c>
      <c r="G11" s="8" t="s">
        <v>357</v>
      </c>
      <c r="H11" s="7" t="s">
        <v>390</v>
      </c>
      <c r="I11" s="7"/>
    </row>
    <row r="12" spans="1:9" x14ac:dyDescent="0.25">
      <c r="A12" s="60"/>
      <c r="B12" s="60"/>
      <c r="C12" s="60"/>
      <c r="D12" s="7" t="s">
        <v>391</v>
      </c>
      <c r="E12" s="7" t="s">
        <v>355</v>
      </c>
      <c r="F12" s="7" t="s">
        <v>356</v>
      </c>
      <c r="G12" s="8" t="s">
        <v>357</v>
      </c>
      <c r="H12" s="7" t="s">
        <v>392</v>
      </c>
      <c r="I12" s="7"/>
    </row>
    <row r="13" spans="1:9" x14ac:dyDescent="0.25">
      <c r="A13" s="6" t="s">
        <v>393</v>
      </c>
      <c r="B13" s="6" t="s">
        <v>388</v>
      </c>
      <c r="C13" s="6">
        <v>1</v>
      </c>
      <c r="D13" s="7" t="s">
        <v>389</v>
      </c>
      <c r="E13" s="7" t="s">
        <v>355</v>
      </c>
      <c r="F13" s="7" t="s">
        <v>356</v>
      </c>
      <c r="G13" s="8" t="s">
        <v>394</v>
      </c>
      <c r="H13" s="7" t="s">
        <v>395</v>
      </c>
      <c r="I13" s="7"/>
    </row>
    <row r="14" spans="1:9" x14ac:dyDescent="0.25">
      <c r="A14" s="10" t="s">
        <v>396</v>
      </c>
      <c r="B14" s="8" t="s">
        <v>376</v>
      </c>
      <c r="C14" s="8">
        <v>1</v>
      </c>
      <c r="D14" s="7" t="s">
        <v>377</v>
      </c>
      <c r="E14" s="7" t="s">
        <v>355</v>
      </c>
      <c r="F14" s="7" t="s">
        <v>356</v>
      </c>
      <c r="G14" s="8" t="s">
        <v>379</v>
      </c>
      <c r="H14" s="7" t="s">
        <v>397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352</v>
      </c>
      <c r="B2" s="58" t="s">
        <v>353</v>
      </c>
      <c r="C2" s="58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9"/>
      <c r="B3" s="59"/>
      <c r="C3" s="59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9"/>
      <c r="B4" s="59"/>
      <c r="C4" s="59"/>
      <c r="D4" s="7" t="s">
        <v>361</v>
      </c>
      <c r="E4" s="7" t="s">
        <v>355</v>
      </c>
      <c r="F4" s="7" t="s">
        <v>362</v>
      </c>
      <c r="G4" s="8"/>
      <c r="H4" s="7" t="s">
        <v>363</v>
      </c>
      <c r="I4" s="7"/>
    </row>
    <row r="5" spans="1:9" x14ac:dyDescent="0.25">
      <c r="A5" s="59"/>
      <c r="B5" s="59"/>
      <c r="C5" s="59"/>
      <c r="D5" s="7" t="s">
        <v>364</v>
      </c>
      <c r="E5" s="7" t="s">
        <v>355</v>
      </c>
      <c r="F5" s="7" t="s">
        <v>356</v>
      </c>
      <c r="G5" s="8" t="s">
        <v>357</v>
      </c>
      <c r="H5" s="7" t="s">
        <v>365</v>
      </c>
      <c r="I5" s="7" t="s">
        <v>366</v>
      </c>
    </row>
    <row r="6" spans="1:9" x14ac:dyDescent="0.25">
      <c r="A6" s="60"/>
      <c r="B6" s="60"/>
      <c r="C6" s="60"/>
      <c r="D6" s="7" t="s">
        <v>367</v>
      </c>
      <c r="E6" s="7" t="s">
        <v>368</v>
      </c>
      <c r="F6" s="7" t="s">
        <v>356</v>
      </c>
      <c r="G6" s="8" t="s">
        <v>357</v>
      </c>
      <c r="H6" s="7" t="s">
        <v>369</v>
      </c>
      <c r="I6" s="7"/>
    </row>
    <row r="7" spans="1:9" x14ac:dyDescent="0.25">
      <c r="A7" s="6" t="s">
        <v>370</v>
      </c>
      <c r="B7" s="6" t="s">
        <v>371</v>
      </c>
      <c r="C7" s="6">
        <v>1</v>
      </c>
      <c r="D7" s="7" t="s">
        <v>372</v>
      </c>
      <c r="E7" s="7" t="s">
        <v>355</v>
      </c>
      <c r="F7" s="7" t="s">
        <v>356</v>
      </c>
      <c r="G7" s="8" t="s">
        <v>357</v>
      </c>
      <c r="H7" s="7" t="s">
        <v>373</v>
      </c>
      <c r="I7" s="7" t="s">
        <v>374</v>
      </c>
    </row>
    <row r="8" spans="1:9" x14ac:dyDescent="0.25">
      <c r="A8" s="10" t="s">
        <v>375</v>
      </c>
      <c r="B8" s="8" t="s">
        <v>376</v>
      </c>
      <c r="C8" s="8">
        <v>1</v>
      </c>
      <c r="D8" s="7" t="s">
        <v>377</v>
      </c>
      <c r="E8" s="7" t="s">
        <v>355</v>
      </c>
      <c r="F8" s="7" t="s">
        <v>356</v>
      </c>
      <c r="G8" s="8" t="s">
        <v>357</v>
      </c>
      <c r="H8" s="7" t="s">
        <v>378</v>
      </c>
      <c r="I8" s="7" t="s">
        <v>374</v>
      </c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367</v>
      </c>
      <c r="E2" s="7" t="s">
        <v>368</v>
      </c>
      <c r="F2" s="7" t="s">
        <v>356</v>
      </c>
      <c r="G2" s="8" t="s">
        <v>379</v>
      </c>
      <c r="H2" s="7" t="s">
        <v>369</v>
      </c>
      <c r="I2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6" sqref="A6:A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8" t="s">
        <v>485</v>
      </c>
      <c r="B2" s="58" t="s">
        <v>486</v>
      </c>
      <c r="C2" s="58">
        <v>1</v>
      </c>
      <c r="D2" s="7" t="s">
        <v>487</v>
      </c>
      <c r="E2" s="7" t="s">
        <v>355</v>
      </c>
      <c r="F2" s="7" t="s">
        <v>356</v>
      </c>
      <c r="G2" s="8" t="s">
        <v>379</v>
      </c>
      <c r="H2" s="7" t="s">
        <v>1269</v>
      </c>
      <c r="I2" s="7"/>
    </row>
    <row r="3" spans="1:9" x14ac:dyDescent="0.25">
      <c r="A3" s="60"/>
      <c r="B3" s="60"/>
      <c r="C3" s="60"/>
      <c r="D3" s="7" t="s">
        <v>488</v>
      </c>
      <c r="E3" s="7" t="s">
        <v>489</v>
      </c>
      <c r="F3" s="7" t="s">
        <v>490</v>
      </c>
      <c r="G3" s="8" t="s">
        <v>491</v>
      </c>
      <c r="H3" s="7" t="s">
        <v>492</v>
      </c>
      <c r="I3" s="7"/>
    </row>
    <row r="4" spans="1:9" x14ac:dyDescent="0.25">
      <c r="A4" s="58" t="s">
        <v>493</v>
      </c>
      <c r="B4" s="58" t="s">
        <v>486</v>
      </c>
      <c r="C4" s="58">
        <v>1</v>
      </c>
      <c r="D4" s="7" t="s">
        <v>487</v>
      </c>
      <c r="E4" s="7" t="s">
        <v>355</v>
      </c>
      <c r="F4" s="7" t="s">
        <v>356</v>
      </c>
      <c r="G4" s="8" t="s">
        <v>379</v>
      </c>
      <c r="H4" s="7" t="s">
        <v>1268</v>
      </c>
      <c r="I4" s="7"/>
    </row>
    <row r="5" spans="1:9" x14ac:dyDescent="0.25">
      <c r="A5" s="60"/>
      <c r="B5" s="60"/>
      <c r="C5" s="60"/>
      <c r="D5" s="7" t="s">
        <v>488</v>
      </c>
      <c r="E5" s="7" t="s">
        <v>489</v>
      </c>
      <c r="F5" s="7" t="s">
        <v>490</v>
      </c>
      <c r="G5" s="8" t="s">
        <v>491</v>
      </c>
      <c r="H5" s="7" t="s">
        <v>494</v>
      </c>
      <c r="I5" s="7"/>
    </row>
    <row r="6" spans="1:9" x14ac:dyDescent="0.25">
      <c r="A6" s="58" t="s">
        <v>495</v>
      </c>
      <c r="B6" s="58" t="s">
        <v>486</v>
      </c>
      <c r="C6" s="58">
        <v>1</v>
      </c>
      <c r="D6" s="7" t="s">
        <v>487</v>
      </c>
      <c r="E6" s="7" t="s">
        <v>355</v>
      </c>
      <c r="F6" s="7" t="s">
        <v>356</v>
      </c>
      <c r="G6" s="8" t="s">
        <v>379</v>
      </c>
      <c r="H6" s="7" t="s">
        <v>1267</v>
      </c>
      <c r="I6" s="7"/>
    </row>
    <row r="7" spans="1:9" x14ac:dyDescent="0.25">
      <c r="A7" s="60"/>
      <c r="B7" s="60"/>
      <c r="C7" s="60"/>
      <c r="D7" s="7" t="s">
        <v>488</v>
      </c>
      <c r="E7" s="7" t="s">
        <v>489</v>
      </c>
      <c r="F7" s="7" t="s">
        <v>490</v>
      </c>
      <c r="G7" s="8" t="s">
        <v>491</v>
      </c>
      <c r="H7" s="7" t="s">
        <v>496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2" t="s">
        <v>423</v>
      </c>
      <c r="B2" s="72" t="s">
        <v>424</v>
      </c>
      <c r="C2" s="72">
        <v>1</v>
      </c>
      <c r="D2" s="75" t="s">
        <v>425</v>
      </c>
      <c r="E2" s="18" t="s">
        <v>401</v>
      </c>
      <c r="F2" s="18" t="s">
        <v>356</v>
      </c>
      <c r="G2" s="19" t="s">
        <v>379</v>
      </c>
      <c r="H2" s="18" t="s">
        <v>426</v>
      </c>
      <c r="I2" s="18" t="s">
        <v>427</v>
      </c>
    </row>
    <row r="3" spans="1:9" x14ac:dyDescent="0.25">
      <c r="A3" s="73"/>
      <c r="B3" s="73"/>
      <c r="C3" s="73"/>
      <c r="D3" s="76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3"/>
      <c r="B4" s="73"/>
      <c r="C4" s="73"/>
      <c r="D4" s="76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4"/>
      <c r="B5" s="74"/>
      <c r="C5" s="74"/>
      <c r="D5" s="77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19" t="s">
        <v>482</v>
      </c>
      <c r="B6" s="19" t="s">
        <v>388</v>
      </c>
      <c r="C6" s="19">
        <v>1</v>
      </c>
      <c r="D6" s="18" t="s">
        <v>391</v>
      </c>
      <c r="E6" s="18" t="s">
        <v>355</v>
      </c>
      <c r="F6" s="18" t="s">
        <v>356</v>
      </c>
      <c r="G6" s="19" t="s">
        <v>379</v>
      </c>
      <c r="H6" s="18" t="s">
        <v>483</v>
      </c>
      <c r="I6" s="18" t="s">
        <v>484</v>
      </c>
    </row>
    <row r="7" spans="1:9" x14ac:dyDescent="0.25">
      <c r="A7" s="15" t="s">
        <v>352</v>
      </c>
      <c r="B7" s="15" t="s">
        <v>429</v>
      </c>
      <c r="C7" s="15">
        <v>1</v>
      </c>
      <c r="D7" s="14" t="s">
        <v>367</v>
      </c>
      <c r="E7" s="14" t="s">
        <v>368</v>
      </c>
      <c r="F7" s="14" t="s">
        <v>356</v>
      </c>
      <c r="G7" s="15" t="s">
        <v>379</v>
      </c>
      <c r="H7" s="14" t="s">
        <v>433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8"/>
  <sheetViews>
    <sheetView topLeftCell="A19" workbookViewId="0">
      <selection activeCell="C29" sqref="B29:C29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930</v>
      </c>
      <c r="B1" s="20" t="s">
        <v>931</v>
      </c>
      <c r="C1" s="20" t="s">
        <v>932</v>
      </c>
      <c r="D1" s="20" t="s">
        <v>933</v>
      </c>
      <c r="E1" s="20" t="s">
        <v>342</v>
      </c>
    </row>
    <row r="2" spans="1:5" x14ac:dyDescent="0.25">
      <c r="A2" s="21" t="s">
        <v>660</v>
      </c>
      <c r="B2" s="21" t="s">
        <v>661</v>
      </c>
      <c r="C2" s="21" t="s">
        <v>662</v>
      </c>
      <c r="D2" s="21" t="s">
        <v>663</v>
      </c>
      <c r="E2" s="21" t="s">
        <v>664</v>
      </c>
    </row>
    <row r="3" spans="1:5" x14ac:dyDescent="0.25">
      <c r="A3" s="21" t="s">
        <v>660</v>
      </c>
      <c r="B3" s="21" t="s">
        <v>661</v>
      </c>
      <c r="C3" s="21" t="s">
        <v>665</v>
      </c>
      <c r="D3" s="21" t="s">
        <v>666</v>
      </c>
      <c r="E3" s="21" t="s">
        <v>667</v>
      </c>
    </row>
    <row r="4" spans="1:5" x14ac:dyDescent="0.25">
      <c r="A4" s="21" t="s">
        <v>660</v>
      </c>
      <c r="B4" s="21" t="s">
        <v>661</v>
      </c>
      <c r="C4" s="21" t="s">
        <v>668</v>
      </c>
      <c r="D4" s="21" t="s">
        <v>669</v>
      </c>
      <c r="E4" s="21" t="s">
        <v>670</v>
      </c>
    </row>
    <row r="5" spans="1:5" x14ac:dyDescent="0.25">
      <c r="A5" s="21" t="s">
        <v>660</v>
      </c>
      <c r="B5" s="21" t="s">
        <v>661</v>
      </c>
      <c r="C5" s="21" t="s">
        <v>671</v>
      </c>
      <c r="D5" s="21" t="s">
        <v>669</v>
      </c>
      <c r="E5" s="21" t="s">
        <v>672</v>
      </c>
    </row>
    <row r="6" spans="1:5" x14ac:dyDescent="0.25">
      <c r="A6" s="21" t="s">
        <v>660</v>
      </c>
      <c r="B6" s="21" t="s">
        <v>661</v>
      </c>
      <c r="C6" s="21" t="s">
        <v>673</v>
      </c>
      <c r="D6" s="21" t="s">
        <v>666</v>
      </c>
      <c r="E6" s="21" t="s">
        <v>674</v>
      </c>
    </row>
    <row r="7" spans="1:5" x14ac:dyDescent="0.25">
      <c r="A7" s="21" t="s">
        <v>660</v>
      </c>
      <c r="B7" s="21" t="s">
        <v>661</v>
      </c>
      <c r="C7" s="21" t="s">
        <v>675</v>
      </c>
      <c r="D7" s="21" t="s">
        <v>676</v>
      </c>
      <c r="E7" s="21" t="s">
        <v>677</v>
      </c>
    </row>
    <row r="8" spans="1:5" x14ac:dyDescent="0.25">
      <c r="A8" s="21" t="s">
        <v>660</v>
      </c>
      <c r="B8" s="21" t="s">
        <v>661</v>
      </c>
      <c r="C8" s="21" t="s">
        <v>678</v>
      </c>
      <c r="D8" s="21" t="s">
        <v>679</v>
      </c>
      <c r="E8" s="21" t="s">
        <v>680</v>
      </c>
    </row>
    <row r="9" spans="1:5" x14ac:dyDescent="0.25">
      <c r="A9" s="21" t="s">
        <v>660</v>
      </c>
      <c r="B9" s="21" t="s">
        <v>661</v>
      </c>
      <c r="C9" s="21" t="s">
        <v>681</v>
      </c>
      <c r="D9" s="21" t="s">
        <v>669</v>
      </c>
      <c r="E9" s="21" t="s">
        <v>682</v>
      </c>
    </row>
    <row r="10" spans="1:5" x14ac:dyDescent="0.25">
      <c r="A10" s="21" t="s">
        <v>660</v>
      </c>
      <c r="B10" s="21" t="s">
        <v>661</v>
      </c>
      <c r="C10" s="21" t="s">
        <v>385</v>
      </c>
      <c r="D10" s="21" t="s">
        <v>666</v>
      </c>
      <c r="E10" s="21" t="s">
        <v>683</v>
      </c>
    </row>
    <row r="11" spans="1:5" x14ac:dyDescent="0.25">
      <c r="A11" s="21" t="s">
        <v>684</v>
      </c>
      <c r="B11" s="21" t="s">
        <v>376</v>
      </c>
      <c r="C11" s="21" t="s">
        <v>662</v>
      </c>
      <c r="D11" s="21" t="s">
        <v>663</v>
      </c>
      <c r="E11" s="21" t="s">
        <v>664</v>
      </c>
    </row>
    <row r="12" spans="1:5" x14ac:dyDescent="0.25">
      <c r="A12" s="21" t="s">
        <v>684</v>
      </c>
      <c r="B12" s="21" t="s">
        <v>376</v>
      </c>
      <c r="C12" s="21" t="s">
        <v>377</v>
      </c>
      <c r="D12" s="21" t="s">
        <v>669</v>
      </c>
      <c r="E12" s="21" t="s">
        <v>685</v>
      </c>
    </row>
    <row r="13" spans="1:5" x14ac:dyDescent="0.25">
      <c r="A13" s="21" t="s">
        <v>686</v>
      </c>
      <c r="B13" s="21" t="s">
        <v>687</v>
      </c>
      <c r="C13" s="21" t="s">
        <v>662</v>
      </c>
      <c r="D13" s="21" t="s">
        <v>663</v>
      </c>
      <c r="E13" s="21" t="s">
        <v>664</v>
      </c>
    </row>
    <row r="14" spans="1:5" x14ac:dyDescent="0.25">
      <c r="A14" s="21" t="s">
        <v>686</v>
      </c>
      <c r="B14" s="21" t="s">
        <v>687</v>
      </c>
      <c r="C14" s="21" t="s">
        <v>665</v>
      </c>
      <c r="D14" s="21" t="s">
        <v>666</v>
      </c>
      <c r="E14" s="21" t="s">
        <v>667</v>
      </c>
    </row>
    <row r="15" spans="1:5" x14ac:dyDescent="0.25">
      <c r="A15" s="21" t="s">
        <v>686</v>
      </c>
      <c r="B15" s="21" t="s">
        <v>687</v>
      </c>
      <c r="C15" s="21" t="s">
        <v>688</v>
      </c>
      <c r="D15" s="21" t="s">
        <v>689</v>
      </c>
      <c r="E15" s="21" t="s">
        <v>690</v>
      </c>
    </row>
    <row r="16" spans="1:5" x14ac:dyDescent="0.25">
      <c r="A16" s="21" t="s">
        <v>686</v>
      </c>
      <c r="B16" s="21" t="s">
        <v>687</v>
      </c>
      <c r="C16" s="21" t="s">
        <v>691</v>
      </c>
      <c r="D16" s="21" t="s">
        <v>669</v>
      </c>
      <c r="E16" s="21" t="s">
        <v>692</v>
      </c>
    </row>
    <row r="17" spans="1:5" x14ac:dyDescent="0.25">
      <c r="A17" s="21" t="s">
        <v>693</v>
      </c>
      <c r="B17" s="21" t="s">
        <v>388</v>
      </c>
      <c r="C17" s="21" t="s">
        <v>662</v>
      </c>
      <c r="D17" s="21" t="s">
        <v>663</v>
      </c>
      <c r="E17" s="21" t="s">
        <v>664</v>
      </c>
    </row>
    <row r="18" spans="1:5" x14ac:dyDescent="0.25">
      <c r="A18" s="21" t="s">
        <v>693</v>
      </c>
      <c r="B18" s="21" t="s">
        <v>388</v>
      </c>
      <c r="C18" s="21" t="s">
        <v>391</v>
      </c>
      <c r="D18" s="21" t="s">
        <v>669</v>
      </c>
      <c r="E18" s="21" t="s">
        <v>694</v>
      </c>
    </row>
    <row r="19" spans="1:5" x14ac:dyDescent="0.25">
      <c r="A19" s="21" t="s">
        <v>693</v>
      </c>
      <c r="B19" s="21" t="s">
        <v>388</v>
      </c>
      <c r="C19" s="21" t="s">
        <v>389</v>
      </c>
      <c r="D19" s="21" t="s">
        <v>669</v>
      </c>
      <c r="E19" s="21" t="s">
        <v>695</v>
      </c>
    </row>
    <row r="20" spans="1:5" x14ac:dyDescent="0.25">
      <c r="A20" s="21" t="s">
        <v>696</v>
      </c>
      <c r="B20" s="21" t="s">
        <v>697</v>
      </c>
      <c r="C20" s="21" t="s">
        <v>662</v>
      </c>
      <c r="D20" s="21" t="s">
        <v>663</v>
      </c>
      <c r="E20" s="21" t="s">
        <v>664</v>
      </c>
    </row>
    <row r="21" spans="1:5" x14ac:dyDescent="0.25">
      <c r="A21" s="21" t="s">
        <v>696</v>
      </c>
      <c r="B21" s="21" t="s">
        <v>697</v>
      </c>
      <c r="C21" s="21" t="s">
        <v>698</v>
      </c>
      <c r="D21" s="21" t="s">
        <v>699</v>
      </c>
      <c r="E21" s="21" t="s">
        <v>700</v>
      </c>
    </row>
    <row r="22" spans="1:5" x14ac:dyDescent="0.25">
      <c r="A22" s="21" t="s">
        <v>696</v>
      </c>
      <c r="B22" s="21" t="s">
        <v>697</v>
      </c>
      <c r="C22" s="21" t="s">
        <v>701</v>
      </c>
      <c r="D22" s="21" t="s">
        <v>699</v>
      </c>
      <c r="E22" s="21" t="s">
        <v>702</v>
      </c>
    </row>
    <row r="23" spans="1:5" x14ac:dyDescent="0.25">
      <c r="A23" s="21" t="s">
        <v>696</v>
      </c>
      <c r="B23" s="21" t="s">
        <v>697</v>
      </c>
      <c r="C23" s="21" t="s">
        <v>703</v>
      </c>
      <c r="D23" s="21" t="s">
        <v>699</v>
      </c>
      <c r="E23" s="21" t="s">
        <v>704</v>
      </c>
    </row>
    <row r="24" spans="1:5" x14ac:dyDescent="0.25">
      <c r="A24" s="21" t="s">
        <v>696</v>
      </c>
      <c r="B24" s="21" t="s">
        <v>697</v>
      </c>
      <c r="C24" s="21" t="s">
        <v>705</v>
      </c>
      <c r="D24" s="21" t="s">
        <v>669</v>
      </c>
      <c r="E24" s="21" t="s">
        <v>706</v>
      </c>
    </row>
    <row r="25" spans="1:5" x14ac:dyDescent="0.25">
      <c r="A25" s="21" t="s">
        <v>707</v>
      </c>
      <c r="B25" s="21" t="s">
        <v>382</v>
      </c>
      <c r="C25" s="21" t="s">
        <v>662</v>
      </c>
      <c r="D25" s="21" t="s">
        <v>663</v>
      </c>
      <c r="E25" s="21" t="s">
        <v>664</v>
      </c>
    </row>
    <row r="26" spans="1:5" x14ac:dyDescent="0.25">
      <c r="A26" s="21" t="s">
        <v>707</v>
      </c>
      <c r="B26" s="21" t="s">
        <v>382</v>
      </c>
      <c r="C26" s="21" t="s">
        <v>367</v>
      </c>
      <c r="D26" s="21" t="s">
        <v>699</v>
      </c>
      <c r="E26" s="21" t="s">
        <v>708</v>
      </c>
    </row>
    <row r="27" spans="1:5" x14ac:dyDescent="0.25">
      <c r="A27" s="21" t="s">
        <v>707</v>
      </c>
      <c r="B27" s="21" t="s">
        <v>382</v>
      </c>
      <c r="C27" s="21" t="s">
        <v>385</v>
      </c>
      <c r="D27" s="21" t="s">
        <v>666</v>
      </c>
      <c r="E27" s="21" t="s">
        <v>683</v>
      </c>
    </row>
    <row r="28" spans="1:5" x14ac:dyDescent="0.25">
      <c r="A28" s="21" t="s">
        <v>709</v>
      </c>
      <c r="B28" s="21" t="s">
        <v>710</v>
      </c>
      <c r="C28" s="21" t="s">
        <v>662</v>
      </c>
      <c r="D28" s="21" t="s">
        <v>663</v>
      </c>
      <c r="E28" s="21" t="s">
        <v>664</v>
      </c>
    </row>
    <row r="29" spans="1:5" x14ac:dyDescent="0.25">
      <c r="A29" s="21" t="s">
        <v>709</v>
      </c>
      <c r="B29" s="21" t="s">
        <v>710</v>
      </c>
      <c r="C29" s="21" t="s">
        <v>711</v>
      </c>
      <c r="D29" s="21" t="s">
        <v>669</v>
      </c>
      <c r="E29" s="21" t="s">
        <v>1239</v>
      </c>
    </row>
    <row r="30" spans="1:5" x14ac:dyDescent="0.25">
      <c r="A30" s="21" t="s">
        <v>709</v>
      </c>
      <c r="B30" s="21" t="s">
        <v>710</v>
      </c>
      <c r="C30" s="21" t="s">
        <v>712</v>
      </c>
      <c r="D30" s="21" t="s">
        <v>669</v>
      </c>
      <c r="E30" s="21" t="s">
        <v>1240</v>
      </c>
    </row>
    <row r="31" spans="1:5" x14ac:dyDescent="0.25">
      <c r="A31" s="21" t="s">
        <v>709</v>
      </c>
      <c r="B31" s="21" t="s">
        <v>710</v>
      </c>
      <c r="C31" s="21" t="s">
        <v>713</v>
      </c>
      <c r="D31" s="21" t="s">
        <v>669</v>
      </c>
      <c r="E31" s="21" t="s">
        <v>1241</v>
      </c>
    </row>
    <row r="32" spans="1:5" x14ac:dyDescent="0.25">
      <c r="A32" s="21" t="s">
        <v>709</v>
      </c>
      <c r="B32" s="21" t="s">
        <v>710</v>
      </c>
      <c r="C32" s="21" t="s">
        <v>1242</v>
      </c>
      <c r="D32" s="21" t="s">
        <v>669</v>
      </c>
      <c r="E32" s="21" t="s">
        <v>1243</v>
      </c>
    </row>
    <row r="33" spans="1:5" x14ac:dyDescent="0.25">
      <c r="A33" s="21" t="s">
        <v>709</v>
      </c>
      <c r="B33" s="21" t="s">
        <v>710</v>
      </c>
      <c r="C33" s="21" t="s">
        <v>1244</v>
      </c>
      <c r="D33" s="21" t="s">
        <v>669</v>
      </c>
      <c r="E33" s="21" t="s">
        <v>1245</v>
      </c>
    </row>
    <row r="34" spans="1:5" x14ac:dyDescent="0.25">
      <c r="A34" s="21" t="s">
        <v>709</v>
      </c>
      <c r="B34" s="21" t="s">
        <v>710</v>
      </c>
      <c r="C34" s="21" t="s">
        <v>1246</v>
      </c>
      <c r="D34" s="21" t="s">
        <v>669</v>
      </c>
      <c r="E34" s="21" t="s">
        <v>1247</v>
      </c>
    </row>
    <row r="35" spans="1:5" x14ac:dyDescent="0.25">
      <c r="A35" s="21" t="s">
        <v>709</v>
      </c>
      <c r="B35" s="21" t="s">
        <v>710</v>
      </c>
      <c r="C35" s="21" t="s">
        <v>1248</v>
      </c>
      <c r="D35" s="21" t="s">
        <v>669</v>
      </c>
      <c r="E35" s="21" t="s">
        <v>1249</v>
      </c>
    </row>
    <row r="36" spans="1:5" x14ac:dyDescent="0.25">
      <c r="A36" s="21" t="s">
        <v>709</v>
      </c>
      <c r="B36" s="21" t="s">
        <v>710</v>
      </c>
      <c r="C36" s="21" t="s">
        <v>1250</v>
      </c>
      <c r="D36" s="21" t="s">
        <v>669</v>
      </c>
      <c r="E36" s="21" t="s">
        <v>1251</v>
      </c>
    </row>
    <row r="37" spans="1:5" x14ac:dyDescent="0.25">
      <c r="A37" s="21" t="s">
        <v>714</v>
      </c>
      <c r="B37" s="21" t="s">
        <v>715</v>
      </c>
      <c r="C37" s="21" t="s">
        <v>662</v>
      </c>
      <c r="D37" s="21" t="s">
        <v>663</v>
      </c>
      <c r="E37" s="21" t="s">
        <v>664</v>
      </c>
    </row>
    <row r="38" spans="1:5" x14ac:dyDescent="0.25">
      <c r="A38" s="21" t="s">
        <v>714</v>
      </c>
      <c r="B38" s="21" t="s">
        <v>715</v>
      </c>
      <c r="C38" s="21" t="s">
        <v>671</v>
      </c>
      <c r="D38" s="21" t="s">
        <v>669</v>
      </c>
      <c r="E38" s="21" t="s">
        <v>672</v>
      </c>
    </row>
    <row r="39" spans="1:5" x14ac:dyDescent="0.25">
      <c r="A39" s="21" t="s">
        <v>716</v>
      </c>
      <c r="B39" s="21" t="s">
        <v>717</v>
      </c>
      <c r="C39" s="21" t="s">
        <v>662</v>
      </c>
      <c r="D39" s="21" t="s">
        <v>663</v>
      </c>
      <c r="E39" s="21" t="s">
        <v>664</v>
      </c>
    </row>
    <row r="40" spans="1:5" x14ac:dyDescent="0.25">
      <c r="A40" s="21" t="s">
        <v>716</v>
      </c>
      <c r="B40" s="21" t="s">
        <v>717</v>
      </c>
      <c r="C40" s="21" t="s">
        <v>487</v>
      </c>
      <c r="D40" s="21" t="s">
        <v>718</v>
      </c>
      <c r="E40" s="21" t="s">
        <v>719</v>
      </c>
    </row>
    <row r="41" spans="1:5" x14ac:dyDescent="0.25">
      <c r="A41" s="21" t="s">
        <v>716</v>
      </c>
      <c r="B41" s="21" t="s">
        <v>717</v>
      </c>
      <c r="C41" s="21" t="s">
        <v>720</v>
      </c>
      <c r="D41" s="21" t="s">
        <v>669</v>
      </c>
      <c r="E41" s="21" t="s">
        <v>721</v>
      </c>
    </row>
    <row r="42" spans="1:5" x14ac:dyDescent="0.25">
      <c r="A42" s="21" t="s">
        <v>716</v>
      </c>
      <c r="B42" s="21" t="s">
        <v>717</v>
      </c>
      <c r="C42" s="21" t="s">
        <v>722</v>
      </c>
      <c r="D42" s="21" t="s">
        <v>669</v>
      </c>
      <c r="E42" s="21" t="s">
        <v>723</v>
      </c>
    </row>
    <row r="43" spans="1:5" x14ac:dyDescent="0.25">
      <c r="A43" s="21" t="s">
        <v>716</v>
      </c>
      <c r="B43" s="21" t="s">
        <v>717</v>
      </c>
      <c r="C43" s="21" t="s">
        <v>724</v>
      </c>
      <c r="D43" s="21" t="s">
        <v>669</v>
      </c>
      <c r="E43" s="21" t="s">
        <v>725</v>
      </c>
    </row>
    <row r="44" spans="1:5" x14ac:dyDescent="0.25">
      <c r="A44" s="21" t="s">
        <v>726</v>
      </c>
      <c r="B44" s="21" t="s">
        <v>727</v>
      </c>
      <c r="C44" s="21" t="s">
        <v>662</v>
      </c>
      <c r="D44" s="21" t="s">
        <v>663</v>
      </c>
      <c r="E44" s="21" t="s">
        <v>664</v>
      </c>
    </row>
    <row r="45" spans="1:5" x14ac:dyDescent="0.25">
      <c r="A45" s="21" t="s">
        <v>726</v>
      </c>
      <c r="B45" s="21" t="s">
        <v>727</v>
      </c>
      <c r="C45" s="21" t="s">
        <v>728</v>
      </c>
      <c r="D45" s="21" t="s">
        <v>669</v>
      </c>
      <c r="E45" s="21" t="s">
        <v>729</v>
      </c>
    </row>
    <row r="46" spans="1:5" x14ac:dyDescent="0.25">
      <c r="A46" s="21" t="s">
        <v>726</v>
      </c>
      <c r="B46" s="21" t="s">
        <v>727</v>
      </c>
      <c r="C46" s="21" t="s">
        <v>730</v>
      </c>
      <c r="D46" s="21" t="s">
        <v>669</v>
      </c>
      <c r="E46" s="21" t="s">
        <v>731</v>
      </c>
    </row>
    <row r="47" spans="1:5" x14ac:dyDescent="0.25">
      <c r="A47" s="21" t="s">
        <v>726</v>
      </c>
      <c r="B47" s="21" t="s">
        <v>727</v>
      </c>
      <c r="C47" s="21" t="s">
        <v>732</v>
      </c>
      <c r="D47" s="21" t="s">
        <v>733</v>
      </c>
      <c r="E47" s="21" t="s">
        <v>734</v>
      </c>
    </row>
    <row r="48" spans="1:5" x14ac:dyDescent="0.25">
      <c r="A48" s="21" t="s">
        <v>726</v>
      </c>
      <c r="B48" s="21" t="s">
        <v>727</v>
      </c>
      <c r="C48" s="21" t="s">
        <v>735</v>
      </c>
      <c r="D48" s="21" t="s">
        <v>733</v>
      </c>
      <c r="E48" s="21" t="s">
        <v>736</v>
      </c>
    </row>
    <row r="49" spans="1:5" x14ac:dyDescent="0.25">
      <c r="A49" s="21" t="s">
        <v>737</v>
      </c>
      <c r="B49" s="21" t="s">
        <v>738</v>
      </c>
      <c r="C49" s="21" t="s">
        <v>662</v>
      </c>
      <c r="D49" s="21" t="s">
        <v>663</v>
      </c>
      <c r="E49" s="21" t="s">
        <v>664</v>
      </c>
    </row>
    <row r="50" spans="1:5" x14ac:dyDescent="0.25">
      <c r="A50" s="21" t="s">
        <v>737</v>
      </c>
      <c r="B50" s="21" t="s">
        <v>738</v>
      </c>
      <c r="C50" s="21" t="s">
        <v>739</v>
      </c>
      <c r="D50" s="21" t="s">
        <v>669</v>
      </c>
      <c r="E50" s="21" t="s">
        <v>740</v>
      </c>
    </row>
    <row r="51" spans="1:5" x14ac:dyDescent="0.25">
      <c r="A51" s="21" t="s">
        <v>741</v>
      </c>
      <c r="B51" s="21" t="s">
        <v>742</v>
      </c>
      <c r="C51" s="21" t="s">
        <v>743</v>
      </c>
      <c r="D51" s="21" t="s">
        <v>744</v>
      </c>
      <c r="E51" s="21" t="s">
        <v>745</v>
      </c>
    </row>
    <row r="52" spans="1:5" x14ac:dyDescent="0.25">
      <c r="A52" s="21" t="s">
        <v>741</v>
      </c>
      <c r="B52" s="21" t="s">
        <v>742</v>
      </c>
      <c r="C52" s="21" t="s">
        <v>662</v>
      </c>
      <c r="D52" s="21" t="s">
        <v>663</v>
      </c>
      <c r="E52" s="21" t="s">
        <v>664</v>
      </c>
    </row>
    <row r="53" spans="1:5" x14ac:dyDescent="0.25">
      <c r="A53" s="21" t="s">
        <v>741</v>
      </c>
      <c r="B53" s="21" t="s">
        <v>742</v>
      </c>
      <c r="C53" s="21" t="s">
        <v>746</v>
      </c>
      <c r="D53" s="21" t="s">
        <v>747</v>
      </c>
      <c r="E53" s="21" t="s">
        <v>748</v>
      </c>
    </row>
    <row r="54" spans="1:5" x14ac:dyDescent="0.25">
      <c r="A54" s="21" t="s">
        <v>741</v>
      </c>
      <c r="B54" s="21" t="s">
        <v>742</v>
      </c>
      <c r="C54" s="21" t="s">
        <v>749</v>
      </c>
      <c r="D54" s="21" t="s">
        <v>750</v>
      </c>
      <c r="E54" s="21" t="s">
        <v>751</v>
      </c>
    </row>
    <row r="55" spans="1:5" x14ac:dyDescent="0.25">
      <c r="A55" s="21" t="s">
        <v>741</v>
      </c>
      <c r="B55" s="21" t="s">
        <v>742</v>
      </c>
      <c r="C55" s="21" t="s">
        <v>671</v>
      </c>
      <c r="D55" s="21" t="s">
        <v>669</v>
      </c>
      <c r="E55" s="21" t="s">
        <v>752</v>
      </c>
    </row>
    <row r="56" spans="1:5" x14ac:dyDescent="0.25">
      <c r="A56" s="21" t="s">
        <v>753</v>
      </c>
      <c r="B56" s="21" t="s">
        <v>754</v>
      </c>
      <c r="C56" s="21" t="s">
        <v>755</v>
      </c>
      <c r="D56" s="21" t="s">
        <v>756</v>
      </c>
      <c r="E56" s="21" t="s">
        <v>757</v>
      </c>
    </row>
    <row r="57" spans="1:5" x14ac:dyDescent="0.25">
      <c r="A57" s="21" t="s">
        <v>753</v>
      </c>
      <c r="B57" s="21" t="s">
        <v>754</v>
      </c>
      <c r="C57" s="21" t="s">
        <v>758</v>
      </c>
      <c r="D57" s="21" t="s">
        <v>759</v>
      </c>
      <c r="E57" s="21" t="s">
        <v>760</v>
      </c>
    </row>
    <row r="58" spans="1:5" x14ac:dyDescent="0.25">
      <c r="A58" s="21" t="s">
        <v>753</v>
      </c>
      <c r="B58" s="21" t="s">
        <v>754</v>
      </c>
      <c r="C58" s="21" t="s">
        <v>761</v>
      </c>
      <c r="D58" s="21" t="s">
        <v>669</v>
      </c>
      <c r="E58" s="21" t="s">
        <v>762</v>
      </c>
    </row>
    <row r="59" spans="1:5" x14ac:dyDescent="0.25">
      <c r="A59" s="21" t="s">
        <v>763</v>
      </c>
      <c r="B59" s="21" t="s">
        <v>764</v>
      </c>
      <c r="C59" s="21" t="s">
        <v>662</v>
      </c>
      <c r="D59" s="21" t="s">
        <v>663</v>
      </c>
      <c r="E59" s="21" t="s">
        <v>664</v>
      </c>
    </row>
    <row r="60" spans="1:5" x14ac:dyDescent="0.25">
      <c r="A60" s="21" t="s">
        <v>763</v>
      </c>
      <c r="B60" s="21" t="s">
        <v>764</v>
      </c>
      <c r="C60" s="21" t="s">
        <v>739</v>
      </c>
      <c r="D60" s="21" t="s">
        <v>669</v>
      </c>
      <c r="E60" s="21" t="s">
        <v>765</v>
      </c>
    </row>
    <row r="61" spans="1:5" x14ac:dyDescent="0.25">
      <c r="A61" s="21" t="s">
        <v>766</v>
      </c>
      <c r="B61" s="21" t="s">
        <v>767</v>
      </c>
      <c r="C61" s="21" t="s">
        <v>662</v>
      </c>
      <c r="D61" s="21" t="s">
        <v>663</v>
      </c>
      <c r="E61" s="21" t="s">
        <v>664</v>
      </c>
    </row>
    <row r="62" spans="1:5" x14ac:dyDescent="0.25">
      <c r="A62" s="21" t="s">
        <v>766</v>
      </c>
      <c r="B62" s="21" t="s">
        <v>767</v>
      </c>
      <c r="C62" s="21" t="s">
        <v>768</v>
      </c>
      <c r="D62" s="21" t="s">
        <v>769</v>
      </c>
      <c r="E62" s="21" t="s">
        <v>770</v>
      </c>
    </row>
    <row r="63" spans="1:5" x14ac:dyDescent="0.25">
      <c r="A63" s="21" t="s">
        <v>766</v>
      </c>
      <c r="B63" s="21" t="s">
        <v>767</v>
      </c>
      <c r="C63" s="21" t="s">
        <v>771</v>
      </c>
      <c r="D63" s="21" t="s">
        <v>669</v>
      </c>
      <c r="E63" s="21" t="s">
        <v>772</v>
      </c>
    </row>
    <row r="64" spans="1:5" x14ac:dyDescent="0.25">
      <c r="A64" s="21" t="s">
        <v>773</v>
      </c>
      <c r="B64" s="21" t="s">
        <v>509</v>
      </c>
      <c r="C64" s="21" t="s">
        <v>662</v>
      </c>
      <c r="D64" s="21" t="s">
        <v>663</v>
      </c>
      <c r="E64" s="21" t="s">
        <v>664</v>
      </c>
    </row>
    <row r="65" spans="1:5" x14ac:dyDescent="0.25">
      <c r="A65" s="21" t="s">
        <v>773</v>
      </c>
      <c r="B65" s="21" t="s">
        <v>509</v>
      </c>
      <c r="C65" s="21" t="s">
        <v>526</v>
      </c>
      <c r="D65" s="21" t="s">
        <v>774</v>
      </c>
      <c r="E65" s="21" t="s">
        <v>775</v>
      </c>
    </row>
    <row r="66" spans="1:5" x14ac:dyDescent="0.25">
      <c r="A66" s="21" t="s">
        <v>773</v>
      </c>
      <c r="B66" s="21" t="s">
        <v>509</v>
      </c>
      <c r="C66" s="21" t="s">
        <v>530</v>
      </c>
      <c r="D66" s="21" t="s">
        <v>776</v>
      </c>
      <c r="E66" s="21" t="s">
        <v>531</v>
      </c>
    </row>
    <row r="67" spans="1:5" x14ac:dyDescent="0.25">
      <c r="A67" s="21" t="s">
        <v>773</v>
      </c>
      <c r="B67" s="21" t="s">
        <v>509</v>
      </c>
      <c r="C67" s="21" t="s">
        <v>532</v>
      </c>
      <c r="D67" s="21" t="s">
        <v>776</v>
      </c>
      <c r="E67" s="21" t="s">
        <v>533</v>
      </c>
    </row>
    <row r="68" spans="1:5" x14ac:dyDescent="0.25">
      <c r="A68" s="21" t="s">
        <v>773</v>
      </c>
      <c r="B68" s="21" t="s">
        <v>509</v>
      </c>
      <c r="C68" s="21" t="s">
        <v>517</v>
      </c>
      <c r="D68" s="21" t="s">
        <v>776</v>
      </c>
      <c r="E68" s="21" t="s">
        <v>518</v>
      </c>
    </row>
    <row r="69" spans="1:5" x14ac:dyDescent="0.25">
      <c r="A69" s="21" t="s">
        <v>773</v>
      </c>
      <c r="B69" s="21" t="s">
        <v>509</v>
      </c>
      <c r="C69" s="21" t="s">
        <v>519</v>
      </c>
      <c r="D69" s="21" t="s">
        <v>774</v>
      </c>
      <c r="E69" s="21" t="s">
        <v>777</v>
      </c>
    </row>
    <row r="70" spans="1:5" x14ac:dyDescent="0.25">
      <c r="A70" s="21" t="s">
        <v>773</v>
      </c>
      <c r="B70" s="21" t="s">
        <v>509</v>
      </c>
      <c r="C70" s="21" t="s">
        <v>515</v>
      </c>
      <c r="D70" s="21" t="s">
        <v>776</v>
      </c>
      <c r="E70" s="21" t="s">
        <v>516</v>
      </c>
    </row>
    <row r="71" spans="1:5" x14ac:dyDescent="0.25">
      <c r="A71" s="21" t="s">
        <v>773</v>
      </c>
      <c r="B71" s="21" t="s">
        <v>509</v>
      </c>
      <c r="C71" s="21" t="s">
        <v>513</v>
      </c>
      <c r="D71" s="21" t="s">
        <v>776</v>
      </c>
      <c r="E71" s="21" t="s">
        <v>514</v>
      </c>
    </row>
    <row r="72" spans="1:5" x14ac:dyDescent="0.25">
      <c r="A72" s="21" t="s">
        <v>773</v>
      </c>
      <c r="B72" s="21" t="s">
        <v>509</v>
      </c>
      <c r="C72" s="21" t="s">
        <v>510</v>
      </c>
      <c r="D72" s="21" t="s">
        <v>776</v>
      </c>
      <c r="E72" s="21" t="s">
        <v>512</v>
      </c>
    </row>
    <row r="73" spans="1:5" x14ac:dyDescent="0.25">
      <c r="A73" s="21" t="s">
        <v>778</v>
      </c>
      <c r="B73" s="21" t="s">
        <v>410</v>
      </c>
      <c r="C73" s="21" t="s">
        <v>662</v>
      </c>
      <c r="D73" s="21" t="s">
        <v>663</v>
      </c>
      <c r="E73" s="21" t="s">
        <v>664</v>
      </c>
    </row>
    <row r="74" spans="1:5" x14ac:dyDescent="0.25">
      <c r="A74" s="21" t="s">
        <v>778</v>
      </c>
      <c r="B74" s="21" t="s">
        <v>410</v>
      </c>
      <c r="C74" s="21" t="s">
        <v>408</v>
      </c>
      <c r="D74" s="21" t="s">
        <v>779</v>
      </c>
      <c r="E74" s="21" t="s">
        <v>780</v>
      </c>
    </row>
    <row r="75" spans="1:5" x14ac:dyDescent="0.25">
      <c r="A75" s="21" t="s">
        <v>778</v>
      </c>
      <c r="B75" s="21" t="s">
        <v>410</v>
      </c>
      <c r="C75" s="21" t="s">
        <v>411</v>
      </c>
      <c r="D75" s="21" t="s">
        <v>781</v>
      </c>
      <c r="E75" s="21" t="s">
        <v>782</v>
      </c>
    </row>
    <row r="76" spans="1:5" x14ac:dyDescent="0.25">
      <c r="A76" s="21" t="s">
        <v>783</v>
      </c>
      <c r="B76" s="21" t="s">
        <v>784</v>
      </c>
      <c r="C76" s="21" t="s">
        <v>662</v>
      </c>
      <c r="D76" s="21" t="s">
        <v>663</v>
      </c>
      <c r="E76" s="21" t="s">
        <v>664</v>
      </c>
    </row>
    <row r="77" spans="1:5" x14ac:dyDescent="0.25">
      <c r="A77" s="21" t="s">
        <v>783</v>
      </c>
      <c r="B77" s="21" t="s">
        <v>784</v>
      </c>
      <c r="C77" s="21" t="s">
        <v>408</v>
      </c>
      <c r="D77" s="21" t="s">
        <v>779</v>
      </c>
      <c r="E77" s="21" t="s">
        <v>780</v>
      </c>
    </row>
    <row r="78" spans="1:5" x14ac:dyDescent="0.25">
      <c r="A78" s="21" t="s">
        <v>783</v>
      </c>
      <c r="B78" s="21" t="s">
        <v>784</v>
      </c>
      <c r="C78" s="21" t="s">
        <v>411</v>
      </c>
      <c r="D78" s="21" t="s">
        <v>781</v>
      </c>
      <c r="E78" s="21" t="s">
        <v>782</v>
      </c>
    </row>
    <row r="79" spans="1:5" x14ac:dyDescent="0.25">
      <c r="A79" s="21" t="s">
        <v>785</v>
      </c>
      <c r="B79" s="21" t="s">
        <v>786</v>
      </c>
      <c r="C79" s="21" t="s">
        <v>662</v>
      </c>
      <c r="D79" s="21" t="s">
        <v>663</v>
      </c>
      <c r="E79" s="21" t="s">
        <v>664</v>
      </c>
    </row>
    <row r="80" spans="1:5" x14ac:dyDescent="0.25">
      <c r="A80" s="21" t="s">
        <v>785</v>
      </c>
      <c r="B80" s="21" t="s">
        <v>786</v>
      </c>
      <c r="C80" s="21" t="s">
        <v>411</v>
      </c>
      <c r="D80" s="21" t="s">
        <v>781</v>
      </c>
      <c r="E80" s="21" t="s">
        <v>782</v>
      </c>
    </row>
    <row r="81" spans="1:5" x14ac:dyDescent="0.25">
      <c r="A81" s="21" t="s">
        <v>787</v>
      </c>
      <c r="B81" s="21" t="s">
        <v>407</v>
      </c>
      <c r="C81" s="21" t="s">
        <v>662</v>
      </c>
      <c r="D81" s="21" t="s">
        <v>663</v>
      </c>
      <c r="E81" s="21" t="s">
        <v>664</v>
      </c>
    </row>
    <row r="82" spans="1:5" x14ac:dyDescent="0.25">
      <c r="A82" s="21" t="s">
        <v>787</v>
      </c>
      <c r="B82" s="21" t="s">
        <v>407</v>
      </c>
      <c r="C82" s="21" t="s">
        <v>408</v>
      </c>
      <c r="D82" s="21" t="s">
        <v>779</v>
      </c>
      <c r="E82" s="21" t="s">
        <v>780</v>
      </c>
    </row>
    <row r="83" spans="1:5" x14ac:dyDescent="0.25">
      <c r="A83" s="21" t="s">
        <v>788</v>
      </c>
      <c r="B83" s="21" t="s">
        <v>596</v>
      </c>
      <c r="C83" s="21" t="s">
        <v>662</v>
      </c>
      <c r="D83" s="21" t="s">
        <v>663</v>
      </c>
      <c r="E83" s="21" t="s">
        <v>664</v>
      </c>
    </row>
    <row r="84" spans="1:5" x14ac:dyDescent="0.25">
      <c r="A84" s="21" t="s">
        <v>788</v>
      </c>
      <c r="B84" s="21" t="s">
        <v>596</v>
      </c>
      <c r="C84" s="21" t="s">
        <v>408</v>
      </c>
      <c r="D84" s="21" t="s">
        <v>779</v>
      </c>
      <c r="E84" s="21" t="s">
        <v>780</v>
      </c>
    </row>
    <row r="85" spans="1:5" x14ac:dyDescent="0.25">
      <c r="A85" s="21" t="s">
        <v>788</v>
      </c>
      <c r="B85" s="21" t="s">
        <v>596</v>
      </c>
      <c r="C85" s="21" t="s">
        <v>789</v>
      </c>
      <c r="D85" s="21" t="s">
        <v>779</v>
      </c>
      <c r="E85" s="21" t="s">
        <v>790</v>
      </c>
    </row>
    <row r="86" spans="1:5" x14ac:dyDescent="0.25">
      <c r="A86" s="21" t="s">
        <v>788</v>
      </c>
      <c r="B86" s="21" t="s">
        <v>596</v>
      </c>
      <c r="C86" s="21" t="s">
        <v>598</v>
      </c>
      <c r="D86" s="21" t="s">
        <v>779</v>
      </c>
      <c r="E86" s="21" t="s">
        <v>791</v>
      </c>
    </row>
    <row r="87" spans="1:5" x14ac:dyDescent="0.25">
      <c r="A87" s="21" t="s">
        <v>788</v>
      </c>
      <c r="B87" s="21" t="s">
        <v>596</v>
      </c>
      <c r="C87" s="21" t="s">
        <v>792</v>
      </c>
      <c r="D87" s="21" t="s">
        <v>779</v>
      </c>
      <c r="E87" s="21" t="s">
        <v>793</v>
      </c>
    </row>
    <row r="88" spans="1:5" x14ac:dyDescent="0.25">
      <c r="A88" s="21" t="s">
        <v>788</v>
      </c>
      <c r="B88" s="21" t="s">
        <v>596</v>
      </c>
      <c r="C88" s="21" t="s">
        <v>597</v>
      </c>
      <c r="D88" s="21" t="s">
        <v>779</v>
      </c>
      <c r="E88" s="21" t="s">
        <v>794</v>
      </c>
    </row>
    <row r="89" spans="1:5" x14ac:dyDescent="0.25">
      <c r="A89" s="21" t="s">
        <v>788</v>
      </c>
      <c r="B89" s="21" t="s">
        <v>596</v>
      </c>
      <c r="C89" s="21" t="s">
        <v>795</v>
      </c>
      <c r="D89" s="21" t="s">
        <v>669</v>
      </c>
      <c r="E89" s="21" t="s">
        <v>796</v>
      </c>
    </row>
    <row r="90" spans="1:5" x14ac:dyDescent="0.25">
      <c r="A90" s="21" t="s">
        <v>797</v>
      </c>
      <c r="B90" s="21" t="s">
        <v>576</v>
      </c>
      <c r="C90" s="21" t="s">
        <v>662</v>
      </c>
      <c r="D90" s="21" t="s">
        <v>663</v>
      </c>
      <c r="E90" s="21" t="s">
        <v>664</v>
      </c>
    </row>
    <row r="91" spans="1:5" x14ac:dyDescent="0.25">
      <c r="A91" s="21" t="s">
        <v>797</v>
      </c>
      <c r="B91" s="21" t="s">
        <v>576</v>
      </c>
      <c r="C91" s="21" t="s">
        <v>408</v>
      </c>
      <c r="D91" s="21" t="s">
        <v>779</v>
      </c>
      <c r="E91" s="21" t="s">
        <v>780</v>
      </c>
    </row>
    <row r="92" spans="1:5" x14ac:dyDescent="0.25">
      <c r="A92" s="21" t="s">
        <v>797</v>
      </c>
      <c r="B92" s="21" t="s">
        <v>576</v>
      </c>
      <c r="C92" s="21" t="s">
        <v>411</v>
      </c>
      <c r="D92" s="21" t="s">
        <v>781</v>
      </c>
      <c r="E92" s="21" t="s">
        <v>782</v>
      </c>
    </row>
    <row r="93" spans="1:5" x14ac:dyDescent="0.25">
      <c r="A93" s="21" t="s">
        <v>798</v>
      </c>
      <c r="B93" s="21" t="s">
        <v>799</v>
      </c>
      <c r="C93" s="21" t="s">
        <v>662</v>
      </c>
      <c r="D93" s="21" t="s">
        <v>663</v>
      </c>
      <c r="E93" s="21" t="s">
        <v>664</v>
      </c>
    </row>
    <row r="94" spans="1:5" x14ac:dyDescent="0.25">
      <c r="A94" s="21" t="s">
        <v>798</v>
      </c>
      <c r="B94" s="21" t="s">
        <v>799</v>
      </c>
      <c r="C94" s="21" t="s">
        <v>408</v>
      </c>
      <c r="D94" s="21" t="s">
        <v>779</v>
      </c>
      <c r="E94" s="21" t="s">
        <v>780</v>
      </c>
    </row>
    <row r="95" spans="1:5" x14ac:dyDescent="0.25">
      <c r="A95" s="21" t="s">
        <v>798</v>
      </c>
      <c r="B95" s="21" t="s">
        <v>799</v>
      </c>
      <c r="C95" s="21" t="s">
        <v>411</v>
      </c>
      <c r="D95" s="21" t="s">
        <v>781</v>
      </c>
      <c r="E95" s="21" t="s">
        <v>782</v>
      </c>
    </row>
    <row r="96" spans="1:5" x14ac:dyDescent="0.25">
      <c r="A96" s="21" t="s">
        <v>800</v>
      </c>
      <c r="B96" s="21" t="s">
        <v>424</v>
      </c>
      <c r="C96" s="21" t="s">
        <v>662</v>
      </c>
      <c r="D96" s="21" t="s">
        <v>663</v>
      </c>
      <c r="E96" s="21" t="s">
        <v>664</v>
      </c>
    </row>
    <row r="97" spans="1:5" x14ac:dyDescent="0.25">
      <c r="A97" s="21" t="s">
        <v>800</v>
      </c>
      <c r="B97" s="21" t="s">
        <v>424</v>
      </c>
      <c r="C97" s="21" t="s">
        <v>425</v>
      </c>
      <c r="D97" s="21" t="s">
        <v>779</v>
      </c>
      <c r="E97" s="21" t="s">
        <v>801</v>
      </c>
    </row>
    <row r="98" spans="1:5" x14ac:dyDescent="0.25">
      <c r="A98" s="21" t="s">
        <v>802</v>
      </c>
      <c r="B98" s="21" t="s">
        <v>803</v>
      </c>
      <c r="C98" s="21" t="s">
        <v>662</v>
      </c>
      <c r="D98" s="21" t="s">
        <v>663</v>
      </c>
      <c r="E98" s="21" t="s">
        <v>664</v>
      </c>
    </row>
    <row r="99" spans="1:5" x14ac:dyDescent="0.25">
      <c r="A99" s="21" t="s">
        <v>802</v>
      </c>
      <c r="B99" s="21" t="s">
        <v>803</v>
      </c>
      <c r="C99" s="21" t="s">
        <v>804</v>
      </c>
      <c r="D99" s="21" t="s">
        <v>669</v>
      </c>
      <c r="E99" s="21" t="s">
        <v>805</v>
      </c>
    </row>
    <row r="100" spans="1:5" x14ac:dyDescent="0.25">
      <c r="A100" s="21" t="s">
        <v>806</v>
      </c>
      <c r="B100" s="21" t="s">
        <v>807</v>
      </c>
      <c r="C100" s="21" t="s">
        <v>662</v>
      </c>
      <c r="D100" s="21" t="s">
        <v>663</v>
      </c>
      <c r="E100" s="21" t="s">
        <v>664</v>
      </c>
    </row>
    <row r="101" spans="1:5" x14ac:dyDescent="0.25">
      <c r="A101" s="21" t="s">
        <v>806</v>
      </c>
      <c r="B101" s="21" t="s">
        <v>807</v>
      </c>
      <c r="C101" s="21" t="s">
        <v>804</v>
      </c>
      <c r="D101" s="21" t="s">
        <v>669</v>
      </c>
      <c r="E101" s="21" t="s">
        <v>808</v>
      </c>
    </row>
    <row r="102" spans="1:5" x14ac:dyDescent="0.25">
      <c r="A102" s="21" t="s">
        <v>809</v>
      </c>
      <c r="B102" s="21" t="s">
        <v>399</v>
      </c>
      <c r="C102" s="21" t="s">
        <v>662</v>
      </c>
      <c r="D102" s="21" t="s">
        <v>663</v>
      </c>
      <c r="E102" s="21" t="s">
        <v>664</v>
      </c>
    </row>
    <row r="103" spans="1:5" x14ac:dyDescent="0.25">
      <c r="A103" s="21" t="s">
        <v>809</v>
      </c>
      <c r="B103" s="21" t="s">
        <v>399</v>
      </c>
      <c r="C103" s="21" t="s">
        <v>400</v>
      </c>
      <c r="D103" s="21" t="s">
        <v>779</v>
      </c>
      <c r="E103" s="21" t="s">
        <v>403</v>
      </c>
    </row>
    <row r="104" spans="1:5" x14ac:dyDescent="0.25">
      <c r="A104" s="21" t="s">
        <v>809</v>
      </c>
      <c r="B104" s="21" t="s">
        <v>399</v>
      </c>
      <c r="C104" s="21" t="s">
        <v>404</v>
      </c>
      <c r="D104" s="21" t="s">
        <v>779</v>
      </c>
      <c r="E104" s="21" t="s">
        <v>405</v>
      </c>
    </row>
    <row r="105" spans="1:5" x14ac:dyDescent="0.25">
      <c r="A105" s="21" t="s">
        <v>810</v>
      </c>
      <c r="B105" s="21" t="s">
        <v>811</v>
      </c>
      <c r="C105" s="21" t="s">
        <v>662</v>
      </c>
      <c r="D105" s="21" t="s">
        <v>663</v>
      </c>
      <c r="E105" s="21" t="s">
        <v>664</v>
      </c>
    </row>
    <row r="106" spans="1:5" x14ac:dyDescent="0.25">
      <c r="A106" s="21" t="s">
        <v>810</v>
      </c>
      <c r="B106" s="21" t="s">
        <v>811</v>
      </c>
      <c r="C106" s="21" t="s">
        <v>812</v>
      </c>
      <c r="D106" s="21" t="s">
        <v>733</v>
      </c>
      <c r="E106" s="21" t="s">
        <v>813</v>
      </c>
    </row>
    <row r="107" spans="1:5" x14ac:dyDescent="0.25">
      <c r="A107" s="21" t="s">
        <v>810</v>
      </c>
      <c r="B107" s="21" t="s">
        <v>811</v>
      </c>
      <c r="C107" s="21" t="s">
        <v>814</v>
      </c>
      <c r="D107" s="21" t="s">
        <v>669</v>
      </c>
      <c r="E107" s="21" t="s">
        <v>815</v>
      </c>
    </row>
    <row r="108" spans="1:5" x14ac:dyDescent="0.25">
      <c r="A108" s="21" t="s">
        <v>816</v>
      </c>
      <c r="B108" s="21" t="s">
        <v>817</v>
      </c>
      <c r="C108" s="21" t="s">
        <v>662</v>
      </c>
      <c r="D108" s="21" t="s">
        <v>663</v>
      </c>
      <c r="E108" s="21" t="s">
        <v>664</v>
      </c>
    </row>
    <row r="109" spans="1:5" x14ac:dyDescent="0.25">
      <c r="A109" s="21" t="s">
        <v>816</v>
      </c>
      <c r="B109" s="21" t="s">
        <v>817</v>
      </c>
      <c r="C109" s="21" t="s">
        <v>818</v>
      </c>
      <c r="D109" s="21" t="s">
        <v>819</v>
      </c>
      <c r="E109" s="21" t="s">
        <v>820</v>
      </c>
    </row>
    <row r="110" spans="1:5" x14ac:dyDescent="0.25">
      <c r="A110" s="21" t="s">
        <v>816</v>
      </c>
      <c r="B110" s="21" t="s">
        <v>817</v>
      </c>
      <c r="C110" s="21" t="s">
        <v>821</v>
      </c>
      <c r="D110" s="21" t="s">
        <v>822</v>
      </c>
      <c r="E110" s="21" t="s">
        <v>823</v>
      </c>
    </row>
    <row r="111" spans="1:5" x14ac:dyDescent="0.25">
      <c r="A111" s="21" t="s">
        <v>824</v>
      </c>
      <c r="B111" s="21" t="s">
        <v>825</v>
      </c>
      <c r="C111" s="21" t="s">
        <v>662</v>
      </c>
      <c r="D111" s="21" t="s">
        <v>663</v>
      </c>
      <c r="E111" s="21" t="s">
        <v>664</v>
      </c>
    </row>
    <row r="112" spans="1:5" x14ac:dyDescent="0.25">
      <c r="A112" s="21" t="s">
        <v>824</v>
      </c>
      <c r="B112" s="21" t="s">
        <v>825</v>
      </c>
      <c r="C112" s="21" t="s">
        <v>826</v>
      </c>
      <c r="D112" s="21" t="s">
        <v>669</v>
      </c>
      <c r="E112" s="21" t="s">
        <v>827</v>
      </c>
    </row>
    <row r="113" spans="1:5" x14ac:dyDescent="0.25">
      <c r="A113" s="21" t="s">
        <v>824</v>
      </c>
      <c r="B113" s="21" t="s">
        <v>825</v>
      </c>
      <c r="C113" s="21" t="s">
        <v>408</v>
      </c>
      <c r="D113" s="21" t="s">
        <v>779</v>
      </c>
      <c r="E113" s="21" t="s">
        <v>780</v>
      </c>
    </row>
    <row r="114" spans="1:5" x14ac:dyDescent="0.25">
      <c r="A114" s="21" t="s">
        <v>824</v>
      </c>
      <c r="B114" s="21" t="s">
        <v>825</v>
      </c>
      <c r="C114" s="21" t="s">
        <v>411</v>
      </c>
      <c r="D114" s="21" t="s">
        <v>781</v>
      </c>
      <c r="E114" s="21" t="s">
        <v>782</v>
      </c>
    </row>
    <row r="115" spans="1:5" x14ac:dyDescent="0.25">
      <c r="A115" s="21" t="s">
        <v>828</v>
      </c>
      <c r="B115" s="21" t="s">
        <v>829</v>
      </c>
      <c r="C115" s="21" t="s">
        <v>662</v>
      </c>
      <c r="D115" s="21" t="s">
        <v>663</v>
      </c>
      <c r="E115" s="21" t="s">
        <v>664</v>
      </c>
    </row>
    <row r="116" spans="1:5" x14ac:dyDescent="0.25">
      <c r="A116" s="21" t="s">
        <v>828</v>
      </c>
      <c r="B116" s="21" t="s">
        <v>829</v>
      </c>
      <c r="C116" s="21" t="s">
        <v>830</v>
      </c>
      <c r="D116" s="21" t="s">
        <v>831</v>
      </c>
      <c r="E116" s="21" t="s">
        <v>832</v>
      </c>
    </row>
    <row r="117" spans="1:5" x14ac:dyDescent="0.25">
      <c r="A117" s="21" t="s">
        <v>828</v>
      </c>
      <c r="B117" s="21" t="s">
        <v>829</v>
      </c>
      <c r="C117" s="21" t="s">
        <v>833</v>
      </c>
      <c r="D117" s="21" t="s">
        <v>779</v>
      </c>
      <c r="E117" s="21" t="s">
        <v>834</v>
      </c>
    </row>
    <row r="118" spans="1:5" x14ac:dyDescent="0.25">
      <c r="A118" s="21" t="s">
        <v>828</v>
      </c>
      <c r="B118" s="21" t="s">
        <v>829</v>
      </c>
      <c r="C118" s="21" t="s">
        <v>835</v>
      </c>
      <c r="D118" s="21" t="s">
        <v>836</v>
      </c>
      <c r="E118" s="21" t="s">
        <v>837</v>
      </c>
    </row>
    <row r="119" spans="1:5" x14ac:dyDescent="0.25">
      <c r="A119" s="21" t="s">
        <v>838</v>
      </c>
      <c r="B119" s="21" t="s">
        <v>471</v>
      </c>
      <c r="C119" s="21" t="s">
        <v>662</v>
      </c>
      <c r="D119" s="21" t="s">
        <v>663</v>
      </c>
      <c r="E119" s="21" t="s">
        <v>664</v>
      </c>
    </row>
    <row r="120" spans="1:5" x14ac:dyDescent="0.25">
      <c r="A120" s="21" t="s">
        <v>838</v>
      </c>
      <c r="B120" s="21" t="s">
        <v>471</v>
      </c>
      <c r="C120" s="21" t="s">
        <v>472</v>
      </c>
      <c r="D120" s="21" t="s">
        <v>669</v>
      </c>
      <c r="E120" s="21" t="s">
        <v>473</v>
      </c>
    </row>
    <row r="121" spans="1:5" x14ac:dyDescent="0.25">
      <c r="A121" s="21" t="s">
        <v>838</v>
      </c>
      <c r="B121" s="21" t="s">
        <v>471</v>
      </c>
      <c r="C121" s="21" t="s">
        <v>474</v>
      </c>
      <c r="D121" s="21" t="s">
        <v>669</v>
      </c>
      <c r="E121" s="21" t="s">
        <v>475</v>
      </c>
    </row>
    <row r="122" spans="1:5" x14ac:dyDescent="0.25">
      <c r="A122" s="21" t="s">
        <v>838</v>
      </c>
      <c r="B122" s="21" t="s">
        <v>471</v>
      </c>
      <c r="C122" s="21" t="s">
        <v>476</v>
      </c>
      <c r="D122" s="21" t="s">
        <v>669</v>
      </c>
      <c r="E122" s="21" t="s">
        <v>477</v>
      </c>
    </row>
    <row r="123" spans="1:5" x14ac:dyDescent="0.25">
      <c r="A123" s="21" t="s">
        <v>838</v>
      </c>
      <c r="B123" s="21" t="s">
        <v>471</v>
      </c>
      <c r="C123" s="21" t="s">
        <v>478</v>
      </c>
      <c r="D123" s="21" t="s">
        <v>669</v>
      </c>
      <c r="E123" s="21" t="s">
        <v>479</v>
      </c>
    </row>
    <row r="124" spans="1:5" x14ac:dyDescent="0.25">
      <c r="A124" s="21" t="s">
        <v>839</v>
      </c>
      <c r="B124" s="21" t="s">
        <v>445</v>
      </c>
      <c r="C124" s="21" t="s">
        <v>662</v>
      </c>
      <c r="D124" s="21" t="s">
        <v>663</v>
      </c>
      <c r="E124" s="21" t="s">
        <v>664</v>
      </c>
    </row>
    <row r="125" spans="1:5" x14ac:dyDescent="0.25">
      <c r="A125" s="21" t="s">
        <v>839</v>
      </c>
      <c r="B125" s="21" t="s">
        <v>445</v>
      </c>
      <c r="C125" s="21" t="s">
        <v>446</v>
      </c>
      <c r="D125" s="21" t="s">
        <v>669</v>
      </c>
      <c r="E125" s="21" t="s">
        <v>447</v>
      </c>
    </row>
    <row r="126" spans="1:5" x14ac:dyDescent="0.25">
      <c r="A126" s="21" t="s">
        <v>839</v>
      </c>
      <c r="B126" s="21" t="s">
        <v>445</v>
      </c>
      <c r="C126" s="21" t="s">
        <v>448</v>
      </c>
      <c r="D126" s="21" t="s">
        <v>669</v>
      </c>
      <c r="E126" s="21" t="s">
        <v>449</v>
      </c>
    </row>
    <row r="127" spans="1:5" x14ac:dyDescent="0.25">
      <c r="A127" s="21" t="s">
        <v>839</v>
      </c>
      <c r="B127" s="21" t="s">
        <v>445</v>
      </c>
      <c r="C127" s="21" t="s">
        <v>450</v>
      </c>
      <c r="D127" s="21" t="s">
        <v>669</v>
      </c>
      <c r="E127" s="21" t="s">
        <v>451</v>
      </c>
    </row>
    <row r="128" spans="1:5" x14ac:dyDescent="0.25">
      <c r="A128" s="21" t="s">
        <v>840</v>
      </c>
      <c r="B128" s="21" t="s">
        <v>841</v>
      </c>
      <c r="C128" s="21" t="s">
        <v>662</v>
      </c>
      <c r="D128" s="21" t="s">
        <v>663</v>
      </c>
      <c r="E128" s="21" t="s">
        <v>664</v>
      </c>
    </row>
    <row r="129" spans="1:5" x14ac:dyDescent="0.25">
      <c r="A129" s="21" t="s">
        <v>840</v>
      </c>
      <c r="B129" s="21" t="s">
        <v>841</v>
      </c>
      <c r="C129" s="21" t="s">
        <v>842</v>
      </c>
      <c r="D129" s="21" t="s">
        <v>776</v>
      </c>
      <c r="E129" s="21" t="s">
        <v>843</v>
      </c>
    </row>
    <row r="130" spans="1:5" x14ac:dyDescent="0.25">
      <c r="A130" s="21" t="s">
        <v>840</v>
      </c>
      <c r="B130" s="21" t="s">
        <v>841</v>
      </c>
      <c r="C130" s="21" t="s">
        <v>844</v>
      </c>
      <c r="D130" s="21" t="s">
        <v>776</v>
      </c>
      <c r="E130" s="21" t="s">
        <v>845</v>
      </c>
    </row>
    <row r="131" spans="1:5" x14ac:dyDescent="0.25">
      <c r="A131" s="21" t="s">
        <v>840</v>
      </c>
      <c r="B131" s="21" t="s">
        <v>841</v>
      </c>
      <c r="C131" s="21" t="s">
        <v>846</v>
      </c>
      <c r="D131" s="21" t="s">
        <v>776</v>
      </c>
      <c r="E131" s="21" t="s">
        <v>847</v>
      </c>
    </row>
    <row r="132" spans="1:5" x14ac:dyDescent="0.25">
      <c r="A132" s="21" t="s">
        <v>840</v>
      </c>
      <c r="B132" s="21" t="s">
        <v>841</v>
      </c>
      <c r="C132" s="21" t="s">
        <v>848</v>
      </c>
      <c r="D132" s="21" t="s">
        <v>776</v>
      </c>
      <c r="E132" s="21" t="s">
        <v>849</v>
      </c>
    </row>
    <row r="133" spans="1:5" x14ac:dyDescent="0.25">
      <c r="A133" s="21" t="s">
        <v>840</v>
      </c>
      <c r="B133" s="21" t="s">
        <v>841</v>
      </c>
      <c r="C133" s="21" t="s">
        <v>850</v>
      </c>
      <c r="D133" s="21" t="s">
        <v>776</v>
      </c>
      <c r="E133" s="21" t="s">
        <v>851</v>
      </c>
    </row>
    <row r="134" spans="1:5" x14ac:dyDescent="0.25">
      <c r="A134" s="21" t="s">
        <v>840</v>
      </c>
      <c r="B134" s="21" t="s">
        <v>841</v>
      </c>
      <c r="C134" s="21" t="s">
        <v>852</v>
      </c>
      <c r="D134" s="21" t="s">
        <v>776</v>
      </c>
      <c r="E134" s="21" t="s">
        <v>853</v>
      </c>
    </row>
    <row r="135" spans="1:5" x14ac:dyDescent="0.25">
      <c r="A135" s="21" t="s">
        <v>840</v>
      </c>
      <c r="B135" s="21" t="s">
        <v>841</v>
      </c>
      <c r="C135" s="21" t="s">
        <v>854</v>
      </c>
      <c r="D135" s="21" t="s">
        <v>669</v>
      </c>
      <c r="E135" s="21" t="s">
        <v>855</v>
      </c>
    </row>
    <row r="136" spans="1:5" x14ac:dyDescent="0.25">
      <c r="A136" s="21" t="s">
        <v>840</v>
      </c>
      <c r="B136" s="21" t="s">
        <v>841</v>
      </c>
      <c r="C136" s="21" t="s">
        <v>856</v>
      </c>
      <c r="D136" s="21" t="s">
        <v>669</v>
      </c>
      <c r="E136" s="21" t="s">
        <v>857</v>
      </c>
    </row>
    <row r="137" spans="1:5" x14ac:dyDescent="0.25">
      <c r="A137" s="21" t="s">
        <v>840</v>
      </c>
      <c r="B137" s="21" t="s">
        <v>841</v>
      </c>
      <c r="C137" s="21" t="s">
        <v>858</v>
      </c>
      <c r="D137" s="21" t="s">
        <v>776</v>
      </c>
      <c r="E137" s="21" t="s">
        <v>859</v>
      </c>
    </row>
    <row r="138" spans="1:5" x14ac:dyDescent="0.25">
      <c r="A138" s="21" t="s">
        <v>840</v>
      </c>
      <c r="B138" s="21" t="s">
        <v>841</v>
      </c>
      <c r="C138" s="21" t="s">
        <v>860</v>
      </c>
      <c r="D138" s="21" t="s">
        <v>776</v>
      </c>
      <c r="E138" s="21" t="s">
        <v>861</v>
      </c>
    </row>
    <row r="139" spans="1:5" x14ac:dyDescent="0.25">
      <c r="A139" s="21" t="s">
        <v>840</v>
      </c>
      <c r="B139" s="21" t="s">
        <v>841</v>
      </c>
      <c r="C139" s="21" t="s">
        <v>862</v>
      </c>
      <c r="D139" s="21" t="s">
        <v>776</v>
      </c>
      <c r="E139" s="21" t="s">
        <v>863</v>
      </c>
    </row>
    <row r="140" spans="1:5" x14ac:dyDescent="0.25">
      <c r="A140" s="21" t="s">
        <v>840</v>
      </c>
      <c r="B140" s="21" t="s">
        <v>841</v>
      </c>
      <c r="C140" s="21" t="s">
        <v>864</v>
      </c>
      <c r="D140" s="21" t="s">
        <v>776</v>
      </c>
      <c r="E140" s="21" t="s">
        <v>865</v>
      </c>
    </row>
    <row r="141" spans="1:5" x14ac:dyDescent="0.25">
      <c r="A141" s="21" t="s">
        <v>840</v>
      </c>
      <c r="B141" s="21" t="s">
        <v>841</v>
      </c>
      <c r="C141" s="21" t="s">
        <v>866</v>
      </c>
      <c r="D141" s="21" t="s">
        <v>776</v>
      </c>
      <c r="E141" s="21" t="s">
        <v>867</v>
      </c>
    </row>
    <row r="142" spans="1:5" x14ac:dyDescent="0.25">
      <c r="A142" s="21" t="s">
        <v>840</v>
      </c>
      <c r="B142" s="21" t="s">
        <v>841</v>
      </c>
      <c r="C142" s="21" t="s">
        <v>446</v>
      </c>
      <c r="D142" s="21" t="s">
        <v>669</v>
      </c>
      <c r="E142" s="21" t="s">
        <v>868</v>
      </c>
    </row>
    <row r="143" spans="1:5" x14ac:dyDescent="0.25">
      <c r="A143" s="21" t="s">
        <v>840</v>
      </c>
      <c r="B143" s="21" t="s">
        <v>841</v>
      </c>
      <c r="C143" s="21" t="s">
        <v>450</v>
      </c>
      <c r="D143" s="21" t="s">
        <v>669</v>
      </c>
      <c r="E143" s="21" t="s">
        <v>869</v>
      </c>
    </row>
    <row r="144" spans="1:5" x14ac:dyDescent="0.25">
      <c r="A144" s="21" t="s">
        <v>840</v>
      </c>
      <c r="B144" s="21" t="s">
        <v>841</v>
      </c>
      <c r="C144" s="21" t="s">
        <v>870</v>
      </c>
      <c r="D144" s="21" t="s">
        <v>776</v>
      </c>
      <c r="E144" s="21" t="s">
        <v>871</v>
      </c>
    </row>
    <row r="145" spans="1:5" x14ac:dyDescent="0.25">
      <c r="A145" s="21" t="s">
        <v>840</v>
      </c>
      <c r="B145" s="21" t="s">
        <v>841</v>
      </c>
      <c r="C145" s="21" t="s">
        <v>872</v>
      </c>
      <c r="D145" s="21" t="s">
        <v>776</v>
      </c>
      <c r="E145" s="21" t="s">
        <v>873</v>
      </c>
    </row>
    <row r="146" spans="1:5" x14ac:dyDescent="0.25">
      <c r="A146" s="21" t="s">
        <v>840</v>
      </c>
      <c r="B146" s="21" t="s">
        <v>841</v>
      </c>
      <c r="C146" s="21" t="s">
        <v>874</v>
      </c>
      <c r="D146" s="21" t="s">
        <v>776</v>
      </c>
      <c r="E146" s="21" t="s">
        <v>875</v>
      </c>
    </row>
    <row r="147" spans="1:5" x14ac:dyDescent="0.25">
      <c r="A147" s="21" t="s">
        <v>840</v>
      </c>
      <c r="B147" s="21" t="s">
        <v>841</v>
      </c>
      <c r="C147" s="21" t="s">
        <v>876</v>
      </c>
      <c r="D147" s="21" t="s">
        <v>669</v>
      </c>
      <c r="E147" s="21" t="s">
        <v>877</v>
      </c>
    </row>
    <row r="148" spans="1:5" x14ac:dyDescent="0.25">
      <c r="A148" s="21" t="s">
        <v>878</v>
      </c>
      <c r="B148" s="21" t="s">
        <v>371</v>
      </c>
      <c r="C148" s="21" t="s">
        <v>662</v>
      </c>
      <c r="D148" s="21" t="s">
        <v>663</v>
      </c>
      <c r="E148" s="21" t="s">
        <v>664</v>
      </c>
    </row>
    <row r="149" spans="1:5" x14ac:dyDescent="0.25">
      <c r="A149" s="21" t="s">
        <v>878</v>
      </c>
      <c r="B149" s="21" t="s">
        <v>371</v>
      </c>
      <c r="C149" s="21" t="s">
        <v>452</v>
      </c>
      <c r="D149" s="21" t="s">
        <v>669</v>
      </c>
      <c r="E149" s="21" t="s">
        <v>454</v>
      </c>
    </row>
    <row r="150" spans="1:5" x14ac:dyDescent="0.25">
      <c r="A150" s="21" t="s">
        <v>878</v>
      </c>
      <c r="B150" s="21" t="s">
        <v>371</v>
      </c>
      <c r="C150" s="21" t="s">
        <v>372</v>
      </c>
      <c r="D150" s="21" t="s">
        <v>669</v>
      </c>
      <c r="E150" s="21" t="s">
        <v>373</v>
      </c>
    </row>
    <row r="151" spans="1:5" x14ac:dyDescent="0.25">
      <c r="A151" s="21" t="s">
        <v>878</v>
      </c>
      <c r="B151" s="21" t="s">
        <v>371</v>
      </c>
      <c r="C151" s="21" t="s">
        <v>455</v>
      </c>
      <c r="D151" s="21" t="s">
        <v>669</v>
      </c>
      <c r="E151" s="21" t="s">
        <v>456</v>
      </c>
    </row>
    <row r="152" spans="1:5" x14ac:dyDescent="0.25">
      <c r="A152" s="21" t="s">
        <v>879</v>
      </c>
      <c r="B152" s="21" t="s">
        <v>880</v>
      </c>
      <c r="C152" s="21" t="s">
        <v>662</v>
      </c>
      <c r="D152" s="21" t="s">
        <v>663</v>
      </c>
      <c r="E152" s="21" t="s">
        <v>664</v>
      </c>
    </row>
    <row r="153" spans="1:5" x14ac:dyDescent="0.25">
      <c r="A153" s="21" t="s">
        <v>879</v>
      </c>
      <c r="B153" s="21" t="s">
        <v>880</v>
      </c>
      <c r="C153" s="21" t="s">
        <v>881</v>
      </c>
      <c r="D153" s="21" t="s">
        <v>669</v>
      </c>
      <c r="E153" s="21" t="s">
        <v>882</v>
      </c>
    </row>
    <row r="154" spans="1:5" x14ac:dyDescent="0.25">
      <c r="A154" s="21" t="s">
        <v>879</v>
      </c>
      <c r="B154" s="21" t="s">
        <v>880</v>
      </c>
      <c r="C154" s="21" t="s">
        <v>883</v>
      </c>
      <c r="D154" s="21" t="s">
        <v>776</v>
      </c>
      <c r="E154" s="21" t="s">
        <v>884</v>
      </c>
    </row>
    <row r="155" spans="1:5" x14ac:dyDescent="0.25">
      <c r="A155" s="21" t="s">
        <v>879</v>
      </c>
      <c r="B155" s="21" t="s">
        <v>880</v>
      </c>
      <c r="C155" s="21" t="s">
        <v>885</v>
      </c>
      <c r="D155" s="21" t="s">
        <v>669</v>
      </c>
      <c r="E155" s="21" t="s">
        <v>886</v>
      </c>
    </row>
    <row r="156" spans="1:5" x14ac:dyDescent="0.25">
      <c r="A156" s="21" t="s">
        <v>879</v>
      </c>
      <c r="B156" s="21" t="s">
        <v>880</v>
      </c>
      <c r="C156" s="21" t="s">
        <v>887</v>
      </c>
      <c r="D156" s="21" t="s">
        <v>776</v>
      </c>
      <c r="E156" s="21" t="s">
        <v>888</v>
      </c>
    </row>
    <row r="157" spans="1:5" x14ac:dyDescent="0.25">
      <c r="A157" s="21" t="s">
        <v>879</v>
      </c>
      <c r="B157" s="21" t="s">
        <v>880</v>
      </c>
      <c r="C157" s="21" t="s">
        <v>889</v>
      </c>
      <c r="D157" s="21" t="s">
        <v>669</v>
      </c>
      <c r="E157" s="21" t="s">
        <v>890</v>
      </c>
    </row>
    <row r="158" spans="1:5" x14ac:dyDescent="0.25">
      <c r="A158" s="21" t="s">
        <v>879</v>
      </c>
      <c r="B158" s="21" t="s">
        <v>880</v>
      </c>
      <c r="C158" s="21" t="s">
        <v>891</v>
      </c>
      <c r="D158" s="21" t="s">
        <v>669</v>
      </c>
      <c r="E158" s="21" t="s">
        <v>892</v>
      </c>
    </row>
    <row r="159" spans="1:5" x14ac:dyDescent="0.25">
      <c r="A159" s="21" t="s">
        <v>893</v>
      </c>
      <c r="B159" s="21" t="s">
        <v>486</v>
      </c>
      <c r="C159" s="21" t="s">
        <v>662</v>
      </c>
      <c r="D159" s="21" t="s">
        <v>663</v>
      </c>
      <c r="E159" s="21" t="s">
        <v>664</v>
      </c>
    </row>
    <row r="160" spans="1:5" x14ac:dyDescent="0.25">
      <c r="A160" s="21" t="s">
        <v>893</v>
      </c>
      <c r="B160" s="21" t="s">
        <v>486</v>
      </c>
      <c r="C160" s="21" t="s">
        <v>488</v>
      </c>
      <c r="D160" s="21" t="s">
        <v>894</v>
      </c>
      <c r="E160" s="21" t="s">
        <v>895</v>
      </c>
    </row>
    <row r="161" spans="1:5" x14ac:dyDescent="0.25">
      <c r="A161" s="21" t="s">
        <v>893</v>
      </c>
      <c r="B161" s="21" t="s">
        <v>486</v>
      </c>
      <c r="C161" s="21" t="s">
        <v>487</v>
      </c>
      <c r="D161" s="21" t="s">
        <v>747</v>
      </c>
      <c r="E161" s="21" t="s">
        <v>896</v>
      </c>
    </row>
    <row r="162" spans="1:5" x14ac:dyDescent="0.25">
      <c r="A162" s="21" t="s">
        <v>897</v>
      </c>
      <c r="B162" s="21" t="s">
        <v>544</v>
      </c>
      <c r="C162" s="21" t="s">
        <v>662</v>
      </c>
      <c r="D162" s="21" t="s">
        <v>663</v>
      </c>
      <c r="E162" s="21" t="s">
        <v>664</v>
      </c>
    </row>
    <row r="163" spans="1:5" x14ac:dyDescent="0.25">
      <c r="A163" s="21" t="s">
        <v>897</v>
      </c>
      <c r="B163" s="21" t="s">
        <v>544</v>
      </c>
      <c r="C163" s="21" t="s">
        <v>545</v>
      </c>
      <c r="D163" s="21" t="s">
        <v>669</v>
      </c>
      <c r="E163" s="21" t="s">
        <v>898</v>
      </c>
    </row>
    <row r="164" spans="1:5" x14ac:dyDescent="0.25">
      <c r="A164" s="21" t="s">
        <v>897</v>
      </c>
      <c r="B164" s="21" t="s">
        <v>544</v>
      </c>
      <c r="C164" s="21" t="s">
        <v>547</v>
      </c>
      <c r="D164" s="21" t="s">
        <v>894</v>
      </c>
      <c r="E164" s="21" t="s">
        <v>899</v>
      </c>
    </row>
    <row r="165" spans="1:5" x14ac:dyDescent="0.25">
      <c r="A165" s="21" t="s">
        <v>900</v>
      </c>
      <c r="B165" s="21" t="s">
        <v>429</v>
      </c>
      <c r="C165" s="21" t="s">
        <v>662</v>
      </c>
      <c r="D165" s="21" t="s">
        <v>663</v>
      </c>
      <c r="E165" s="21" t="s">
        <v>664</v>
      </c>
    </row>
    <row r="166" spans="1:5" x14ac:dyDescent="0.25">
      <c r="A166" s="21" t="s">
        <v>900</v>
      </c>
      <c r="B166" s="21" t="s">
        <v>429</v>
      </c>
      <c r="C166" s="21" t="s">
        <v>436</v>
      </c>
      <c r="D166" s="21" t="s">
        <v>666</v>
      </c>
      <c r="E166" s="21" t="s">
        <v>901</v>
      </c>
    </row>
    <row r="167" spans="1:5" x14ac:dyDescent="0.25">
      <c r="A167" s="21" t="s">
        <v>900</v>
      </c>
      <c r="B167" s="21" t="s">
        <v>429</v>
      </c>
      <c r="C167" s="21" t="s">
        <v>434</v>
      </c>
      <c r="D167" s="21" t="s">
        <v>666</v>
      </c>
      <c r="E167" s="21" t="s">
        <v>902</v>
      </c>
    </row>
    <row r="168" spans="1:5" x14ac:dyDescent="0.25">
      <c r="A168" s="21" t="s">
        <v>900</v>
      </c>
      <c r="B168" s="21" t="s">
        <v>429</v>
      </c>
      <c r="C168" s="21" t="s">
        <v>430</v>
      </c>
      <c r="D168" s="21" t="s">
        <v>903</v>
      </c>
      <c r="E168" s="21" t="s">
        <v>904</v>
      </c>
    </row>
    <row r="169" spans="1:5" x14ac:dyDescent="0.25">
      <c r="A169" s="21" t="s">
        <v>900</v>
      </c>
      <c r="B169" s="21" t="s">
        <v>429</v>
      </c>
      <c r="C169" s="21" t="s">
        <v>364</v>
      </c>
      <c r="D169" s="21" t="s">
        <v>669</v>
      </c>
      <c r="E169" s="21" t="s">
        <v>905</v>
      </c>
    </row>
    <row r="170" spans="1:5" x14ac:dyDescent="0.25">
      <c r="A170" s="21" t="s">
        <v>900</v>
      </c>
      <c r="B170" s="21" t="s">
        <v>429</v>
      </c>
      <c r="C170" s="21" t="s">
        <v>354</v>
      </c>
      <c r="D170" s="21" t="s">
        <v>669</v>
      </c>
      <c r="E170" s="21" t="s">
        <v>672</v>
      </c>
    </row>
    <row r="171" spans="1:5" x14ac:dyDescent="0.25">
      <c r="A171" s="21" t="s">
        <v>900</v>
      </c>
      <c r="B171" s="21" t="s">
        <v>429</v>
      </c>
      <c r="C171" s="21" t="s">
        <v>359</v>
      </c>
      <c r="D171" s="21" t="s">
        <v>733</v>
      </c>
      <c r="E171" s="21" t="s">
        <v>906</v>
      </c>
    </row>
    <row r="172" spans="1:5" x14ac:dyDescent="0.25">
      <c r="A172" s="21" t="s">
        <v>900</v>
      </c>
      <c r="B172" s="21" t="s">
        <v>429</v>
      </c>
      <c r="C172" s="21" t="s">
        <v>367</v>
      </c>
      <c r="D172" s="21" t="s">
        <v>699</v>
      </c>
      <c r="E172" s="21" t="s">
        <v>708</v>
      </c>
    </row>
    <row r="173" spans="1:5" x14ac:dyDescent="0.25">
      <c r="A173" s="21" t="s">
        <v>907</v>
      </c>
      <c r="B173" s="21" t="s">
        <v>353</v>
      </c>
      <c r="C173" s="21" t="s">
        <v>662</v>
      </c>
      <c r="D173" s="21" t="s">
        <v>663</v>
      </c>
      <c r="E173" s="21" t="s">
        <v>664</v>
      </c>
    </row>
    <row r="174" spans="1:5" x14ac:dyDescent="0.25">
      <c r="A174" s="21" t="s">
        <v>907</v>
      </c>
      <c r="B174" s="21" t="s">
        <v>353</v>
      </c>
      <c r="C174" s="21" t="s">
        <v>364</v>
      </c>
      <c r="D174" s="21" t="s">
        <v>669</v>
      </c>
      <c r="E174" s="21" t="s">
        <v>365</v>
      </c>
    </row>
    <row r="175" spans="1:5" x14ac:dyDescent="0.25">
      <c r="A175" s="21" t="s">
        <v>907</v>
      </c>
      <c r="B175" s="21" t="s">
        <v>353</v>
      </c>
      <c r="C175" s="21" t="s">
        <v>354</v>
      </c>
      <c r="D175" s="21" t="s">
        <v>669</v>
      </c>
      <c r="E175" s="21" t="s">
        <v>672</v>
      </c>
    </row>
    <row r="176" spans="1:5" x14ac:dyDescent="0.25">
      <c r="A176" s="21" t="s">
        <v>907</v>
      </c>
      <c r="B176" s="21" t="s">
        <v>353</v>
      </c>
      <c r="C176" s="21" t="s">
        <v>359</v>
      </c>
      <c r="D176" s="21" t="s">
        <v>733</v>
      </c>
      <c r="E176" s="21" t="s">
        <v>906</v>
      </c>
    </row>
    <row r="177" spans="1:5" x14ac:dyDescent="0.25">
      <c r="A177" s="21" t="s">
        <v>907</v>
      </c>
      <c r="B177" s="21" t="s">
        <v>353</v>
      </c>
      <c r="C177" s="21" t="s">
        <v>367</v>
      </c>
      <c r="D177" s="21" t="s">
        <v>699</v>
      </c>
      <c r="E177" s="21" t="s">
        <v>708</v>
      </c>
    </row>
    <row r="178" spans="1:5" x14ac:dyDescent="0.25">
      <c r="A178" s="21" t="s">
        <v>907</v>
      </c>
      <c r="B178" s="21" t="s">
        <v>353</v>
      </c>
      <c r="C178" s="21" t="s">
        <v>361</v>
      </c>
      <c r="D178" s="21" t="s">
        <v>908</v>
      </c>
      <c r="E178" s="21" t="s">
        <v>363</v>
      </c>
    </row>
    <row r="179" spans="1:5" x14ac:dyDescent="0.25">
      <c r="A179" s="21" t="s">
        <v>909</v>
      </c>
      <c r="B179" s="21" t="s">
        <v>910</v>
      </c>
      <c r="C179" s="21" t="s">
        <v>662</v>
      </c>
      <c r="D179" s="21" t="s">
        <v>663</v>
      </c>
      <c r="E179" s="21" t="s">
        <v>664</v>
      </c>
    </row>
    <row r="180" spans="1:5" x14ac:dyDescent="0.25">
      <c r="A180" s="21" t="s">
        <v>909</v>
      </c>
      <c r="B180" s="21" t="s">
        <v>910</v>
      </c>
      <c r="C180" s="21" t="s">
        <v>911</v>
      </c>
      <c r="D180" s="21" t="s">
        <v>669</v>
      </c>
      <c r="E180" s="21" t="s">
        <v>912</v>
      </c>
    </row>
    <row r="181" spans="1:5" x14ac:dyDescent="0.25">
      <c r="A181" s="21" t="s">
        <v>909</v>
      </c>
      <c r="B181" s="21" t="s">
        <v>910</v>
      </c>
      <c r="C181" s="21" t="s">
        <v>913</v>
      </c>
      <c r="D181" s="21" t="s">
        <v>669</v>
      </c>
      <c r="E181" s="21" t="s">
        <v>914</v>
      </c>
    </row>
    <row r="182" spans="1:5" x14ac:dyDescent="0.25">
      <c r="A182" s="21" t="s">
        <v>909</v>
      </c>
      <c r="B182" s="21" t="s">
        <v>910</v>
      </c>
      <c r="C182" s="21" t="s">
        <v>915</v>
      </c>
      <c r="D182" s="21" t="s">
        <v>669</v>
      </c>
      <c r="E182" s="21" t="s">
        <v>916</v>
      </c>
    </row>
    <row r="183" spans="1:5" x14ac:dyDescent="0.25">
      <c r="A183" s="21" t="s">
        <v>909</v>
      </c>
      <c r="B183" s="21" t="s">
        <v>910</v>
      </c>
      <c r="C183" s="21" t="s">
        <v>917</v>
      </c>
      <c r="D183" s="21" t="s">
        <v>669</v>
      </c>
      <c r="E183" s="21" t="s">
        <v>918</v>
      </c>
    </row>
    <row r="184" spans="1:5" x14ac:dyDescent="0.25">
      <c r="A184" s="21" t="s">
        <v>909</v>
      </c>
      <c r="B184" s="21" t="s">
        <v>910</v>
      </c>
      <c r="C184" s="21" t="s">
        <v>919</v>
      </c>
      <c r="D184" s="21" t="s">
        <v>920</v>
      </c>
      <c r="E184" s="21" t="s">
        <v>921</v>
      </c>
    </row>
    <row r="185" spans="1:5" x14ac:dyDescent="0.25">
      <c r="A185" s="21" t="s">
        <v>922</v>
      </c>
      <c r="B185" s="21" t="s">
        <v>923</v>
      </c>
      <c r="C185" s="21" t="s">
        <v>662</v>
      </c>
      <c r="D185" s="21" t="s">
        <v>663</v>
      </c>
      <c r="E185" s="21" t="s">
        <v>664</v>
      </c>
    </row>
    <row r="186" spans="1:5" x14ac:dyDescent="0.25">
      <c r="A186" s="21" t="s">
        <v>922</v>
      </c>
      <c r="B186" s="21" t="s">
        <v>923</v>
      </c>
      <c r="C186" s="21" t="s">
        <v>924</v>
      </c>
      <c r="D186" s="21" t="s">
        <v>776</v>
      </c>
      <c r="E186" s="21" t="s">
        <v>925</v>
      </c>
    </row>
    <row r="187" spans="1:5" x14ac:dyDescent="0.25">
      <c r="A187" s="21" t="s">
        <v>922</v>
      </c>
      <c r="B187" s="21" t="s">
        <v>923</v>
      </c>
      <c r="C187" s="21" t="s">
        <v>926</v>
      </c>
      <c r="D187" s="21" t="s">
        <v>776</v>
      </c>
      <c r="E187" s="21" t="s">
        <v>927</v>
      </c>
    </row>
    <row r="188" spans="1:5" x14ac:dyDescent="0.25">
      <c r="A188" s="21" t="s">
        <v>922</v>
      </c>
      <c r="B188" s="21" t="s">
        <v>923</v>
      </c>
      <c r="C188" s="21" t="s">
        <v>928</v>
      </c>
      <c r="D188" s="21" t="s">
        <v>776</v>
      </c>
      <c r="E188" s="21" t="s">
        <v>929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932</v>
      </c>
      <c r="B1" s="20" t="s">
        <v>931</v>
      </c>
      <c r="C1" s="20" t="s">
        <v>992</v>
      </c>
      <c r="D1" s="20" t="s">
        <v>993</v>
      </c>
      <c r="E1" s="20" t="s">
        <v>994</v>
      </c>
      <c r="F1" s="20" t="s">
        <v>940</v>
      </c>
      <c r="G1" s="20" t="s">
        <v>937</v>
      </c>
      <c r="H1" s="20" t="s">
        <v>1072</v>
      </c>
      <c r="I1" s="20" t="s">
        <v>933</v>
      </c>
      <c r="J1" s="20" t="s">
        <v>342</v>
      </c>
      <c r="K1" s="20" t="s">
        <v>351</v>
      </c>
    </row>
    <row r="2" spans="1:11" x14ac:dyDescent="0.25">
      <c r="A2" s="21" t="s">
        <v>781</v>
      </c>
      <c r="B2" s="21" t="s">
        <v>781</v>
      </c>
      <c r="C2" s="21" t="s">
        <v>934</v>
      </c>
      <c r="D2" s="21" t="s">
        <v>935</v>
      </c>
      <c r="E2" s="21" t="s">
        <v>936</v>
      </c>
      <c r="F2" s="21" t="s">
        <v>1073</v>
      </c>
      <c r="G2" s="21" t="s">
        <v>937</v>
      </c>
      <c r="H2" s="21" t="s">
        <v>1073</v>
      </c>
    </row>
    <row r="3" spans="1:11" x14ac:dyDescent="0.25">
      <c r="A3" s="21" t="s">
        <v>781</v>
      </c>
      <c r="B3" s="21" t="s">
        <v>781</v>
      </c>
      <c r="C3" s="21" t="s">
        <v>938</v>
      </c>
      <c r="D3" s="21" t="s">
        <v>939</v>
      </c>
      <c r="E3" s="21" t="s">
        <v>936</v>
      </c>
      <c r="F3" s="21" t="s">
        <v>940</v>
      </c>
      <c r="G3" s="21" t="s">
        <v>1073</v>
      </c>
      <c r="H3" s="21" t="s">
        <v>1073</v>
      </c>
    </row>
    <row r="4" spans="1:11" x14ac:dyDescent="0.25">
      <c r="A4" s="21" t="s">
        <v>781</v>
      </c>
      <c r="B4" s="21" t="s">
        <v>781</v>
      </c>
      <c r="C4" s="21" t="s">
        <v>941</v>
      </c>
      <c r="D4" s="21" t="s">
        <v>942</v>
      </c>
      <c r="E4" s="21" t="s">
        <v>936</v>
      </c>
      <c r="F4" s="21" t="s">
        <v>1073</v>
      </c>
      <c r="G4" s="21" t="s">
        <v>1073</v>
      </c>
      <c r="H4" s="21" t="s">
        <v>1073</v>
      </c>
    </row>
    <row r="5" spans="1:11" x14ac:dyDescent="0.25">
      <c r="A5" s="21" t="s">
        <v>781</v>
      </c>
      <c r="B5" s="21" t="s">
        <v>781</v>
      </c>
      <c r="C5" s="21" t="s">
        <v>401</v>
      </c>
      <c r="D5" s="21" t="s">
        <v>943</v>
      </c>
      <c r="E5" s="21" t="s">
        <v>936</v>
      </c>
      <c r="F5" s="21" t="s">
        <v>1073</v>
      </c>
      <c r="G5" s="21" t="s">
        <v>937</v>
      </c>
      <c r="H5" s="21" t="s">
        <v>1073</v>
      </c>
    </row>
    <row r="6" spans="1:11" x14ac:dyDescent="0.25">
      <c r="A6" s="21" t="s">
        <v>781</v>
      </c>
      <c r="B6" s="21" t="s">
        <v>781</v>
      </c>
      <c r="C6" s="21" t="s">
        <v>944</v>
      </c>
      <c r="D6" s="21" t="s">
        <v>935</v>
      </c>
      <c r="E6" s="21" t="s">
        <v>936</v>
      </c>
      <c r="F6" s="21" t="s">
        <v>1073</v>
      </c>
      <c r="G6" s="21" t="s">
        <v>937</v>
      </c>
      <c r="H6" s="21" t="s">
        <v>1073</v>
      </c>
    </row>
    <row r="7" spans="1:11" x14ac:dyDescent="0.25">
      <c r="A7" s="21" t="s">
        <v>781</v>
      </c>
      <c r="B7" s="21" t="s">
        <v>781</v>
      </c>
      <c r="C7" s="21" t="s">
        <v>413</v>
      </c>
      <c r="D7" s="21" t="s">
        <v>943</v>
      </c>
      <c r="E7" s="21" t="s">
        <v>936</v>
      </c>
      <c r="F7" s="21" t="s">
        <v>1073</v>
      </c>
      <c r="G7" s="21" t="s">
        <v>937</v>
      </c>
      <c r="H7" s="21" t="s">
        <v>1073</v>
      </c>
    </row>
    <row r="8" spans="1:11" x14ac:dyDescent="0.25">
      <c r="A8" s="21" t="s">
        <v>781</v>
      </c>
      <c r="B8" s="21" t="s">
        <v>781</v>
      </c>
      <c r="C8" s="21" t="s">
        <v>415</v>
      </c>
      <c r="D8" s="21" t="s">
        <v>943</v>
      </c>
      <c r="E8" s="21" t="s">
        <v>936</v>
      </c>
      <c r="F8" s="21" t="s">
        <v>1073</v>
      </c>
      <c r="G8" s="21" t="s">
        <v>937</v>
      </c>
      <c r="H8" s="21" t="s">
        <v>1073</v>
      </c>
    </row>
    <row r="9" spans="1:11" x14ac:dyDescent="0.25">
      <c r="A9" s="21" t="s">
        <v>781</v>
      </c>
      <c r="B9" s="21" t="s">
        <v>781</v>
      </c>
      <c r="C9" s="21" t="s">
        <v>945</v>
      </c>
      <c r="D9" s="21" t="s">
        <v>935</v>
      </c>
      <c r="E9" s="21" t="s">
        <v>936</v>
      </c>
      <c r="F9" s="21" t="s">
        <v>1073</v>
      </c>
      <c r="G9" s="21" t="s">
        <v>937</v>
      </c>
      <c r="H9" s="21" t="s">
        <v>1073</v>
      </c>
    </row>
    <row r="10" spans="1:11" x14ac:dyDescent="0.25">
      <c r="A10" s="21" t="s">
        <v>781</v>
      </c>
      <c r="B10" s="21" t="s">
        <v>781</v>
      </c>
      <c r="C10" s="21" t="s">
        <v>417</v>
      </c>
      <c r="D10" s="21" t="s">
        <v>943</v>
      </c>
      <c r="E10" s="21" t="s">
        <v>936</v>
      </c>
      <c r="F10" s="21" t="s">
        <v>1073</v>
      </c>
      <c r="G10" s="21" t="s">
        <v>937</v>
      </c>
      <c r="H10" s="21" t="s">
        <v>1073</v>
      </c>
    </row>
    <row r="11" spans="1:11" x14ac:dyDescent="0.25">
      <c r="A11" s="21" t="s">
        <v>781</v>
      </c>
      <c r="B11" s="21" t="s">
        <v>781</v>
      </c>
      <c r="C11" s="21" t="s">
        <v>946</v>
      </c>
      <c r="D11" s="21" t="s">
        <v>935</v>
      </c>
      <c r="E11" s="21" t="s">
        <v>936</v>
      </c>
      <c r="F11" s="21" t="s">
        <v>1073</v>
      </c>
      <c r="G11" s="21" t="s">
        <v>937</v>
      </c>
      <c r="H11" s="21" t="s">
        <v>1073</v>
      </c>
    </row>
    <row r="12" spans="1:11" x14ac:dyDescent="0.25">
      <c r="A12" s="21" t="s">
        <v>781</v>
      </c>
      <c r="B12" s="21" t="s">
        <v>781</v>
      </c>
      <c r="C12" s="21" t="s">
        <v>567</v>
      </c>
      <c r="D12" s="21" t="s">
        <v>943</v>
      </c>
      <c r="E12" s="21" t="s">
        <v>936</v>
      </c>
      <c r="F12" s="21" t="s">
        <v>1073</v>
      </c>
      <c r="G12" s="21" t="s">
        <v>937</v>
      </c>
      <c r="H12" s="21" t="s">
        <v>1073</v>
      </c>
    </row>
    <row r="13" spans="1:11" x14ac:dyDescent="0.25">
      <c r="A13" s="21" t="s">
        <v>781</v>
      </c>
      <c r="B13" s="21" t="s">
        <v>781</v>
      </c>
      <c r="C13" s="21" t="s">
        <v>947</v>
      </c>
      <c r="D13" s="21" t="s">
        <v>935</v>
      </c>
      <c r="E13" s="21" t="s">
        <v>936</v>
      </c>
      <c r="F13" s="21" t="s">
        <v>1073</v>
      </c>
      <c r="G13" s="21" t="s">
        <v>937</v>
      </c>
      <c r="H13" s="21" t="s">
        <v>1073</v>
      </c>
    </row>
    <row r="14" spans="1:11" x14ac:dyDescent="0.25">
      <c r="A14" s="21" t="s">
        <v>779</v>
      </c>
      <c r="B14" s="21" t="s">
        <v>779</v>
      </c>
      <c r="C14" s="21" t="s">
        <v>401</v>
      </c>
      <c r="D14" s="21" t="s">
        <v>943</v>
      </c>
      <c r="E14" s="21" t="s">
        <v>936</v>
      </c>
      <c r="F14" s="21" t="s">
        <v>1073</v>
      </c>
      <c r="G14" s="21" t="s">
        <v>937</v>
      </c>
      <c r="H14" s="21" t="s">
        <v>1073</v>
      </c>
    </row>
    <row r="15" spans="1:11" x14ac:dyDescent="0.25">
      <c r="A15" s="21" t="s">
        <v>779</v>
      </c>
      <c r="B15" s="21" t="s">
        <v>779</v>
      </c>
      <c r="C15" s="21" t="s">
        <v>938</v>
      </c>
      <c r="D15" s="21" t="s">
        <v>939</v>
      </c>
      <c r="E15" s="21" t="s">
        <v>936</v>
      </c>
      <c r="F15" s="21" t="s">
        <v>940</v>
      </c>
      <c r="G15" s="21" t="s">
        <v>1073</v>
      </c>
      <c r="H15" s="21" t="s">
        <v>1073</v>
      </c>
    </row>
    <row r="16" spans="1:11" x14ac:dyDescent="0.25">
      <c r="A16" s="21" t="s">
        <v>779</v>
      </c>
      <c r="B16" s="21" t="s">
        <v>779</v>
      </c>
      <c r="C16" s="21" t="s">
        <v>941</v>
      </c>
      <c r="D16" s="21" t="s">
        <v>942</v>
      </c>
      <c r="E16" s="21" t="s">
        <v>936</v>
      </c>
      <c r="F16" s="21" t="s">
        <v>1073</v>
      </c>
      <c r="G16" s="21" t="s">
        <v>1073</v>
      </c>
      <c r="H16" s="21" t="s">
        <v>1073</v>
      </c>
    </row>
    <row r="17" spans="1:11" x14ac:dyDescent="0.25">
      <c r="A17" s="21" t="s">
        <v>779</v>
      </c>
      <c r="B17" s="21" t="s">
        <v>779</v>
      </c>
      <c r="C17" s="21" t="s">
        <v>413</v>
      </c>
      <c r="D17" s="21" t="s">
        <v>943</v>
      </c>
      <c r="E17" s="21" t="s">
        <v>936</v>
      </c>
      <c r="F17" s="21" t="s">
        <v>1073</v>
      </c>
      <c r="G17" s="21" t="s">
        <v>937</v>
      </c>
      <c r="H17" s="21" t="s">
        <v>1073</v>
      </c>
    </row>
    <row r="18" spans="1:11" x14ac:dyDescent="0.25">
      <c r="A18" s="21" t="s">
        <v>779</v>
      </c>
      <c r="B18" s="21" t="s">
        <v>779</v>
      </c>
      <c r="C18" s="21" t="s">
        <v>415</v>
      </c>
      <c r="D18" s="21" t="s">
        <v>943</v>
      </c>
      <c r="E18" s="21" t="s">
        <v>936</v>
      </c>
      <c r="F18" s="21" t="s">
        <v>1073</v>
      </c>
      <c r="G18" s="21" t="s">
        <v>937</v>
      </c>
      <c r="H18" s="21" t="s">
        <v>1073</v>
      </c>
    </row>
    <row r="19" spans="1:11" x14ac:dyDescent="0.25">
      <c r="A19" s="21" t="s">
        <v>779</v>
      </c>
      <c r="B19" s="21" t="s">
        <v>779</v>
      </c>
      <c r="C19" s="21" t="s">
        <v>417</v>
      </c>
      <c r="D19" s="21" t="s">
        <v>943</v>
      </c>
      <c r="E19" s="21" t="s">
        <v>936</v>
      </c>
      <c r="F19" s="21" t="s">
        <v>1073</v>
      </c>
      <c r="G19" s="21" t="s">
        <v>937</v>
      </c>
      <c r="H19" s="21" t="s">
        <v>1073</v>
      </c>
    </row>
    <row r="20" spans="1:11" x14ac:dyDescent="0.25">
      <c r="A20" s="21" t="s">
        <v>779</v>
      </c>
      <c r="B20" s="21" t="s">
        <v>779</v>
      </c>
      <c r="C20" s="21" t="s">
        <v>567</v>
      </c>
      <c r="D20" s="21" t="s">
        <v>943</v>
      </c>
      <c r="E20" s="21" t="s">
        <v>936</v>
      </c>
      <c r="F20" s="21" t="s">
        <v>1073</v>
      </c>
      <c r="G20" s="21" t="s">
        <v>937</v>
      </c>
      <c r="H20" s="21" t="s">
        <v>1073</v>
      </c>
    </row>
    <row r="21" spans="1:11" x14ac:dyDescent="0.25">
      <c r="A21" s="21" t="s">
        <v>679</v>
      </c>
      <c r="B21" s="21" t="s">
        <v>679</v>
      </c>
      <c r="C21" s="21" t="s">
        <v>948</v>
      </c>
      <c r="D21" s="21" t="s">
        <v>943</v>
      </c>
      <c r="E21" s="21" t="s">
        <v>949</v>
      </c>
      <c r="F21" s="21" t="s">
        <v>1073</v>
      </c>
      <c r="G21" s="21" t="s">
        <v>937</v>
      </c>
      <c r="H21" s="21" t="s">
        <v>1073</v>
      </c>
    </row>
    <row r="22" spans="1:11" x14ac:dyDescent="0.25">
      <c r="A22" s="21" t="s">
        <v>679</v>
      </c>
      <c r="B22" s="21" t="s">
        <v>679</v>
      </c>
      <c r="C22" s="21" t="s">
        <v>950</v>
      </c>
      <c r="D22" s="21" t="s">
        <v>935</v>
      </c>
      <c r="E22" s="21" t="s">
        <v>949</v>
      </c>
      <c r="F22" s="21" t="s">
        <v>1073</v>
      </c>
      <c r="G22" s="21" t="s">
        <v>937</v>
      </c>
      <c r="H22" s="21" t="s">
        <v>1073</v>
      </c>
      <c r="K22" s="21" t="s">
        <v>951</v>
      </c>
    </row>
    <row r="23" spans="1:11" x14ac:dyDescent="0.25">
      <c r="A23" s="21" t="s">
        <v>822</v>
      </c>
      <c r="B23" s="21" t="s">
        <v>822</v>
      </c>
      <c r="C23" s="21" t="s">
        <v>952</v>
      </c>
      <c r="D23" s="21" t="s">
        <v>953</v>
      </c>
      <c r="E23" s="21" t="s">
        <v>954</v>
      </c>
      <c r="F23" s="21" t="s">
        <v>1073</v>
      </c>
      <c r="G23" s="21" t="s">
        <v>937</v>
      </c>
      <c r="H23" s="21" t="s">
        <v>1072</v>
      </c>
      <c r="I23" s="21" t="s">
        <v>955</v>
      </c>
    </row>
    <row r="24" spans="1:11" x14ac:dyDescent="0.25">
      <c r="A24" s="21" t="s">
        <v>822</v>
      </c>
      <c r="B24" s="21" t="s">
        <v>822</v>
      </c>
      <c r="C24" s="21" t="s">
        <v>938</v>
      </c>
      <c r="D24" s="21" t="s">
        <v>939</v>
      </c>
      <c r="E24" s="21" t="s">
        <v>936</v>
      </c>
      <c r="F24" s="21" t="s">
        <v>940</v>
      </c>
      <c r="G24" s="21" t="s">
        <v>1073</v>
      </c>
      <c r="H24" s="21" t="s">
        <v>1073</v>
      </c>
    </row>
    <row r="25" spans="1:11" x14ac:dyDescent="0.25">
      <c r="A25" s="21" t="s">
        <v>822</v>
      </c>
      <c r="B25" s="21" t="s">
        <v>822</v>
      </c>
      <c r="C25" s="21" t="s">
        <v>941</v>
      </c>
      <c r="D25" s="21" t="s">
        <v>942</v>
      </c>
      <c r="E25" s="21" t="s">
        <v>936</v>
      </c>
      <c r="F25" s="21" t="s">
        <v>1073</v>
      </c>
      <c r="G25" s="21" t="s">
        <v>1073</v>
      </c>
      <c r="H25" s="21" t="s">
        <v>1073</v>
      </c>
    </row>
    <row r="26" spans="1:11" x14ac:dyDescent="0.25">
      <c r="A26" s="21" t="s">
        <v>699</v>
      </c>
      <c r="B26" s="21" t="s">
        <v>699</v>
      </c>
      <c r="C26" s="21" t="s">
        <v>355</v>
      </c>
      <c r="D26" s="21" t="s">
        <v>956</v>
      </c>
      <c r="E26" s="21" t="s">
        <v>936</v>
      </c>
      <c r="F26" s="21" t="s">
        <v>1073</v>
      </c>
      <c r="G26" s="21" t="s">
        <v>937</v>
      </c>
      <c r="H26" s="21" t="s">
        <v>1073</v>
      </c>
    </row>
    <row r="27" spans="1:11" x14ac:dyDescent="0.25">
      <c r="A27" s="21" t="s">
        <v>699</v>
      </c>
      <c r="B27" s="21" t="s">
        <v>699</v>
      </c>
      <c r="C27" s="21" t="s">
        <v>938</v>
      </c>
      <c r="D27" s="21" t="s">
        <v>939</v>
      </c>
      <c r="E27" s="21" t="s">
        <v>936</v>
      </c>
      <c r="F27" s="21" t="s">
        <v>940</v>
      </c>
      <c r="G27" s="21" t="s">
        <v>1073</v>
      </c>
      <c r="H27" s="21" t="s">
        <v>1073</v>
      </c>
    </row>
    <row r="28" spans="1:11" x14ac:dyDescent="0.25">
      <c r="A28" s="21" t="s">
        <v>699</v>
      </c>
      <c r="B28" s="21" t="s">
        <v>699</v>
      </c>
      <c r="C28" s="21" t="s">
        <v>941</v>
      </c>
      <c r="D28" s="21" t="s">
        <v>942</v>
      </c>
      <c r="E28" s="21" t="s">
        <v>936</v>
      </c>
      <c r="F28" s="21" t="s">
        <v>1073</v>
      </c>
      <c r="G28" s="21" t="s">
        <v>1073</v>
      </c>
      <c r="H28" s="21" t="s">
        <v>1073</v>
      </c>
    </row>
    <row r="29" spans="1:11" x14ac:dyDescent="0.25">
      <c r="A29" s="21" t="s">
        <v>699</v>
      </c>
      <c r="B29" s="21" t="s">
        <v>699</v>
      </c>
      <c r="C29" s="21" t="s">
        <v>950</v>
      </c>
      <c r="D29" s="21" t="s">
        <v>935</v>
      </c>
      <c r="E29" s="21" t="s">
        <v>949</v>
      </c>
      <c r="F29" s="21" t="s">
        <v>1073</v>
      </c>
      <c r="G29" s="21" t="s">
        <v>937</v>
      </c>
      <c r="H29" s="21" t="s">
        <v>1073</v>
      </c>
    </row>
    <row r="30" spans="1:11" x14ac:dyDescent="0.25">
      <c r="A30" s="21" t="s">
        <v>756</v>
      </c>
      <c r="B30" s="21" t="s">
        <v>756</v>
      </c>
      <c r="C30" s="21" t="s">
        <v>957</v>
      </c>
      <c r="D30" s="21" t="s">
        <v>958</v>
      </c>
      <c r="E30" s="21" t="s">
        <v>959</v>
      </c>
      <c r="F30" s="21" t="s">
        <v>1073</v>
      </c>
      <c r="G30" s="21" t="s">
        <v>1073</v>
      </c>
      <c r="H30" s="21" t="s">
        <v>1073</v>
      </c>
      <c r="J30" s="21" t="s">
        <v>960</v>
      </c>
    </row>
    <row r="31" spans="1:11" x14ac:dyDescent="0.25">
      <c r="A31" s="21" t="s">
        <v>756</v>
      </c>
      <c r="B31" s="21" t="s">
        <v>756</v>
      </c>
      <c r="C31" s="21" t="s">
        <v>961</v>
      </c>
      <c r="D31" s="21" t="s">
        <v>958</v>
      </c>
      <c r="E31" s="21" t="s">
        <v>959</v>
      </c>
      <c r="F31" s="21" t="s">
        <v>1073</v>
      </c>
      <c r="G31" s="21" t="s">
        <v>1073</v>
      </c>
      <c r="H31" s="21" t="s">
        <v>1073</v>
      </c>
      <c r="J31" s="21" t="s">
        <v>962</v>
      </c>
    </row>
    <row r="32" spans="1:11" x14ac:dyDescent="0.25">
      <c r="A32" s="21" t="s">
        <v>756</v>
      </c>
      <c r="B32" s="21" t="s">
        <v>756</v>
      </c>
      <c r="C32" s="21" t="s">
        <v>963</v>
      </c>
      <c r="D32" s="21" t="s">
        <v>958</v>
      </c>
      <c r="E32" s="21" t="s">
        <v>959</v>
      </c>
      <c r="F32" s="21" t="s">
        <v>1073</v>
      </c>
      <c r="G32" s="21" t="s">
        <v>1073</v>
      </c>
      <c r="H32" s="21" t="s">
        <v>1073</v>
      </c>
      <c r="J32" s="21" t="s">
        <v>964</v>
      </c>
    </row>
    <row r="33" spans="1:10" x14ac:dyDescent="0.25">
      <c r="A33" s="21" t="s">
        <v>756</v>
      </c>
      <c r="B33" s="21" t="s">
        <v>756</v>
      </c>
      <c r="C33" s="21" t="s">
        <v>965</v>
      </c>
      <c r="D33" s="21" t="s">
        <v>958</v>
      </c>
      <c r="E33" s="21" t="s">
        <v>959</v>
      </c>
      <c r="F33" s="21" t="s">
        <v>1073</v>
      </c>
      <c r="G33" s="21" t="s">
        <v>1073</v>
      </c>
      <c r="H33" s="21" t="s">
        <v>1073</v>
      </c>
      <c r="J33" s="21" t="s">
        <v>966</v>
      </c>
    </row>
    <row r="34" spans="1:10" x14ac:dyDescent="0.25">
      <c r="A34" s="21" t="s">
        <v>689</v>
      </c>
      <c r="B34" s="21" t="s">
        <v>967</v>
      </c>
      <c r="C34" s="21" t="s">
        <v>355</v>
      </c>
      <c r="D34" s="21" t="s">
        <v>935</v>
      </c>
      <c r="E34" s="21" t="s">
        <v>936</v>
      </c>
      <c r="F34" s="21" t="s">
        <v>1073</v>
      </c>
      <c r="G34" s="21" t="s">
        <v>937</v>
      </c>
      <c r="H34" s="21" t="s">
        <v>1072</v>
      </c>
      <c r="I34" s="21" t="s">
        <v>968</v>
      </c>
    </row>
    <row r="35" spans="1:10" x14ac:dyDescent="0.25">
      <c r="A35" s="21" t="s">
        <v>689</v>
      </c>
      <c r="B35" s="21" t="s">
        <v>967</v>
      </c>
      <c r="C35" s="21" t="s">
        <v>938</v>
      </c>
      <c r="D35" s="21" t="s">
        <v>939</v>
      </c>
      <c r="E35" s="21" t="s">
        <v>936</v>
      </c>
      <c r="F35" s="21" t="s">
        <v>940</v>
      </c>
      <c r="G35" s="21" t="s">
        <v>1073</v>
      </c>
      <c r="H35" s="21" t="s">
        <v>1073</v>
      </c>
    </row>
    <row r="36" spans="1:10" x14ac:dyDescent="0.25">
      <c r="A36" s="21" t="s">
        <v>689</v>
      </c>
      <c r="B36" s="21" t="s">
        <v>967</v>
      </c>
      <c r="C36" s="21" t="s">
        <v>941</v>
      </c>
      <c r="D36" s="21" t="s">
        <v>942</v>
      </c>
      <c r="E36" s="21" t="s">
        <v>936</v>
      </c>
      <c r="F36" s="21" t="s">
        <v>1073</v>
      </c>
      <c r="G36" s="21" t="s">
        <v>1073</v>
      </c>
      <c r="H36" s="21" t="s">
        <v>1073</v>
      </c>
    </row>
    <row r="37" spans="1:10" x14ac:dyDescent="0.25">
      <c r="A37" s="21" t="s">
        <v>676</v>
      </c>
      <c r="B37" s="21" t="s">
        <v>969</v>
      </c>
      <c r="C37" s="21" t="s">
        <v>355</v>
      </c>
      <c r="D37" s="21" t="s">
        <v>935</v>
      </c>
      <c r="E37" s="21" t="s">
        <v>936</v>
      </c>
      <c r="F37" s="21" t="s">
        <v>1073</v>
      </c>
      <c r="G37" s="21" t="s">
        <v>937</v>
      </c>
      <c r="H37" s="21" t="s">
        <v>1072</v>
      </c>
      <c r="I37" s="21" t="s">
        <v>970</v>
      </c>
    </row>
    <row r="38" spans="1:10" x14ac:dyDescent="0.25">
      <c r="A38" s="21" t="s">
        <v>676</v>
      </c>
      <c r="B38" s="21" t="s">
        <v>969</v>
      </c>
      <c r="C38" s="21" t="s">
        <v>938</v>
      </c>
      <c r="D38" s="21" t="s">
        <v>939</v>
      </c>
      <c r="E38" s="21" t="s">
        <v>936</v>
      </c>
      <c r="F38" s="21" t="s">
        <v>940</v>
      </c>
      <c r="G38" s="21" t="s">
        <v>1073</v>
      </c>
      <c r="H38" s="21" t="s">
        <v>1073</v>
      </c>
    </row>
    <row r="39" spans="1:10" x14ac:dyDescent="0.25">
      <c r="A39" s="21" t="s">
        <v>676</v>
      </c>
      <c r="B39" s="21" t="s">
        <v>969</v>
      </c>
      <c r="C39" s="21" t="s">
        <v>941</v>
      </c>
      <c r="D39" s="21" t="s">
        <v>942</v>
      </c>
      <c r="E39" s="21" t="s">
        <v>936</v>
      </c>
      <c r="F39" s="21" t="s">
        <v>1073</v>
      </c>
      <c r="G39" s="21" t="s">
        <v>1073</v>
      </c>
      <c r="H39" s="21" t="s">
        <v>1073</v>
      </c>
    </row>
    <row r="40" spans="1:10" x14ac:dyDescent="0.25">
      <c r="A40" s="21" t="s">
        <v>663</v>
      </c>
      <c r="B40" s="21" t="s">
        <v>971</v>
      </c>
      <c r="C40" s="21" t="s">
        <v>355</v>
      </c>
      <c r="D40" s="21" t="s">
        <v>935</v>
      </c>
      <c r="E40" s="21" t="s">
        <v>936</v>
      </c>
      <c r="F40" s="21" t="s">
        <v>1073</v>
      </c>
      <c r="G40" s="21" t="s">
        <v>937</v>
      </c>
      <c r="H40" s="21" t="s">
        <v>1072</v>
      </c>
      <c r="I40" s="21" t="s">
        <v>972</v>
      </c>
    </row>
    <row r="41" spans="1:10" x14ac:dyDescent="0.25">
      <c r="A41" s="21" t="s">
        <v>663</v>
      </c>
      <c r="B41" s="21" t="s">
        <v>971</v>
      </c>
      <c r="C41" s="21" t="s">
        <v>938</v>
      </c>
      <c r="D41" s="21" t="s">
        <v>939</v>
      </c>
      <c r="E41" s="21" t="s">
        <v>936</v>
      </c>
      <c r="F41" s="21" t="s">
        <v>940</v>
      </c>
      <c r="G41" s="21" t="s">
        <v>1073</v>
      </c>
      <c r="H41" s="21" t="s">
        <v>1073</v>
      </c>
    </row>
    <row r="42" spans="1:10" x14ac:dyDescent="0.25">
      <c r="A42" s="21" t="s">
        <v>663</v>
      </c>
      <c r="B42" s="21" t="s">
        <v>971</v>
      </c>
      <c r="C42" s="21" t="s">
        <v>941</v>
      </c>
      <c r="D42" s="21" t="s">
        <v>942</v>
      </c>
      <c r="E42" s="21" t="s">
        <v>936</v>
      </c>
      <c r="F42" s="21" t="s">
        <v>1073</v>
      </c>
      <c r="G42" s="21" t="s">
        <v>1073</v>
      </c>
      <c r="H42" s="21" t="s">
        <v>1073</v>
      </c>
    </row>
    <row r="43" spans="1:10" x14ac:dyDescent="0.25">
      <c r="A43" s="21" t="s">
        <v>903</v>
      </c>
      <c r="B43" s="21" t="s">
        <v>971</v>
      </c>
      <c r="C43" s="21" t="s">
        <v>355</v>
      </c>
      <c r="D43" s="21" t="s">
        <v>935</v>
      </c>
      <c r="E43" s="21" t="s">
        <v>936</v>
      </c>
      <c r="F43" s="21" t="s">
        <v>1073</v>
      </c>
      <c r="G43" s="21" t="s">
        <v>937</v>
      </c>
      <c r="H43" s="21" t="s">
        <v>1072</v>
      </c>
      <c r="I43" s="21" t="s">
        <v>973</v>
      </c>
    </row>
    <row r="44" spans="1:10" x14ac:dyDescent="0.25">
      <c r="A44" s="21" t="s">
        <v>903</v>
      </c>
      <c r="B44" s="21" t="s">
        <v>971</v>
      </c>
      <c r="C44" s="21" t="s">
        <v>938</v>
      </c>
      <c r="D44" s="21" t="s">
        <v>939</v>
      </c>
      <c r="E44" s="21" t="s">
        <v>936</v>
      </c>
      <c r="F44" s="21" t="s">
        <v>940</v>
      </c>
      <c r="G44" s="21" t="s">
        <v>1073</v>
      </c>
      <c r="H44" s="21" t="s">
        <v>1073</v>
      </c>
    </row>
    <row r="45" spans="1:10" x14ac:dyDescent="0.25">
      <c r="A45" s="21" t="s">
        <v>903</v>
      </c>
      <c r="B45" s="21" t="s">
        <v>971</v>
      </c>
      <c r="C45" s="21" t="s">
        <v>941</v>
      </c>
      <c r="D45" s="21" t="s">
        <v>942</v>
      </c>
      <c r="E45" s="21" t="s">
        <v>936</v>
      </c>
      <c r="F45" s="21" t="s">
        <v>1073</v>
      </c>
      <c r="G45" s="21" t="s">
        <v>1073</v>
      </c>
      <c r="H45" s="21" t="s">
        <v>1073</v>
      </c>
    </row>
    <row r="46" spans="1:10" x14ac:dyDescent="0.25">
      <c r="A46" s="21" t="s">
        <v>747</v>
      </c>
      <c r="B46" s="21" t="s">
        <v>971</v>
      </c>
      <c r="C46" s="21" t="s">
        <v>355</v>
      </c>
      <c r="D46" s="21" t="s">
        <v>935</v>
      </c>
      <c r="E46" s="21" t="s">
        <v>936</v>
      </c>
      <c r="F46" s="21" t="s">
        <v>1073</v>
      </c>
      <c r="G46" s="21" t="s">
        <v>937</v>
      </c>
      <c r="H46" s="21" t="s">
        <v>1072</v>
      </c>
      <c r="I46" s="21" t="s">
        <v>974</v>
      </c>
    </row>
    <row r="47" spans="1:10" x14ac:dyDescent="0.25">
      <c r="A47" s="21" t="s">
        <v>747</v>
      </c>
      <c r="B47" s="21" t="s">
        <v>971</v>
      </c>
      <c r="C47" s="21" t="s">
        <v>938</v>
      </c>
      <c r="D47" s="21" t="s">
        <v>939</v>
      </c>
      <c r="E47" s="21" t="s">
        <v>936</v>
      </c>
      <c r="F47" s="21" t="s">
        <v>940</v>
      </c>
      <c r="G47" s="21" t="s">
        <v>1073</v>
      </c>
      <c r="H47" s="21" t="s">
        <v>1073</v>
      </c>
    </row>
    <row r="48" spans="1:10" x14ac:dyDescent="0.25">
      <c r="A48" s="21" t="s">
        <v>747</v>
      </c>
      <c r="B48" s="21" t="s">
        <v>971</v>
      </c>
      <c r="C48" s="21" t="s">
        <v>941</v>
      </c>
      <c r="D48" s="21" t="s">
        <v>942</v>
      </c>
      <c r="E48" s="21" t="s">
        <v>936</v>
      </c>
      <c r="F48" s="21" t="s">
        <v>1073</v>
      </c>
      <c r="G48" s="21" t="s">
        <v>1073</v>
      </c>
      <c r="H48" s="21" t="s">
        <v>1073</v>
      </c>
    </row>
    <row r="49" spans="1:9" x14ac:dyDescent="0.25">
      <c r="A49" s="21" t="s">
        <v>759</v>
      </c>
      <c r="B49" s="21" t="s">
        <v>971</v>
      </c>
      <c r="C49" s="21" t="s">
        <v>355</v>
      </c>
      <c r="D49" s="21" t="s">
        <v>935</v>
      </c>
      <c r="E49" s="21" t="s">
        <v>936</v>
      </c>
      <c r="F49" s="21" t="s">
        <v>1073</v>
      </c>
      <c r="G49" s="21" t="s">
        <v>937</v>
      </c>
      <c r="H49" s="21" t="s">
        <v>1072</v>
      </c>
      <c r="I49" s="21" t="s">
        <v>975</v>
      </c>
    </row>
    <row r="50" spans="1:9" x14ac:dyDescent="0.25">
      <c r="A50" s="21" t="s">
        <v>759</v>
      </c>
      <c r="B50" s="21" t="s">
        <v>971</v>
      </c>
      <c r="C50" s="21" t="s">
        <v>938</v>
      </c>
      <c r="D50" s="21" t="s">
        <v>939</v>
      </c>
      <c r="E50" s="21" t="s">
        <v>936</v>
      </c>
      <c r="F50" s="21" t="s">
        <v>940</v>
      </c>
      <c r="G50" s="21" t="s">
        <v>1073</v>
      </c>
      <c r="H50" s="21" t="s">
        <v>1073</v>
      </c>
    </row>
    <row r="51" spans="1:9" x14ac:dyDescent="0.25">
      <c r="A51" s="21" t="s">
        <v>759</v>
      </c>
      <c r="B51" s="21" t="s">
        <v>971</v>
      </c>
      <c r="C51" s="21" t="s">
        <v>941</v>
      </c>
      <c r="D51" s="21" t="s">
        <v>942</v>
      </c>
      <c r="E51" s="21" t="s">
        <v>936</v>
      </c>
      <c r="F51" s="21" t="s">
        <v>1073</v>
      </c>
      <c r="G51" s="21" t="s">
        <v>1073</v>
      </c>
      <c r="H51" s="21" t="s">
        <v>1073</v>
      </c>
    </row>
    <row r="52" spans="1:9" x14ac:dyDescent="0.25">
      <c r="A52" s="21" t="s">
        <v>819</v>
      </c>
      <c r="B52" s="21" t="s">
        <v>971</v>
      </c>
      <c r="C52" s="21" t="s">
        <v>355</v>
      </c>
      <c r="D52" s="21" t="s">
        <v>935</v>
      </c>
      <c r="E52" s="21" t="s">
        <v>936</v>
      </c>
      <c r="F52" s="21" t="s">
        <v>1073</v>
      </c>
      <c r="G52" s="21" t="s">
        <v>937</v>
      </c>
      <c r="H52" s="21" t="s">
        <v>1072</v>
      </c>
      <c r="I52" s="21" t="s">
        <v>976</v>
      </c>
    </row>
    <row r="53" spans="1:9" x14ac:dyDescent="0.25">
      <c r="A53" s="21" t="s">
        <v>819</v>
      </c>
      <c r="B53" s="21" t="s">
        <v>971</v>
      </c>
      <c r="C53" s="21" t="s">
        <v>938</v>
      </c>
      <c r="D53" s="21" t="s">
        <v>939</v>
      </c>
      <c r="E53" s="21" t="s">
        <v>936</v>
      </c>
      <c r="F53" s="21" t="s">
        <v>940</v>
      </c>
      <c r="G53" s="21" t="s">
        <v>1073</v>
      </c>
      <c r="H53" s="21" t="s">
        <v>1073</v>
      </c>
    </row>
    <row r="54" spans="1:9" x14ac:dyDescent="0.25">
      <c r="A54" s="21" t="s">
        <v>819</v>
      </c>
      <c r="B54" s="21" t="s">
        <v>971</v>
      </c>
      <c r="C54" s="21" t="s">
        <v>941</v>
      </c>
      <c r="D54" s="21" t="s">
        <v>942</v>
      </c>
      <c r="E54" s="21" t="s">
        <v>936</v>
      </c>
      <c r="F54" s="21" t="s">
        <v>1073</v>
      </c>
      <c r="G54" s="21" t="s">
        <v>1073</v>
      </c>
      <c r="H54" s="21" t="s">
        <v>1073</v>
      </c>
    </row>
    <row r="55" spans="1:9" x14ac:dyDescent="0.25">
      <c r="A55" s="21" t="s">
        <v>750</v>
      </c>
      <c r="B55" s="21" t="s">
        <v>971</v>
      </c>
      <c r="C55" s="21" t="s">
        <v>355</v>
      </c>
      <c r="D55" s="21" t="s">
        <v>935</v>
      </c>
      <c r="E55" s="21" t="s">
        <v>936</v>
      </c>
      <c r="F55" s="21" t="s">
        <v>1073</v>
      </c>
      <c r="G55" s="21" t="s">
        <v>937</v>
      </c>
      <c r="H55" s="21" t="s">
        <v>1072</v>
      </c>
      <c r="I55" s="21" t="s">
        <v>977</v>
      </c>
    </row>
    <row r="56" spans="1:9" x14ac:dyDescent="0.25">
      <c r="A56" s="21" t="s">
        <v>750</v>
      </c>
      <c r="B56" s="21" t="s">
        <v>971</v>
      </c>
      <c r="C56" s="21" t="s">
        <v>938</v>
      </c>
      <c r="D56" s="21" t="s">
        <v>939</v>
      </c>
      <c r="E56" s="21" t="s">
        <v>936</v>
      </c>
      <c r="F56" s="21" t="s">
        <v>940</v>
      </c>
      <c r="G56" s="21" t="s">
        <v>1073</v>
      </c>
      <c r="H56" s="21" t="s">
        <v>1073</v>
      </c>
    </row>
    <row r="57" spans="1:9" x14ac:dyDescent="0.25">
      <c r="A57" s="21" t="s">
        <v>750</v>
      </c>
      <c r="B57" s="21" t="s">
        <v>971</v>
      </c>
      <c r="C57" s="21" t="s">
        <v>941</v>
      </c>
      <c r="D57" s="21" t="s">
        <v>942</v>
      </c>
      <c r="E57" s="21" t="s">
        <v>936</v>
      </c>
      <c r="F57" s="21" t="s">
        <v>1073</v>
      </c>
      <c r="G57" s="21" t="s">
        <v>1073</v>
      </c>
      <c r="H57" s="21" t="s">
        <v>1073</v>
      </c>
    </row>
    <row r="58" spans="1:9" x14ac:dyDescent="0.25">
      <c r="A58" s="21" t="s">
        <v>831</v>
      </c>
      <c r="B58" s="21" t="s">
        <v>971</v>
      </c>
      <c r="C58" s="21" t="s">
        <v>355</v>
      </c>
      <c r="D58" s="21" t="s">
        <v>935</v>
      </c>
      <c r="E58" s="21" t="s">
        <v>936</v>
      </c>
      <c r="F58" s="21" t="s">
        <v>1073</v>
      </c>
      <c r="G58" s="21" t="s">
        <v>937</v>
      </c>
      <c r="H58" s="21" t="s">
        <v>1072</v>
      </c>
      <c r="I58" s="21" t="s">
        <v>978</v>
      </c>
    </row>
    <row r="59" spans="1:9" x14ac:dyDescent="0.25">
      <c r="A59" s="21" t="s">
        <v>831</v>
      </c>
      <c r="B59" s="21" t="s">
        <v>971</v>
      </c>
      <c r="C59" s="21" t="s">
        <v>938</v>
      </c>
      <c r="D59" s="21" t="s">
        <v>939</v>
      </c>
      <c r="E59" s="21" t="s">
        <v>936</v>
      </c>
      <c r="F59" s="21" t="s">
        <v>940</v>
      </c>
      <c r="G59" s="21" t="s">
        <v>1073</v>
      </c>
      <c r="H59" s="21" t="s">
        <v>1073</v>
      </c>
    </row>
    <row r="60" spans="1:9" x14ac:dyDescent="0.25">
      <c r="A60" s="21" t="s">
        <v>831</v>
      </c>
      <c r="B60" s="21" t="s">
        <v>971</v>
      </c>
      <c r="C60" s="21" t="s">
        <v>941</v>
      </c>
      <c r="D60" s="21" t="s">
        <v>942</v>
      </c>
      <c r="E60" s="21" t="s">
        <v>936</v>
      </c>
      <c r="F60" s="21" t="s">
        <v>1073</v>
      </c>
      <c r="G60" s="21" t="s">
        <v>1073</v>
      </c>
      <c r="H60" s="21" t="s">
        <v>1073</v>
      </c>
    </row>
    <row r="61" spans="1:9" x14ac:dyDescent="0.25">
      <c r="A61" s="21" t="s">
        <v>836</v>
      </c>
      <c r="B61" s="21" t="s">
        <v>971</v>
      </c>
      <c r="C61" s="21" t="s">
        <v>355</v>
      </c>
      <c r="D61" s="21" t="s">
        <v>935</v>
      </c>
      <c r="E61" s="21" t="s">
        <v>936</v>
      </c>
      <c r="F61" s="21" t="s">
        <v>1073</v>
      </c>
      <c r="G61" s="21" t="s">
        <v>937</v>
      </c>
      <c r="H61" s="21" t="s">
        <v>1072</v>
      </c>
      <c r="I61" s="21" t="s">
        <v>979</v>
      </c>
    </row>
    <row r="62" spans="1:9" x14ac:dyDescent="0.25">
      <c r="A62" s="21" t="s">
        <v>836</v>
      </c>
      <c r="B62" s="21" t="s">
        <v>971</v>
      </c>
      <c r="C62" s="21" t="s">
        <v>938</v>
      </c>
      <c r="D62" s="21" t="s">
        <v>939</v>
      </c>
      <c r="E62" s="21" t="s">
        <v>936</v>
      </c>
      <c r="F62" s="21" t="s">
        <v>940</v>
      </c>
      <c r="G62" s="21" t="s">
        <v>1073</v>
      </c>
      <c r="H62" s="21" t="s">
        <v>1073</v>
      </c>
    </row>
    <row r="63" spans="1:9" x14ac:dyDescent="0.25">
      <c r="A63" s="21" t="s">
        <v>836</v>
      </c>
      <c r="B63" s="21" t="s">
        <v>971</v>
      </c>
      <c r="C63" s="21" t="s">
        <v>941</v>
      </c>
      <c r="D63" s="21" t="s">
        <v>942</v>
      </c>
      <c r="E63" s="21" t="s">
        <v>936</v>
      </c>
      <c r="F63" s="21" t="s">
        <v>1073</v>
      </c>
      <c r="G63" s="21" t="s">
        <v>1073</v>
      </c>
      <c r="H63" s="21" t="s">
        <v>1073</v>
      </c>
    </row>
    <row r="64" spans="1:9" x14ac:dyDescent="0.25">
      <c r="A64" s="21" t="s">
        <v>908</v>
      </c>
      <c r="B64" s="21" t="s">
        <v>971</v>
      </c>
      <c r="C64" s="21" t="s">
        <v>355</v>
      </c>
      <c r="D64" s="21" t="s">
        <v>935</v>
      </c>
      <c r="E64" s="21" t="s">
        <v>936</v>
      </c>
      <c r="F64" s="21" t="s">
        <v>1073</v>
      </c>
      <c r="G64" s="21" t="s">
        <v>937</v>
      </c>
      <c r="H64" s="21" t="s">
        <v>1072</v>
      </c>
      <c r="I64" s="21" t="s">
        <v>980</v>
      </c>
    </row>
    <row r="65" spans="1:11" x14ac:dyDescent="0.25">
      <c r="A65" s="21" t="s">
        <v>908</v>
      </c>
      <c r="B65" s="21" t="s">
        <v>971</v>
      </c>
      <c r="C65" s="21" t="s">
        <v>938</v>
      </c>
      <c r="D65" s="21" t="s">
        <v>939</v>
      </c>
      <c r="E65" s="21" t="s">
        <v>936</v>
      </c>
      <c r="F65" s="21" t="s">
        <v>940</v>
      </c>
      <c r="G65" s="21" t="s">
        <v>1073</v>
      </c>
      <c r="H65" s="21" t="s">
        <v>1073</v>
      </c>
    </row>
    <row r="66" spans="1:11" x14ac:dyDescent="0.25">
      <c r="A66" s="21" t="s">
        <v>908</v>
      </c>
      <c r="B66" s="21" t="s">
        <v>971</v>
      </c>
      <c r="C66" s="21" t="s">
        <v>941</v>
      </c>
      <c r="D66" s="21" t="s">
        <v>942</v>
      </c>
      <c r="E66" s="21" t="s">
        <v>936</v>
      </c>
      <c r="F66" s="21" t="s">
        <v>1073</v>
      </c>
      <c r="G66" s="21" t="s">
        <v>1073</v>
      </c>
      <c r="H66" s="21" t="s">
        <v>1073</v>
      </c>
    </row>
    <row r="67" spans="1:11" x14ac:dyDescent="0.25">
      <c r="A67" s="21" t="s">
        <v>718</v>
      </c>
      <c r="B67" s="21" t="s">
        <v>971</v>
      </c>
      <c r="C67" s="21" t="s">
        <v>355</v>
      </c>
      <c r="D67" s="21" t="s">
        <v>935</v>
      </c>
      <c r="E67" s="21" t="s">
        <v>936</v>
      </c>
      <c r="F67" s="21" t="s">
        <v>1073</v>
      </c>
      <c r="G67" s="21" t="s">
        <v>937</v>
      </c>
      <c r="H67" s="21" t="s">
        <v>1072</v>
      </c>
      <c r="I67" s="21" t="s">
        <v>981</v>
      </c>
    </row>
    <row r="68" spans="1:11" x14ac:dyDescent="0.25">
      <c r="A68" s="21" t="s">
        <v>718</v>
      </c>
      <c r="B68" s="21" t="s">
        <v>971</v>
      </c>
      <c r="C68" s="21" t="s">
        <v>938</v>
      </c>
      <c r="D68" s="21" t="s">
        <v>939</v>
      </c>
      <c r="E68" s="21" t="s">
        <v>936</v>
      </c>
      <c r="F68" s="21" t="s">
        <v>940</v>
      </c>
      <c r="G68" s="21" t="s">
        <v>1073</v>
      </c>
      <c r="H68" s="21" t="s">
        <v>1073</v>
      </c>
    </row>
    <row r="69" spans="1:11" x14ac:dyDescent="0.25">
      <c r="A69" s="21" t="s">
        <v>718</v>
      </c>
      <c r="B69" s="21" t="s">
        <v>971</v>
      </c>
      <c r="C69" s="21" t="s">
        <v>941</v>
      </c>
      <c r="D69" s="21" t="s">
        <v>942</v>
      </c>
      <c r="E69" s="21" t="s">
        <v>936</v>
      </c>
      <c r="F69" s="21" t="s">
        <v>1073</v>
      </c>
      <c r="G69" s="21" t="s">
        <v>1073</v>
      </c>
      <c r="H69" s="21" t="s">
        <v>1073</v>
      </c>
    </row>
    <row r="70" spans="1:11" x14ac:dyDescent="0.25">
      <c r="A70" s="21" t="s">
        <v>733</v>
      </c>
      <c r="B70" s="21" t="s">
        <v>733</v>
      </c>
      <c r="C70" s="21" t="s">
        <v>355</v>
      </c>
      <c r="D70" s="21" t="s">
        <v>982</v>
      </c>
      <c r="E70" s="21" t="s">
        <v>936</v>
      </c>
      <c r="F70" s="21" t="s">
        <v>1073</v>
      </c>
      <c r="G70" s="21" t="s">
        <v>937</v>
      </c>
      <c r="H70" s="21" t="s">
        <v>1072</v>
      </c>
    </row>
    <row r="71" spans="1:11" x14ac:dyDescent="0.25">
      <c r="A71" s="21" t="s">
        <v>733</v>
      </c>
      <c r="B71" s="21" t="s">
        <v>733</v>
      </c>
      <c r="C71" s="21" t="s">
        <v>938</v>
      </c>
      <c r="D71" s="21" t="s">
        <v>939</v>
      </c>
      <c r="E71" s="21" t="s">
        <v>936</v>
      </c>
      <c r="F71" s="21" t="s">
        <v>940</v>
      </c>
      <c r="G71" s="21" t="s">
        <v>1073</v>
      </c>
      <c r="H71" s="21" t="s">
        <v>1073</v>
      </c>
    </row>
    <row r="72" spans="1:11" x14ac:dyDescent="0.25">
      <c r="A72" s="21" t="s">
        <v>733</v>
      </c>
      <c r="B72" s="21" t="s">
        <v>733</v>
      </c>
      <c r="C72" s="21" t="s">
        <v>941</v>
      </c>
      <c r="D72" s="21" t="s">
        <v>942</v>
      </c>
      <c r="E72" s="21" t="s">
        <v>936</v>
      </c>
      <c r="F72" s="21" t="s">
        <v>1073</v>
      </c>
      <c r="G72" s="21" t="s">
        <v>1073</v>
      </c>
      <c r="H72" s="21" t="s">
        <v>1073</v>
      </c>
    </row>
    <row r="73" spans="1:11" x14ac:dyDescent="0.25">
      <c r="A73" s="21" t="s">
        <v>920</v>
      </c>
      <c r="B73" s="21" t="s">
        <v>920</v>
      </c>
      <c r="C73" s="21" t="s">
        <v>983</v>
      </c>
      <c r="D73" s="21" t="s">
        <v>984</v>
      </c>
      <c r="E73" s="21" t="s">
        <v>936</v>
      </c>
      <c r="F73" s="21" t="s">
        <v>1073</v>
      </c>
      <c r="G73" s="21" t="s">
        <v>1073</v>
      </c>
      <c r="H73" s="21" t="s">
        <v>1073</v>
      </c>
    </row>
    <row r="74" spans="1:11" x14ac:dyDescent="0.25">
      <c r="A74" s="21" t="s">
        <v>920</v>
      </c>
      <c r="B74" s="21" t="s">
        <v>920</v>
      </c>
      <c r="C74" s="21" t="s">
        <v>938</v>
      </c>
      <c r="D74" s="21" t="s">
        <v>939</v>
      </c>
      <c r="E74" s="21" t="s">
        <v>936</v>
      </c>
      <c r="F74" s="21" t="s">
        <v>940</v>
      </c>
      <c r="G74" s="21" t="s">
        <v>1073</v>
      </c>
      <c r="H74" s="21" t="s">
        <v>1073</v>
      </c>
    </row>
    <row r="75" spans="1:11" x14ac:dyDescent="0.25">
      <c r="A75" s="21" t="s">
        <v>920</v>
      </c>
      <c r="B75" s="21" t="s">
        <v>920</v>
      </c>
      <c r="C75" s="21" t="s">
        <v>941</v>
      </c>
      <c r="D75" s="21" t="s">
        <v>942</v>
      </c>
      <c r="E75" s="21" t="s">
        <v>936</v>
      </c>
      <c r="F75" s="21" t="s">
        <v>1073</v>
      </c>
      <c r="G75" s="21" t="s">
        <v>1073</v>
      </c>
      <c r="H75" s="21" t="s">
        <v>1073</v>
      </c>
    </row>
    <row r="76" spans="1:11" x14ac:dyDescent="0.25">
      <c r="A76" s="21" t="s">
        <v>920</v>
      </c>
      <c r="B76" s="21" t="s">
        <v>920</v>
      </c>
      <c r="C76" s="21" t="s">
        <v>950</v>
      </c>
      <c r="D76" s="21" t="s">
        <v>935</v>
      </c>
      <c r="E76" s="21" t="s">
        <v>949</v>
      </c>
      <c r="F76" s="21" t="s">
        <v>1073</v>
      </c>
      <c r="G76" s="21" t="s">
        <v>937</v>
      </c>
      <c r="H76" s="21" t="s">
        <v>1073</v>
      </c>
      <c r="K76" s="21" t="s">
        <v>985</v>
      </c>
    </row>
    <row r="77" spans="1:11" x14ac:dyDescent="0.25">
      <c r="A77" s="21" t="s">
        <v>920</v>
      </c>
      <c r="B77" s="21" t="s">
        <v>920</v>
      </c>
      <c r="C77" s="21" t="s">
        <v>986</v>
      </c>
      <c r="D77" s="21" t="s">
        <v>953</v>
      </c>
      <c r="E77" s="21" t="s">
        <v>936</v>
      </c>
      <c r="F77" s="21" t="s">
        <v>1073</v>
      </c>
      <c r="G77" s="21" t="s">
        <v>937</v>
      </c>
      <c r="H77" s="21" t="s">
        <v>1073</v>
      </c>
      <c r="I77" s="21" t="s">
        <v>987</v>
      </c>
      <c r="J77" s="21" t="s">
        <v>988</v>
      </c>
    </row>
    <row r="78" spans="1:11" x14ac:dyDescent="0.25">
      <c r="A78" s="21" t="s">
        <v>744</v>
      </c>
      <c r="B78" s="21" t="s">
        <v>744</v>
      </c>
      <c r="C78" s="21" t="s">
        <v>957</v>
      </c>
      <c r="D78" s="21" t="s">
        <v>958</v>
      </c>
      <c r="E78" s="21" t="s">
        <v>959</v>
      </c>
      <c r="F78" s="21" t="s">
        <v>1073</v>
      </c>
      <c r="G78" s="21" t="s">
        <v>1073</v>
      </c>
      <c r="H78" s="21" t="s">
        <v>1073</v>
      </c>
      <c r="J78" s="21" t="s">
        <v>960</v>
      </c>
    </row>
    <row r="79" spans="1:11" x14ac:dyDescent="0.25">
      <c r="A79" s="21" t="s">
        <v>744</v>
      </c>
      <c r="B79" s="21" t="s">
        <v>744</v>
      </c>
      <c r="C79" s="21" t="s">
        <v>989</v>
      </c>
      <c r="D79" s="21" t="s">
        <v>958</v>
      </c>
      <c r="E79" s="21" t="s">
        <v>959</v>
      </c>
      <c r="F79" s="21" t="s">
        <v>1073</v>
      </c>
      <c r="G79" s="21" t="s">
        <v>1073</v>
      </c>
      <c r="H79" s="21" t="s">
        <v>1073</v>
      </c>
    </row>
    <row r="80" spans="1:11" x14ac:dyDescent="0.25">
      <c r="A80" s="21" t="s">
        <v>744</v>
      </c>
      <c r="B80" s="21" t="s">
        <v>744</v>
      </c>
      <c r="C80" s="21" t="s">
        <v>990</v>
      </c>
      <c r="D80" s="21" t="s">
        <v>958</v>
      </c>
      <c r="E80" s="21" t="s">
        <v>959</v>
      </c>
      <c r="F80" s="21" t="s">
        <v>1073</v>
      </c>
      <c r="G80" s="21" t="s">
        <v>1073</v>
      </c>
      <c r="H80" s="21" t="s">
        <v>1073</v>
      </c>
    </row>
    <row r="81" spans="1:9" x14ac:dyDescent="0.25">
      <c r="A81" s="21" t="s">
        <v>776</v>
      </c>
      <c r="B81" s="21" t="s">
        <v>776</v>
      </c>
      <c r="C81" s="21" t="s">
        <v>464</v>
      </c>
      <c r="D81" s="21" t="s">
        <v>953</v>
      </c>
      <c r="E81" s="21" t="s">
        <v>954</v>
      </c>
      <c r="F81" s="21" t="s">
        <v>1073</v>
      </c>
      <c r="G81" s="21" t="s">
        <v>937</v>
      </c>
      <c r="H81" s="21" t="s">
        <v>1072</v>
      </c>
      <c r="I81" s="21" t="s">
        <v>991</v>
      </c>
    </row>
    <row r="82" spans="1:9" x14ac:dyDescent="0.25">
      <c r="A82" s="21" t="s">
        <v>776</v>
      </c>
      <c r="B82" s="21" t="s">
        <v>776</v>
      </c>
      <c r="C82" s="21" t="s">
        <v>938</v>
      </c>
      <c r="D82" s="21" t="s">
        <v>939</v>
      </c>
      <c r="E82" s="21" t="s">
        <v>936</v>
      </c>
      <c r="F82" s="21" t="s">
        <v>940</v>
      </c>
      <c r="G82" s="21" t="s">
        <v>1073</v>
      </c>
      <c r="H82" s="21" t="s">
        <v>1073</v>
      </c>
    </row>
    <row r="83" spans="1:9" x14ac:dyDescent="0.25">
      <c r="A83" s="21" t="s">
        <v>776</v>
      </c>
      <c r="B83" s="21" t="s">
        <v>776</v>
      </c>
      <c r="C83" s="21" t="s">
        <v>941</v>
      </c>
      <c r="D83" s="21" t="s">
        <v>942</v>
      </c>
      <c r="E83" s="21" t="s">
        <v>936</v>
      </c>
      <c r="F83" s="21" t="s">
        <v>1073</v>
      </c>
      <c r="G83" s="21" t="s">
        <v>1073</v>
      </c>
      <c r="H83" s="21" t="s">
        <v>1073</v>
      </c>
    </row>
    <row r="84" spans="1:9" x14ac:dyDescent="0.25">
      <c r="A84" s="21" t="s">
        <v>894</v>
      </c>
      <c r="B84" s="21" t="s">
        <v>894</v>
      </c>
      <c r="C84" s="21" t="s">
        <v>489</v>
      </c>
      <c r="D84" s="21" t="s">
        <v>953</v>
      </c>
      <c r="E84" s="21" t="s">
        <v>954</v>
      </c>
      <c r="F84" s="21" t="s">
        <v>1073</v>
      </c>
      <c r="G84" s="21" t="s">
        <v>1073</v>
      </c>
      <c r="H84" s="21" t="s">
        <v>1073</v>
      </c>
      <c r="I84" s="21" t="s">
        <v>991</v>
      </c>
    </row>
    <row r="85" spans="1:9" x14ac:dyDescent="0.25">
      <c r="A85" s="21" t="s">
        <v>894</v>
      </c>
      <c r="B85" s="21" t="s">
        <v>894</v>
      </c>
      <c r="C85" s="21" t="s">
        <v>938</v>
      </c>
      <c r="D85" s="21" t="s">
        <v>939</v>
      </c>
      <c r="E85" s="21" t="s">
        <v>936</v>
      </c>
      <c r="F85" s="21" t="s">
        <v>940</v>
      </c>
      <c r="G85" s="21" t="s">
        <v>1073</v>
      </c>
      <c r="H85" s="21" t="s">
        <v>1073</v>
      </c>
    </row>
    <row r="86" spans="1:9" x14ac:dyDescent="0.25">
      <c r="A86" s="21" t="s">
        <v>894</v>
      </c>
      <c r="B86" s="21" t="s">
        <v>894</v>
      </c>
      <c r="C86" s="21" t="s">
        <v>941</v>
      </c>
      <c r="D86" s="21" t="s">
        <v>942</v>
      </c>
      <c r="E86" s="21" t="s">
        <v>936</v>
      </c>
      <c r="F86" s="21" t="s">
        <v>1073</v>
      </c>
      <c r="G86" s="21" t="s">
        <v>1073</v>
      </c>
      <c r="H86" s="21" t="s">
        <v>1073</v>
      </c>
    </row>
    <row r="87" spans="1:9" x14ac:dyDescent="0.25">
      <c r="A87" s="21" t="s">
        <v>666</v>
      </c>
      <c r="B87" s="21" t="s">
        <v>666</v>
      </c>
      <c r="C87" s="21" t="s">
        <v>950</v>
      </c>
      <c r="D87" s="21" t="s">
        <v>935</v>
      </c>
      <c r="E87" s="21" t="s">
        <v>949</v>
      </c>
      <c r="F87" s="21" t="s">
        <v>1073</v>
      </c>
      <c r="G87" s="21" t="s">
        <v>937</v>
      </c>
      <c r="H87" s="21" t="s">
        <v>1073</v>
      </c>
    </row>
    <row r="88" spans="1:9" x14ac:dyDescent="0.25">
      <c r="A88" s="21" t="s">
        <v>666</v>
      </c>
      <c r="B88" s="21" t="s">
        <v>666</v>
      </c>
      <c r="C88" s="21" t="s">
        <v>938</v>
      </c>
      <c r="D88" s="21" t="s">
        <v>939</v>
      </c>
      <c r="E88" s="21" t="s">
        <v>936</v>
      </c>
      <c r="F88" s="21" t="s">
        <v>940</v>
      </c>
      <c r="G88" s="21" t="s">
        <v>1073</v>
      </c>
      <c r="H88" s="21" t="s">
        <v>1073</v>
      </c>
    </row>
    <row r="89" spans="1:9" x14ac:dyDescent="0.25">
      <c r="A89" s="21" t="s">
        <v>666</v>
      </c>
      <c r="B89" s="21" t="s">
        <v>666</v>
      </c>
      <c r="C89" s="21" t="s">
        <v>941</v>
      </c>
      <c r="D89" s="21" t="s">
        <v>942</v>
      </c>
      <c r="E89" s="21" t="s">
        <v>936</v>
      </c>
      <c r="F89" s="21" t="s">
        <v>1073</v>
      </c>
      <c r="G89" s="21" t="s">
        <v>1073</v>
      </c>
      <c r="H89" s="21" t="s">
        <v>1073</v>
      </c>
    </row>
    <row r="90" spans="1:9" x14ac:dyDescent="0.25">
      <c r="A90" s="21" t="s">
        <v>669</v>
      </c>
      <c r="B90" s="21" t="s">
        <v>669</v>
      </c>
      <c r="C90" s="21" t="s">
        <v>355</v>
      </c>
      <c r="D90" s="21" t="s">
        <v>943</v>
      </c>
      <c r="E90" s="21" t="s">
        <v>936</v>
      </c>
      <c r="F90" s="21" t="s">
        <v>1073</v>
      </c>
      <c r="G90" s="21" t="s">
        <v>937</v>
      </c>
      <c r="H90" s="21" t="s">
        <v>1073</v>
      </c>
    </row>
    <row r="91" spans="1:9" x14ac:dyDescent="0.25">
      <c r="A91" s="21" t="s">
        <v>669</v>
      </c>
      <c r="B91" s="21" t="s">
        <v>669</v>
      </c>
      <c r="C91" s="21" t="s">
        <v>938</v>
      </c>
      <c r="D91" s="21" t="s">
        <v>939</v>
      </c>
      <c r="E91" s="21" t="s">
        <v>936</v>
      </c>
      <c r="F91" s="21" t="s">
        <v>940</v>
      </c>
      <c r="G91" s="21" t="s">
        <v>1073</v>
      </c>
      <c r="H91" s="21" t="s">
        <v>1073</v>
      </c>
    </row>
    <row r="92" spans="1:9" x14ac:dyDescent="0.25">
      <c r="A92" s="21" t="s">
        <v>669</v>
      </c>
      <c r="B92" s="21" t="s">
        <v>669</v>
      </c>
      <c r="C92" s="21" t="s">
        <v>941</v>
      </c>
      <c r="D92" s="21" t="s">
        <v>942</v>
      </c>
      <c r="E92" s="21" t="s">
        <v>936</v>
      </c>
      <c r="F92" s="21" t="s">
        <v>1073</v>
      </c>
      <c r="G92" s="21" t="s">
        <v>1073</v>
      </c>
      <c r="H92" s="21" t="s">
        <v>1073</v>
      </c>
    </row>
    <row r="93" spans="1:9" x14ac:dyDescent="0.25">
      <c r="A93" s="21" t="s">
        <v>769</v>
      </c>
      <c r="B93" s="21" t="s">
        <v>769</v>
      </c>
      <c r="C93" s="21" t="s">
        <v>355</v>
      </c>
      <c r="D93" s="21" t="s">
        <v>958</v>
      </c>
      <c r="E93" s="21" t="s">
        <v>936</v>
      </c>
      <c r="F93" s="21" t="s">
        <v>1073</v>
      </c>
      <c r="G93" s="21" t="s">
        <v>937</v>
      </c>
      <c r="H93" s="21" t="s">
        <v>1073</v>
      </c>
    </row>
    <row r="94" spans="1:9" x14ac:dyDescent="0.25">
      <c r="A94" s="21" t="s">
        <v>769</v>
      </c>
      <c r="B94" s="21" t="s">
        <v>769</v>
      </c>
      <c r="C94" s="21" t="s">
        <v>938</v>
      </c>
      <c r="D94" s="21" t="s">
        <v>939</v>
      </c>
      <c r="E94" s="21" t="s">
        <v>936</v>
      </c>
      <c r="F94" s="21" t="s">
        <v>940</v>
      </c>
      <c r="G94" s="21" t="s">
        <v>1073</v>
      </c>
      <c r="H94" s="21" t="s">
        <v>1073</v>
      </c>
    </row>
    <row r="95" spans="1:9" x14ac:dyDescent="0.25">
      <c r="A95" s="21" t="s">
        <v>769</v>
      </c>
      <c r="B95" s="21" t="s">
        <v>769</v>
      </c>
      <c r="C95" s="21" t="s">
        <v>941</v>
      </c>
      <c r="D95" s="21" t="s">
        <v>942</v>
      </c>
      <c r="E95" s="21" t="s">
        <v>936</v>
      </c>
      <c r="H95" s="21" t="str">
        <f>IF(ISNUMBER(FIND("dchg",F95)),"dchg","")</f>
        <v/>
      </c>
    </row>
    <row r="96" spans="1:9" x14ac:dyDescent="0.25">
      <c r="A96" s="21" t="s">
        <v>774</v>
      </c>
      <c r="B96" s="21" t="s">
        <v>774</v>
      </c>
      <c r="C96" s="21" t="s">
        <v>413</v>
      </c>
      <c r="H96" s="21" t="str">
        <f>IF(ISNUMBER(FIND("dchg",F96)),"dchg","")</f>
        <v/>
      </c>
      <c r="I96" s="21" t="s">
        <v>822</v>
      </c>
    </row>
    <row r="97" spans="1:9" x14ac:dyDescent="0.25">
      <c r="A97" s="21" t="s">
        <v>774</v>
      </c>
      <c r="B97" s="21" t="s">
        <v>774</v>
      </c>
      <c r="C97" s="21" t="s">
        <v>415</v>
      </c>
      <c r="H97" s="21" t="str">
        <f>IF(ISNUMBER(FIND("dchg",F97)),"dchg","")</f>
        <v/>
      </c>
      <c r="I97" s="21" t="s">
        <v>822</v>
      </c>
    </row>
    <row r="98" spans="1:9" x14ac:dyDescent="0.25">
      <c r="A98" s="21" t="s">
        <v>774</v>
      </c>
      <c r="B98" s="21" t="s">
        <v>774</v>
      </c>
      <c r="C98" s="21" t="s">
        <v>417</v>
      </c>
      <c r="H98" s="21" t="str">
        <f>IF(ISNUMBER(FIND("dchg",F98)),"dchg","")</f>
        <v/>
      </c>
      <c r="I98" s="21" t="s">
        <v>822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992</v>
      </c>
      <c r="B1" s="20" t="s">
        <v>1002</v>
      </c>
      <c r="C1" s="20" t="s">
        <v>1003</v>
      </c>
      <c r="D1" s="20" t="s">
        <v>1074</v>
      </c>
    </row>
    <row r="2" spans="1:4" x14ac:dyDescent="0.25">
      <c r="A2" s="21" t="s">
        <v>991</v>
      </c>
      <c r="B2" s="21" t="s">
        <v>995</v>
      </c>
      <c r="C2" s="21" t="s">
        <v>982</v>
      </c>
    </row>
    <row r="3" spans="1:4" x14ac:dyDescent="0.25">
      <c r="A3" s="21" t="s">
        <v>991</v>
      </c>
      <c r="B3" s="21" t="s">
        <v>996</v>
      </c>
      <c r="C3" s="21" t="s">
        <v>997</v>
      </c>
    </row>
    <row r="4" spans="1:4" x14ac:dyDescent="0.25">
      <c r="A4" s="21" t="s">
        <v>987</v>
      </c>
      <c r="B4" s="21" t="s">
        <v>998</v>
      </c>
      <c r="C4" s="21" t="s">
        <v>999</v>
      </c>
    </row>
    <row r="5" spans="1:4" x14ac:dyDescent="0.25">
      <c r="A5" s="21" t="s">
        <v>987</v>
      </c>
      <c r="B5" s="21" t="s">
        <v>1000</v>
      </c>
      <c r="C5" s="21" t="s">
        <v>943</v>
      </c>
    </row>
    <row r="6" spans="1:4" x14ac:dyDescent="0.25">
      <c r="A6" s="21" t="s">
        <v>955</v>
      </c>
      <c r="B6" s="21" t="s">
        <v>464</v>
      </c>
      <c r="C6" s="21" t="s">
        <v>953</v>
      </c>
      <c r="D6" s="21" t="s">
        <v>991</v>
      </c>
    </row>
    <row r="7" spans="1:4" x14ac:dyDescent="0.25">
      <c r="A7" s="21" t="s">
        <v>955</v>
      </c>
      <c r="B7" s="21" t="s">
        <v>1001</v>
      </c>
      <c r="C7" s="21" t="s">
        <v>953</v>
      </c>
      <c r="D7" s="21" t="s">
        <v>991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1069</v>
      </c>
      <c r="B1" s="20" t="s">
        <v>1070</v>
      </c>
      <c r="C1" s="20" t="s">
        <v>1071</v>
      </c>
      <c r="D1" s="20" t="s">
        <v>342</v>
      </c>
    </row>
    <row r="2" spans="1:4" x14ac:dyDescent="0.25">
      <c r="A2" s="21" t="s">
        <v>972</v>
      </c>
      <c r="B2" s="21">
        <v>1</v>
      </c>
      <c r="C2" s="21" t="s">
        <v>1004</v>
      </c>
      <c r="D2" s="21" t="s">
        <v>1005</v>
      </c>
    </row>
    <row r="3" spans="1:4" x14ac:dyDescent="0.25">
      <c r="A3" s="21" t="s">
        <v>972</v>
      </c>
      <c r="B3" s="21">
        <v>2</v>
      </c>
      <c r="C3" s="21" t="s">
        <v>1006</v>
      </c>
    </row>
    <row r="4" spans="1:4" x14ac:dyDescent="0.25">
      <c r="A4" s="21" t="s">
        <v>972</v>
      </c>
      <c r="B4" s="21">
        <v>3</v>
      </c>
      <c r="C4" s="21" t="s">
        <v>1007</v>
      </c>
    </row>
    <row r="5" spans="1:4" x14ac:dyDescent="0.25">
      <c r="A5" s="21" t="s">
        <v>972</v>
      </c>
      <c r="B5" s="21">
        <v>4</v>
      </c>
      <c r="C5" s="21" t="s">
        <v>1008</v>
      </c>
    </row>
    <row r="6" spans="1:4" x14ac:dyDescent="0.25">
      <c r="A6" s="21" t="s">
        <v>972</v>
      </c>
      <c r="B6" s="21">
        <v>5</v>
      </c>
      <c r="C6" s="21" t="s">
        <v>1009</v>
      </c>
    </row>
    <row r="7" spans="1:4" x14ac:dyDescent="0.25">
      <c r="A7" s="21" t="s">
        <v>973</v>
      </c>
      <c r="B7" s="21">
        <v>1</v>
      </c>
      <c r="C7" s="21" t="s">
        <v>1010</v>
      </c>
      <c r="D7" s="21" t="s">
        <v>1011</v>
      </c>
    </row>
    <row r="8" spans="1:4" x14ac:dyDescent="0.25">
      <c r="A8" s="21" t="s">
        <v>973</v>
      </c>
      <c r="B8" s="21">
        <v>2</v>
      </c>
      <c r="C8" s="21" t="s">
        <v>1012</v>
      </c>
    </row>
    <row r="9" spans="1:4" x14ac:dyDescent="0.25">
      <c r="A9" s="21" t="s">
        <v>973</v>
      </c>
      <c r="B9" s="21">
        <v>3</v>
      </c>
      <c r="C9" s="21" t="s">
        <v>1013</v>
      </c>
    </row>
    <row r="10" spans="1:4" x14ac:dyDescent="0.25">
      <c r="A10" s="21" t="s">
        <v>973</v>
      </c>
      <c r="B10" s="21">
        <v>4</v>
      </c>
      <c r="C10" s="21" t="s">
        <v>1014</v>
      </c>
    </row>
    <row r="11" spans="1:4" x14ac:dyDescent="0.25">
      <c r="A11" s="21" t="s">
        <v>973</v>
      </c>
      <c r="B11" s="21">
        <v>5</v>
      </c>
      <c r="C11" s="21" t="s">
        <v>1015</v>
      </c>
    </row>
    <row r="12" spans="1:4" x14ac:dyDescent="0.25">
      <c r="A12" s="21" t="s">
        <v>973</v>
      </c>
      <c r="B12" s="21">
        <v>6</v>
      </c>
      <c r="C12" s="21" t="s">
        <v>1016</v>
      </c>
    </row>
    <row r="13" spans="1:4" x14ac:dyDescent="0.25">
      <c r="A13" s="21" t="s">
        <v>973</v>
      </c>
      <c r="B13" s="21">
        <v>7</v>
      </c>
      <c r="C13" s="21" t="s">
        <v>1017</v>
      </c>
    </row>
    <row r="14" spans="1:4" x14ac:dyDescent="0.25">
      <c r="A14" s="21" t="s">
        <v>974</v>
      </c>
      <c r="B14" s="21">
        <v>1</v>
      </c>
      <c r="C14" s="21" t="s">
        <v>1018</v>
      </c>
      <c r="D14" s="21" t="s">
        <v>1019</v>
      </c>
    </row>
    <row r="15" spans="1:4" x14ac:dyDescent="0.25">
      <c r="A15" s="21" t="s">
        <v>974</v>
      </c>
      <c r="B15" s="21">
        <v>2</v>
      </c>
      <c r="C15" s="21" t="s">
        <v>1020</v>
      </c>
    </row>
    <row r="16" spans="1:4" x14ac:dyDescent="0.25">
      <c r="A16" s="21" t="s">
        <v>974</v>
      </c>
      <c r="B16" s="21">
        <v>3</v>
      </c>
      <c r="C16" s="21" t="s">
        <v>1021</v>
      </c>
    </row>
    <row r="17" spans="1:4" x14ac:dyDescent="0.25">
      <c r="A17" s="21" t="s">
        <v>975</v>
      </c>
      <c r="B17" s="21">
        <v>1</v>
      </c>
      <c r="C17" s="21" t="s">
        <v>1018</v>
      </c>
      <c r="D17" s="21" t="s">
        <v>1022</v>
      </c>
    </row>
    <row r="18" spans="1:4" x14ac:dyDescent="0.25">
      <c r="A18" s="21" t="s">
        <v>975</v>
      </c>
      <c r="B18" s="21">
        <v>2</v>
      </c>
      <c r="C18" s="21" t="s">
        <v>1020</v>
      </c>
    </row>
    <row r="19" spans="1:4" x14ac:dyDescent="0.25">
      <c r="A19" s="21" t="s">
        <v>975</v>
      </c>
      <c r="B19" s="21">
        <v>3</v>
      </c>
      <c r="C19" s="21" t="s">
        <v>1021</v>
      </c>
    </row>
    <row r="20" spans="1:4" x14ac:dyDescent="0.25">
      <c r="A20" s="21" t="s">
        <v>976</v>
      </c>
      <c r="B20" s="21">
        <v>1</v>
      </c>
      <c r="C20" s="21" t="s">
        <v>1023</v>
      </c>
      <c r="D20" s="21" t="s">
        <v>1024</v>
      </c>
    </row>
    <row r="21" spans="1:4" x14ac:dyDescent="0.25">
      <c r="A21" s="21" t="s">
        <v>976</v>
      </c>
      <c r="B21" s="21">
        <v>2</v>
      </c>
      <c r="C21" s="21" t="s">
        <v>1025</v>
      </c>
    </row>
    <row r="22" spans="1:4" x14ac:dyDescent="0.25">
      <c r="A22" s="21" t="s">
        <v>976</v>
      </c>
      <c r="B22" s="21">
        <v>3</v>
      </c>
      <c r="C22" s="21" t="s">
        <v>1026</v>
      </c>
    </row>
    <row r="23" spans="1:4" x14ac:dyDescent="0.25">
      <c r="A23" s="21" t="s">
        <v>976</v>
      </c>
      <c r="B23" s="21">
        <v>4</v>
      </c>
      <c r="C23" s="21" t="s">
        <v>1027</v>
      </c>
    </row>
    <row r="24" spans="1:4" x14ac:dyDescent="0.25">
      <c r="A24" s="21" t="s">
        <v>976</v>
      </c>
      <c r="B24" s="21">
        <v>5</v>
      </c>
      <c r="C24" s="21" t="s">
        <v>1028</v>
      </c>
    </row>
    <row r="25" spans="1:4" x14ac:dyDescent="0.25">
      <c r="A25" s="21" t="s">
        <v>976</v>
      </c>
      <c r="B25" s="21">
        <v>6</v>
      </c>
      <c r="C25" s="21" t="s">
        <v>1029</v>
      </c>
    </row>
    <row r="26" spans="1:4" x14ac:dyDescent="0.25">
      <c r="A26" s="21" t="s">
        <v>976</v>
      </c>
      <c r="B26" s="21">
        <v>7</v>
      </c>
      <c r="C26" s="21" t="s">
        <v>1030</v>
      </c>
    </row>
    <row r="27" spans="1:4" x14ac:dyDescent="0.25">
      <c r="A27" s="21" t="s">
        <v>970</v>
      </c>
      <c r="B27" s="21">
        <v>1</v>
      </c>
      <c r="C27" s="21" t="s">
        <v>1031</v>
      </c>
      <c r="D27" s="21" t="s">
        <v>1032</v>
      </c>
    </row>
    <row r="28" spans="1:4" x14ac:dyDescent="0.25">
      <c r="A28" s="21" t="s">
        <v>970</v>
      </c>
      <c r="B28" s="21">
        <v>2</v>
      </c>
      <c r="C28" s="21" t="s">
        <v>1033</v>
      </c>
    </row>
    <row r="29" spans="1:4" x14ac:dyDescent="0.25">
      <c r="A29" s="21" t="s">
        <v>970</v>
      </c>
      <c r="B29" s="21">
        <v>3</v>
      </c>
      <c r="C29" s="21" t="s">
        <v>1034</v>
      </c>
    </row>
    <row r="30" spans="1:4" x14ac:dyDescent="0.25">
      <c r="A30" s="21" t="s">
        <v>970</v>
      </c>
      <c r="B30" s="21">
        <v>4</v>
      </c>
      <c r="C30" s="21" t="s">
        <v>1035</v>
      </c>
    </row>
    <row r="31" spans="1:4" x14ac:dyDescent="0.25">
      <c r="A31" s="21" t="s">
        <v>970</v>
      </c>
      <c r="B31" s="21">
        <v>5</v>
      </c>
      <c r="C31" s="21" t="s">
        <v>1036</v>
      </c>
    </row>
    <row r="32" spans="1:4" x14ac:dyDescent="0.25">
      <c r="A32" s="21" t="s">
        <v>970</v>
      </c>
      <c r="B32" s="21">
        <v>6</v>
      </c>
      <c r="C32" s="21" t="s">
        <v>1037</v>
      </c>
    </row>
    <row r="33" spans="1:4" x14ac:dyDescent="0.25">
      <c r="A33" s="21" t="s">
        <v>970</v>
      </c>
      <c r="B33" s="21">
        <v>7</v>
      </c>
      <c r="C33" s="21" t="s">
        <v>1038</v>
      </c>
    </row>
    <row r="34" spans="1:4" x14ac:dyDescent="0.25">
      <c r="A34" s="21" t="s">
        <v>970</v>
      </c>
      <c r="B34" s="21">
        <v>8</v>
      </c>
      <c r="C34" s="21" t="s">
        <v>1039</v>
      </c>
    </row>
    <row r="35" spans="1:4" x14ac:dyDescent="0.25">
      <c r="A35" s="21" t="s">
        <v>977</v>
      </c>
      <c r="B35" s="21">
        <v>1</v>
      </c>
      <c r="C35" s="21" t="s">
        <v>1004</v>
      </c>
      <c r="D35" s="21" t="s">
        <v>1040</v>
      </c>
    </row>
    <row r="36" spans="1:4" x14ac:dyDescent="0.25">
      <c r="A36" s="21" t="s">
        <v>977</v>
      </c>
      <c r="B36" s="21">
        <v>2</v>
      </c>
      <c r="C36" s="21" t="s">
        <v>1006</v>
      </c>
    </row>
    <row r="37" spans="1:4" x14ac:dyDescent="0.25">
      <c r="A37" s="21" t="s">
        <v>977</v>
      </c>
      <c r="B37" s="21">
        <v>3</v>
      </c>
      <c r="C37" s="21" t="s">
        <v>1007</v>
      </c>
    </row>
    <row r="38" spans="1:4" x14ac:dyDescent="0.25">
      <c r="A38" s="21" t="s">
        <v>977</v>
      </c>
      <c r="B38" s="21">
        <v>4</v>
      </c>
      <c r="C38" s="21" t="s">
        <v>1008</v>
      </c>
    </row>
    <row r="39" spans="1:4" x14ac:dyDescent="0.25">
      <c r="A39" s="21" t="s">
        <v>977</v>
      </c>
      <c r="B39" s="21">
        <v>5</v>
      </c>
      <c r="C39" s="21" t="s">
        <v>1009</v>
      </c>
    </row>
    <row r="40" spans="1:4" x14ac:dyDescent="0.25">
      <c r="A40" s="21" t="s">
        <v>978</v>
      </c>
      <c r="B40" s="21">
        <v>1</v>
      </c>
      <c r="C40" s="21" t="s">
        <v>1041</v>
      </c>
      <c r="D40" s="21" t="s">
        <v>1042</v>
      </c>
    </row>
    <row r="41" spans="1:4" x14ac:dyDescent="0.25">
      <c r="A41" s="21" t="s">
        <v>978</v>
      </c>
      <c r="B41" s="21">
        <v>2</v>
      </c>
      <c r="C41" s="21" t="s">
        <v>1043</v>
      </c>
    </row>
    <row r="42" spans="1:4" x14ac:dyDescent="0.25">
      <c r="A42" s="21" t="s">
        <v>978</v>
      </c>
      <c r="B42" s="21">
        <v>3</v>
      </c>
      <c r="C42" s="21" t="s">
        <v>1044</v>
      </c>
    </row>
    <row r="43" spans="1:4" x14ac:dyDescent="0.25">
      <c r="A43" s="21" t="s">
        <v>978</v>
      </c>
      <c r="B43" s="21">
        <v>4</v>
      </c>
      <c r="C43" s="21" t="s">
        <v>1045</v>
      </c>
    </row>
    <row r="44" spans="1:4" x14ac:dyDescent="0.25">
      <c r="A44" s="21" t="s">
        <v>978</v>
      </c>
      <c r="B44" s="21">
        <v>5</v>
      </c>
      <c r="C44" s="21" t="s">
        <v>1046</v>
      </c>
    </row>
    <row r="45" spans="1:4" x14ac:dyDescent="0.25">
      <c r="A45" s="21" t="s">
        <v>978</v>
      </c>
      <c r="B45" s="21">
        <v>6</v>
      </c>
      <c r="C45" s="21" t="s">
        <v>1047</v>
      </c>
    </row>
    <row r="46" spans="1:4" x14ac:dyDescent="0.25">
      <c r="A46" s="21" t="s">
        <v>978</v>
      </c>
      <c r="B46" s="21">
        <v>7</v>
      </c>
      <c r="C46" s="21" t="s">
        <v>1048</v>
      </c>
    </row>
    <row r="47" spans="1:4" x14ac:dyDescent="0.25">
      <c r="A47" s="21" t="s">
        <v>978</v>
      </c>
      <c r="B47" s="21">
        <v>8</v>
      </c>
      <c r="C47" s="21" t="s">
        <v>1049</v>
      </c>
    </row>
    <row r="48" spans="1:4" x14ac:dyDescent="0.25">
      <c r="A48" s="21" t="s">
        <v>978</v>
      </c>
      <c r="B48" s="21">
        <v>9</v>
      </c>
      <c r="C48" s="21" t="s">
        <v>1050</v>
      </c>
    </row>
    <row r="49" spans="1:4" x14ac:dyDescent="0.25">
      <c r="A49" s="21" t="s">
        <v>978</v>
      </c>
      <c r="B49" s="21">
        <v>10</v>
      </c>
      <c r="C49" s="21" t="s">
        <v>1051</v>
      </c>
    </row>
    <row r="50" spans="1:4" x14ac:dyDescent="0.25">
      <c r="A50" s="21" t="s">
        <v>978</v>
      </c>
      <c r="B50" s="21">
        <v>11</v>
      </c>
      <c r="C50" s="21" t="s">
        <v>1052</v>
      </c>
    </row>
    <row r="51" spans="1:4" x14ac:dyDescent="0.25">
      <c r="A51" s="21" t="s">
        <v>978</v>
      </c>
      <c r="B51" s="21">
        <v>12</v>
      </c>
      <c r="C51" s="21" t="s">
        <v>1053</v>
      </c>
    </row>
    <row r="52" spans="1:4" x14ac:dyDescent="0.25">
      <c r="A52" s="21" t="s">
        <v>979</v>
      </c>
      <c r="B52" s="21">
        <v>1</v>
      </c>
      <c r="C52" s="21" t="s">
        <v>1054</v>
      </c>
      <c r="D52" s="21" t="s">
        <v>1055</v>
      </c>
    </row>
    <row r="53" spans="1:4" x14ac:dyDescent="0.25">
      <c r="A53" s="21" t="s">
        <v>979</v>
      </c>
      <c r="B53" s="21">
        <v>2</v>
      </c>
      <c r="C53" s="21" t="s">
        <v>1056</v>
      </c>
    </row>
    <row r="54" spans="1:4" x14ac:dyDescent="0.25">
      <c r="A54" s="21" t="s">
        <v>979</v>
      </c>
      <c r="B54" s="21">
        <v>3</v>
      </c>
      <c r="C54" s="21" t="s">
        <v>1057</v>
      </c>
    </row>
    <row r="55" spans="1:4" x14ac:dyDescent="0.25">
      <c r="A55" s="21" t="s">
        <v>980</v>
      </c>
      <c r="B55" s="21">
        <v>1</v>
      </c>
      <c r="C55" s="21" t="s">
        <v>1058</v>
      </c>
      <c r="D55" s="21" t="s">
        <v>1059</v>
      </c>
    </row>
    <row r="56" spans="1:4" x14ac:dyDescent="0.25">
      <c r="A56" s="21" t="s">
        <v>980</v>
      </c>
      <c r="B56" s="21">
        <v>2</v>
      </c>
      <c r="C56" s="21" t="s">
        <v>1060</v>
      </c>
    </row>
    <row r="57" spans="1:4" x14ac:dyDescent="0.25">
      <c r="A57" s="21" t="s">
        <v>980</v>
      </c>
      <c r="B57" s="21">
        <v>3</v>
      </c>
      <c r="C57" s="21" t="s">
        <v>1061</v>
      </c>
    </row>
    <row r="58" spans="1:4" x14ac:dyDescent="0.25">
      <c r="A58" s="21" t="s">
        <v>980</v>
      </c>
      <c r="B58" s="21">
        <v>4</v>
      </c>
      <c r="C58" s="21" t="s">
        <v>1062</v>
      </c>
    </row>
    <row r="59" spans="1:4" x14ac:dyDescent="0.25">
      <c r="A59" s="21" t="s">
        <v>981</v>
      </c>
      <c r="B59" s="21">
        <v>1</v>
      </c>
      <c r="C59" s="21" t="s">
        <v>1018</v>
      </c>
      <c r="D59" s="21" t="s">
        <v>1063</v>
      </c>
    </row>
    <row r="60" spans="1:4" x14ac:dyDescent="0.25">
      <c r="A60" s="21" t="s">
        <v>981</v>
      </c>
      <c r="B60" s="21">
        <v>2</v>
      </c>
      <c r="C60" s="21" t="s">
        <v>1020</v>
      </c>
    </row>
    <row r="61" spans="1:4" x14ac:dyDescent="0.25">
      <c r="A61" s="21" t="s">
        <v>981</v>
      </c>
      <c r="B61" s="21">
        <v>3</v>
      </c>
      <c r="C61" s="21" t="s">
        <v>1021</v>
      </c>
    </row>
    <row r="62" spans="1:4" x14ac:dyDescent="0.25">
      <c r="A62" s="21" t="s">
        <v>968</v>
      </c>
      <c r="B62" s="21">
        <v>1</v>
      </c>
      <c r="C62" s="21" t="s">
        <v>1065</v>
      </c>
      <c r="D62" s="21" t="s">
        <v>1066</v>
      </c>
    </row>
    <row r="63" spans="1:4" x14ac:dyDescent="0.25">
      <c r="A63" s="21" t="s">
        <v>968</v>
      </c>
      <c r="B63" s="21">
        <v>2</v>
      </c>
      <c r="C63" s="21" t="s">
        <v>1067</v>
      </c>
    </row>
    <row r="64" spans="1:4" x14ac:dyDescent="0.25">
      <c r="A64" s="21" t="s">
        <v>968</v>
      </c>
      <c r="B64" s="21">
        <v>3</v>
      </c>
      <c r="C64" s="21" t="s">
        <v>1068</v>
      </c>
    </row>
    <row r="65" spans="1:3" x14ac:dyDescent="0.25">
      <c r="A65" s="21" t="s">
        <v>968</v>
      </c>
      <c r="B65" s="21">
        <v>4</v>
      </c>
      <c r="C65" s="21" t="s">
        <v>1064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30</vt:i4>
      </vt:variant>
    </vt:vector>
  </HeadingPairs>
  <TitlesOfParts>
    <vt:vector size="30" baseType="lpstr">
      <vt:lpstr>Capa</vt:lpstr>
      <vt:lpstr>Vaos</vt:lpstr>
      <vt:lpstr>Equipamentos</vt:lpstr>
      <vt:lpstr>Paineis</vt:lpstr>
      <vt:lpstr>IEDs</vt:lpstr>
      <vt:lpstr>Alocacao</vt:lpstr>
      <vt:lpstr>LD-Mestre-UAC</vt:lpstr>
      <vt:lpstr>LD-Mestre-Prot</vt:lpstr>
      <vt:lpstr>LD-Mestre-MU</vt:lpstr>
      <vt:lpstr>LD-IFL-C_LT</vt:lpstr>
      <vt:lpstr>LD-VTR-C_TP</vt:lpstr>
      <vt:lpstr>LD-VTR-E_TP</vt:lpstr>
      <vt:lpstr>LD-LIN-P_LC</vt:lpstr>
      <vt:lpstr>LD-LIN-C_LC</vt:lpstr>
      <vt:lpstr>LD-CTR-E_TC</vt:lpstr>
      <vt:lpstr>LD-CTR-E_TC_OP</vt:lpstr>
      <vt:lpstr>LD-CBR-C_DJ_B</vt:lpstr>
      <vt:lpstr>LD-CBR-C_DJ</vt:lpstr>
      <vt:lpstr>LD-CBR-E_DJ</vt:lpstr>
      <vt:lpstr>LD-CBR-P_BARRA</vt:lpstr>
      <vt:lpstr>LD-CBR-P_50BF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2025-10-28T19:58:55Z</dcterms:modified>
</cp:coreProperties>
</file>